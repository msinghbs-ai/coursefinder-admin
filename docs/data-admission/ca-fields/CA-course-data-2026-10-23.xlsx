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use'!$A$14:$M$552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<sst xmlns="http://schemas.openxmlformats.org/spreadsheetml/2006/main" count="7604" uniqueCount="501">
  <si>
    <t xml:space="preserve">Canada course data by provider: 2026-10-23</t>
  </si>
  <si>
    <t xml:space="preserve">Start: values held on 2026-10-21, the first day recorded for Canada.</t>
  </si>
  <si>
    <t xml:space="preserve">Previous: the day before (2026-10-22). Today: 2026-10-23. Each day is recorded at about 6:55 am Melbourne time.</t>
  </si>
  <si>
    <t xml:space="preserve">Scope: 52 CA providers with active courses, 3,806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</si>
  <si>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</si>
  <si>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</si>
  <si>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</si>
  <si>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</si>
  <si>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</si>
  <si>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</si>
  <si>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</si>
  <si>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</si>
  <si>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</si>
  <si>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</si>
  <si>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</si>
  <si>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</si>
  <si>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</si>
  <si>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</si>
  <si>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</si>
  <si>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</si>
  <si>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</si>
  <si>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</si>
  <si>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</si>
  <si>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</si>
  <si>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</si>
  <si>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</si>
  <si>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</si>
  <si>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</si>
  <si>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</si>
  <si>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</si>
  <si>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</si>
  <si>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</si>
  <si>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</si>
  <si>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</si>
  <si>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</si>
  <si>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</si>
  <si>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</si>
  <si>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</si>
  <si>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</si>
  <si>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</si>
  <si>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</si>
  <si>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</si>
  <si>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</si>
  <si>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</si>
  <si>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</si>
  <si>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</si>
  <si>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</si>
  <si>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</si>
  <si>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</si>
  <si>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</si>
  <si>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</si>
  <si>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</si>
  <si>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</si>
  <si>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</si>
  <si>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</si>
  <si>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</si>
  <si>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</si>
  <si>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</si>
  <si>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</si>
  <si>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</si>
  <si>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</si>
  <si>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</si>
  <si>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</si>
  <si>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</si>
  <si>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</si>
  <si>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</si>
  <si>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</si>
  <si>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</si>
  <si>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</si>
  <si>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</si>
  <si>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</si>
  <si>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</si>
  <si>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</si>
  <si>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</si>
  <si>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</si>
  <si>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</si>
  <si>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</si>
  <si>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</si>
  <si>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</si>
  <si>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</si>
  <si>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</si>
  <si>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</si>
  <si>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</si>
  <si>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</si>
  <si>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</si>
  <si>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</si>
  <si>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</si>
  <si>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</si>
  <si>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</si>
  <si>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</si>
  <si>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</si>
  <si>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</si>
  <si>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</si>
  <si>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</si>
  <si>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</si>
  <si>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</si>
  <si>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</si>
  <si>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</si>
  <si>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</si>
  <si>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George Brown College</t>
  </si>
  <si>
    <t xml:space="preserve">https://www.georgebrown.ca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</si>
  <si>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</si>
  <si>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</si>
  <si>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</si>
  <si>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</si>
  <si>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</si>
  <si>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</si>
  <si>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</si>
  <si>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</si>
  <si>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</si>
  <si>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</si>
  <si>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</si>
  <si>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</si>
  <si>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</si>
  <si>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</si>
  <si>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</si>
  <si>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</si>
  <si>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</si>
  <si>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</si>
  <si>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</si>
  <si>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</si>
  <si>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</si>
  <si>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</si>
  <si>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</si>
  <si>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</si>
  <si>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</si>
  <si>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</si>
  <si>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</si>
  <si>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</si>
  <si>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</si>
  <si>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</si>
  <si>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</si>
  <si>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</si>
  <si>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</si>
  <si>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</si>
  <si>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</si>
  <si>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</si>
  <si>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</si>
  <si>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</si>
  <si>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</si>
  <si>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</si>
  <si>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</si>
  <si>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</si>
  <si>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</si>
  <si>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</si>
  <si>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</si>
  <si>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</si>
  <si>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</si>
  <si>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</si>
  <si>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</si>
  <si>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</si>
  <si>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</si>
  <si>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</si>
  <si>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</si>
  <si>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</si>
  <si>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</si>
  <si>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2026-10-22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</si>
  <si>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</si>
  <si>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</si>
  <si>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</si>
  <si>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</si>
  <si>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</si>
  <si>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</si>
  <si>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</si>
  <si>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</si>
  <si>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</si>
  <si>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</si>
  <si>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</si>
  <si>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</si>
  <si>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</si>
  <si>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</si>
  <si>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</si>
  <si>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</si>
  <si>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</si>
  <si>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</si>
  <si>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</si>
  <si>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</si>
  <si>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</si>
  <si>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</si>
  <si>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</si>
  <si>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</si>
  <si>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</si>
  <si>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</si>
  <si>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</si>
  <si>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</si>
  <si>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</si>
  <si>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</si>
  <si>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</si>
  <si>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</si>
  <si>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</si>
  <si>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</si>
  <si>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</si>
  <si>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</si>
  <si>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</si>
  <si>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</si>
  <si>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</si>
  <si>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</si>
  <si>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</si>
  <si>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</si>
  <si>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</si>
  <si>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</si>
  <si>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</si>
  <si>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</si>
  <si>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</si>
  <si>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Booth University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</si>
  <si>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</si>
  <si>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</si>
  <si>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</si>
  <si>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</si>
  <si>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</si>
  <si>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</si>
  <si>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Campus Notre-Dame-de-Foy</t>
  </si>
  <si>
    <t xml:space="preserve">Canada College of Education</t>
  </si>
  <si>
    <t xml:space="preserve">Canada East College of Professional Studies</t>
  </si>
  <si>
    <t xml:space="preserve">Canada’s National Ballet School</t>
  </si>
  <si>
    <t xml:space="preserve">Canadian Academy of Dental Health &amp; Community Sciences</t>
  </si>
  <si>
    <t xml:space="preserve">Canadian Baptist Theological Seminary and College</t>
  </si>
  <si>
    <t xml:space="preserve">Canadian Business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</si>
  <si>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</si>
  <si>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</si>
  <si>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</si>
  <si>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</si>
  <si>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</si>
  <si>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</si>
  <si>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</si>
  <si>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</si>
  <si>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</si>
  <si>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</si>
  <si>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</si>
  <si>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</si>
  <si>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</si>
  <si>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</si>
  <si>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</si>
  <si>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</si>
  <si>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</si>
  <si>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</si>
  <si>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</si>
  <si>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</si>
  <si>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</si>
  <si>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</si>
  <si>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</si>
  <si>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</si>
  <si>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</si>
  <si>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</si>
  <si>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</si>
  <si>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</si>
  <si>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</si>
  <si>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</si>
  <si>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</si>
  <si>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</si>
  <si>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</si>
  <si>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</si>
  <si>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</si>
  <si>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</si>
  <si>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</si>
  <si>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</si>
  <si>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</si>
  <si>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</si>
  <si>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</si>
  <si>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</si>
  <si>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</si>
  <si>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</si>
  <si>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</si>
  <si>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</si>
  <si>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</si>
  <si>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</si>
  <si>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</si>
  <si>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</si>
  <si>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</si>
  <si>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</si>
  <si>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</si>
  <si>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</si>
  <si>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</si>
  <si>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</si>
  <si>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</si>
  <si>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</si>
  <si>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</si>
  <si>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de l’immobilier du Québec</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</si>
  <si>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</si>
  <si>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</si>
  <si>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</si>
  <si>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</si>
  <si>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</si>
  <si>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</si>
  <si>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</si>
  <si>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</si>
  <si>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</si>
  <si>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</si>
  <si>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</si>
  <si>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</si>
  <si>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</si>
  <si>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</si>
  <si>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</si>
  <si>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</si>
  <si>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</si>
  <si>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</si>
  <si>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</si>
  <si>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</si>
  <si>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</si>
  <si>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</si>
  <si>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</si>
  <si>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</si>
  <si>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</si>
  <si>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</si>
  <si>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</si>
  <si>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</si>
  <si>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</si>
  <si>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</si>
  <si>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</si>
  <si>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</si>
  <si>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</si>
  <si>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</si>
  <si>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</si>
  <si>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</si>
  <si>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</si>
  <si>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</si>
  <si>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</si>
  <si>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</si>
  <si>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</si>
  <si>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</si>
  <si>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</si>
  <si>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</si>
  <si>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</si>
  <si>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</si>
  <si>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</si>
  <si>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</si>
  <si>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</si>
  <si>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</si>
  <si>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</si>
  <si>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</si>
  <si>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</si>
  <si>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</si>
  <si>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</si>
  <si>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</si>
  <si>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</si>
  <si>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</si>
  <si>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</si>
  <si>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</si>
  <si>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</si>
  <si>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</si>
  <si>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</si>
  <si>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Hair Inc Academy</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</si>
  <si>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</si>
  <si>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</si>
  <si>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</si>
  <si>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</si>
  <si>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</si>
  <si>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</si>
  <si>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</si>
  <si>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</si>
  <si>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</si>
  <si>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</si>
  <si>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</si>
  <si>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</si>
  <si>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</si>
  <si>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</si>
  <si>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</si>
  <si>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</si>
  <si>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</si>
  <si>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</si>
  <si>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</si>
  <si>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</si>
  <si>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</si>
  <si>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</si>
  <si>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</si>
  <si>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</si>
  <si>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</si>
  <si>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</si>
  <si>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</si>
  <si>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</si>
  <si>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</si>
  <si>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</si>
  <si>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</si>
  <si>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</si>
  <si>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</si>
  <si>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</si>
  <si>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</si>
  <si>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</si>
  <si>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</si>
  <si>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</si>
  <si>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</si>
  <si>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</si>
  <si>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</si>
  <si>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</si>
  <si>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</si>
  <si>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</si>
  <si>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</si>
  <si>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</si>
  <si>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Nipissing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</si>
  <si>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</si>
  <si>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</si>
  <si>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</si>
  <si>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</si>
  <si>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</si>
  <si>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</si>
  <si>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</si>
  <si>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</si>
  <si>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</si>
  <si>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</si>
  <si>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</si>
  <si>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</si>
  <si>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</si>
  <si>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</si>
  <si>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</si>
  <si>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</si>
  <si>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</si>
  <si>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</si>
  <si>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</si>
  <si>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</si>
  <si>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</si>
  <si>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</si>
  <si>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</si>
  <si>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</si>
  <si>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Regis College</t>
  </si>
  <si>
    <t xml:space="preserve">Robertson College</t>
  </si>
  <si>
    <t xml:space="preserve">Robin College</t>
  </si>
  <si>
    <t xml:space="preserve">Rocky Mountain College</t>
  </si>
  <si>
    <t xml:space="preserve">Rosebud School of the Arts</t>
  </si>
  <si>
    <t xml:space="preserve">Rosewood College</t>
  </si>
  <si>
    <t xml:space="preserve">Royal Canadian Business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</si>
  <si>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</si>
  <si>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</si>
  <si>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</si>
  <si>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</si>
  <si>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</si>
  <si>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</si>
  <si>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</si>
  <si>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</si>
  <si>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</si>
  <si>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</si>
  <si>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</si>
  <si>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</si>
  <si>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</si>
  <si>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</si>
  <si>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</si>
  <si>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Francis Xavier University</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</si>
  <si>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</si>
  <si>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</si>
  <si>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</si>
  <si>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</si>
  <si>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</si>
  <si>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</si>
  <si>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</si>
  <si>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</si>
  <si>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</si>
  <si>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</si>
  <si>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</si>
  <si>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</si>
  <si>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</si>
  <si>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</si>
  <si>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</si>
  <si>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</si>
  <si>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</si>
  <si>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</si>
  <si>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</si>
  <si>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</si>
  <si>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</si>
  <si>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</si>
  <si>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</si>
  <si>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</si>
  <si>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</si>
  <si>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</si>
  <si>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</si>
  <si>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</si>
  <si>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</si>
  <si>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</si>
  <si>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</si>
  <si>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</si>
  <si>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</si>
  <si>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</si>
  <si>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</si>
  <si>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</si>
  <si>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</si>
  <si>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</si>
  <si>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</si>
  <si>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</si>
  <si>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</si>
  <si>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</si>
  <si>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</si>
  <si>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</si>
  <si>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</si>
  <si>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</si>
  <si>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</si>
  <si>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</si>
  <si>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</si>
  <si>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</si>
  <si>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</si>
  <si>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</si>
  <si>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</si>
  <si>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</si>
  <si>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</si>
  <si>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</si>
  <si>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</si>
  <si>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</si>
  <si>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management INSA</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</si>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</sst>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3806</v>
      </c>
      <c r="D2" s="5" t="n">
        <f aca="false">SUM('Per provider'!D3:D54)</f>
        <v>2705</v>
      </c>
      <c r="E2" s="5" t="n">
        <f aca="false">SUM('Per provider'!E3:E54)</f>
        <v>2639</v>
      </c>
      <c r="F2" s="6" t="n">
        <f aca="false">SUM('Per provider'!F3:F54)</f>
        <v>2622</v>
      </c>
      <c r="G2" s="7" t="n">
        <f aca="false">F2-E2</f>
        <v>-17</v>
      </c>
      <c r="H2" s="7" t="n">
        <f aca="false">F2-D2</f>
        <v>-83</v>
      </c>
      <c r="I2" s="8" t="n">
        <f aca="false">IF(C2=0,0,D2/C2)</f>
        <v>0.710719915922228</v>
      </c>
      <c r="J2" s="8" t="n">
        <f aca="false">IF(C2=0,0,F2/C2)</f>
        <v>0.688912243825539</v>
      </c>
    </row>
    <row r="3" customFormat="false" ht="15" hidden="false" customHeight="false" outlineLevel="0" collapsed="false">
      <c r="A3" s="4" t="s">
        <v>24</v>
      </c>
      <c r="B3" s="4" t="s">
        <v>23</v>
      </c>
      <c r="C3" s="5" t="n">
        <f aca="false">SUM('Per provider'!C3:C54)</f>
        <v>3806</v>
      </c>
      <c r="D3" s="5" t="n">
        <f aca="false">SUM('Per provider'!I3:I54)</f>
        <v>2701</v>
      </c>
      <c r="E3" s="5" t="n">
        <f aca="false">SUM('Per provider'!J3:J54)</f>
        <v>2703</v>
      </c>
      <c r="F3" s="6" t="n">
        <f aca="false">SUM('Per provider'!K3:K54)</f>
        <v>3806</v>
      </c>
      <c r="G3" s="7" t="n">
        <f aca="false">F3-E3</f>
        <v>1103</v>
      </c>
      <c r="H3" s="7" t="n">
        <f aca="false">F3-D3</f>
        <v>1105</v>
      </c>
      <c r="I3" s="8" t="n">
        <f aca="false">IF(C3=0,0,D3/C3)</f>
        <v>0.70966894377299</v>
      </c>
      <c r="J3" s="8" t="n">
        <f aca="false">IF(C3=0,0,F3/C3)</f>
        <v>1</v>
      </c>
    </row>
    <row r="4" customFormat="false" ht="15" hidden="false" customHeight="false" outlineLevel="0" collapsed="false">
      <c r="A4" s="4" t="s">
        <v>25</v>
      </c>
      <c r="B4" s="4" t="s">
        <v>23</v>
      </c>
      <c r="C4" s="5" t="n">
        <f aca="false">SUM('Per provider'!C3:C54)</f>
        <v>3806</v>
      </c>
      <c r="D4" s="5" t="n">
        <f aca="false">SUM('Per provider'!N3:N54)</f>
        <v>4624</v>
      </c>
      <c r="E4" s="5" t="n">
        <f aca="false">SUM('Per provider'!O3:O54)</f>
        <v>4624</v>
      </c>
      <c r="F4" s="6" t="n">
        <f aca="false">SUM('Per provider'!P3:P54)</f>
        <v>3746</v>
      </c>
      <c r="G4" s="7" t="n">
        <f aca="false">F4-E4</f>
        <v>-878</v>
      </c>
      <c r="H4" s="7" t="n">
        <f aca="false">F4-D4</f>
        <v>-878</v>
      </c>
      <c r="I4" s="8" t="n">
        <f aca="false">IF(C4=0,0,D4/C4)</f>
        <v>1.21492380451918</v>
      </c>
      <c r="J4" s="8" t="n">
        <f aca="false">IF(C4=0,0,F4/C4)</f>
        <v>0.984235417761429</v>
      </c>
    </row>
    <row r="5" customFormat="false" ht="15" hidden="false" customHeight="false" outlineLevel="0" collapsed="false">
      <c r="A5" s="4" t="s">
        <v>26</v>
      </c>
      <c r="B5" s="4" t="s">
        <v>23</v>
      </c>
      <c r="C5" s="5" t="n">
        <f aca="false">SUM('Per provider'!C3:C54)</f>
        <v>3806</v>
      </c>
      <c r="D5" s="5" t="n">
        <f aca="false">SUM('Per provider'!S3:S54)</f>
        <v>1527</v>
      </c>
      <c r="E5" s="5" t="n">
        <f aca="false">SUM('Per provider'!T3:T54)</f>
        <v>1538</v>
      </c>
      <c r="F5" s="6" t="n">
        <f aca="false">SUM('Per provider'!U3:U54)</f>
        <v>1554</v>
      </c>
      <c r="G5" s="7" t="n">
        <f aca="false">F5-E5</f>
        <v>16</v>
      </c>
      <c r="H5" s="7" t="n">
        <f aca="false">F5-D5</f>
        <v>27</v>
      </c>
      <c r="I5" s="8" t="n">
        <f aca="false">IF(C5=0,0,D5/C5)</f>
        <v>0.401208617971624</v>
      </c>
      <c r="J5" s="8" t="n">
        <f aca="false">IF(C5=0,0,F5/C5)</f>
        <v>0.408302679978981</v>
      </c>
    </row>
    <row r="6" customFormat="false" ht="15" hidden="false" customHeight="false" outlineLevel="0" collapsed="false">
      <c r="A6" s="4" t="s">
        <v>27</v>
      </c>
      <c r="B6" s="4" t="s">
        <v>23</v>
      </c>
      <c r="C6" s="5" t="n">
        <f aca="false">SUM('Per provider'!C3:C54)</f>
        <v>3806</v>
      </c>
      <c r="D6" s="5" t="n">
        <f aca="false">SUM('Per provider'!X3:X54)</f>
        <v>2939</v>
      </c>
      <c r="E6" s="5" t="n">
        <f aca="false">SUM('Per provider'!Y3:Y54)</f>
        <v>2946</v>
      </c>
      <c r="F6" s="6" t="n">
        <f aca="false">SUM('Per provider'!Z3:Z54)</f>
        <v>2743</v>
      </c>
      <c r="G6" s="7" t="n">
        <f aca="false">F6-E6</f>
        <v>-203</v>
      </c>
      <c r="H6" s="7" t="n">
        <f aca="false">F6-D6</f>
        <v>-196</v>
      </c>
      <c r="I6" s="8" t="n">
        <f aca="false">IF(C6=0,0,D6/C6)</f>
        <v>0.772201786652654</v>
      </c>
      <c r="J6" s="8" t="n">
        <f aca="false">IF(C6=0,0,F6/C6)</f>
        <v>0.720704151339989</v>
      </c>
    </row>
    <row r="7" customFormat="false" ht="15" hidden="false" customHeight="false" outlineLevel="0" collapsed="false">
      <c r="A7" s="4" t="s">
        <v>28</v>
      </c>
      <c r="B7" s="4" t="s">
        <v>23</v>
      </c>
      <c r="C7" s="5" t="n">
        <f aca="false">SUM('Per provider'!C3:C54)</f>
        <v>3806</v>
      </c>
      <c r="D7" s="5" t="n">
        <f aca="false">SUM('Per provider'!AC3:AC54)</f>
        <v>2403</v>
      </c>
      <c r="E7" s="5" t="n">
        <f aca="false">SUM('Per provider'!AD3:AD54)</f>
        <v>2438</v>
      </c>
      <c r="F7" s="6" t="n">
        <f aca="false">SUM('Per provider'!AE3:AE54)</f>
        <v>2332</v>
      </c>
      <c r="G7" s="7" t="n">
        <f aca="false">F7-E7</f>
        <v>-106</v>
      </c>
      <c r="H7" s="7" t="n">
        <f aca="false">F7-D7</f>
        <v>-71</v>
      </c>
      <c r="I7" s="8" t="n">
        <f aca="false">IF(C7=0,0,D7/C7)</f>
        <v>0.631371518654756</v>
      </c>
      <c r="J7" s="8" t="n">
        <f aca="false">IF(C7=0,0,F7/C7)</f>
        <v>0.61271676300578</v>
      </c>
    </row>
    <row r="8" customFormat="false" ht="15" hidden="false" customHeight="false" outlineLevel="0" collapsed="false">
      <c r="A8" s="4" t="s">
        <v>29</v>
      </c>
      <c r="B8" s="4" t="s">
        <v>23</v>
      </c>
      <c r="C8" s="5" t="n">
        <f aca="false">SUM('Per provider'!C3:C54)</f>
        <v>3806</v>
      </c>
      <c r="D8" s="5" t="n">
        <f aca="false">SUM('Per provider'!AH3:AH54)</f>
        <v>1874</v>
      </c>
      <c r="E8" s="5" t="n">
        <f aca="false">SUM('Per provider'!AI3:AI54)</f>
        <v>1903</v>
      </c>
      <c r="F8" s="6" t="n">
        <f aca="false">SUM('Per provider'!AJ3:AJ54)</f>
        <v>1821</v>
      </c>
      <c r="G8" s="7" t="n">
        <f aca="false">F8-E8</f>
        <v>-82</v>
      </c>
      <c r="H8" s="7" t="n">
        <f aca="false">F8-D8</f>
        <v>-53</v>
      </c>
      <c r="I8" s="8" t="n">
        <f aca="false">IF(C8=0,0,D8/C8)</f>
        <v>0.492380451918024</v>
      </c>
      <c r="J8" s="8" t="n">
        <f aca="false">IF(C8=0,0,F8/C8)</f>
        <v>0.47845507094062</v>
      </c>
    </row>
    <row r="9" customFormat="false" ht="15" hidden="false" customHeight="false" outlineLevel="0" collapsed="false">
      <c r="A9" s="4" t="s">
        <v>30</v>
      </c>
      <c r="B9" s="4" t="s">
        <v>23</v>
      </c>
      <c r="C9" s="5" t="n">
        <f aca="false">SUM('Per provider'!C3:C54)</f>
        <v>3806</v>
      </c>
      <c r="D9" s="5" t="n">
        <f aca="false">SUM('Per provider'!AM3:AM54)</f>
        <v>4723</v>
      </c>
      <c r="E9" s="5" t="n">
        <f aca="false">SUM('Per provider'!AN3:AN54)</f>
        <v>4723</v>
      </c>
      <c r="F9" s="6" t="n">
        <f aca="false">SUM('Per provider'!AO3:AO54)</f>
        <v>3806</v>
      </c>
      <c r="G9" s="7" t="n">
        <f aca="false">F9-E9</f>
        <v>-917</v>
      </c>
      <c r="H9" s="7" t="n">
        <f aca="false">F9-D9</f>
        <v>-917</v>
      </c>
      <c r="I9" s="8" t="n">
        <f aca="false">IF(C9=0,0,D9/C9)</f>
        <v>1.24093536521282</v>
      </c>
      <c r="J9" s="8" t="n">
        <f aca="false">IF(C9=0,0,F9/C9)</f>
        <v>1</v>
      </c>
    </row>
    <row r="10" customFormat="false" ht="15" hidden="false" customHeight="false" outlineLevel="0" collapsed="false">
      <c r="A10" s="4" t="s">
        <v>31</v>
      </c>
      <c r="B10" s="4" t="s">
        <v>23</v>
      </c>
      <c r="C10" s="5" t="n">
        <f aca="false">SUM('Per provider'!C3:C54)</f>
        <v>3806</v>
      </c>
      <c r="D10" s="5" t="n">
        <f aca="false">SUM('Per provider'!AR3:AR54)</f>
        <v>419</v>
      </c>
      <c r="E10" s="5" t="n">
        <f aca="false">SUM('Per provider'!AS3:AS54)</f>
        <v>419</v>
      </c>
      <c r="F10" s="6" t="n">
        <f aca="false">SUM('Per provider'!AT3:AT54)</f>
        <v>474</v>
      </c>
      <c r="G10" s="7" t="n">
        <f aca="false">F10-E10</f>
        <v>55</v>
      </c>
      <c r="H10" s="7" t="n">
        <f aca="false">F10-D10</f>
        <v>55</v>
      </c>
      <c r="I10" s="8" t="n">
        <f aca="false">IF(C10=0,0,D10/C10)</f>
        <v>0.110089332632685</v>
      </c>
      <c r="J10" s="8" t="n">
        <f aca="false">IF(C10=0,0,F10/C10)</f>
        <v>0.124540199684708</v>
      </c>
    </row>
    <row r="11" customFormat="false" ht="15" hidden="false" customHeight="false" outlineLevel="0" collapsed="false">
      <c r="A11" s="4" t="s">
        <v>32</v>
      </c>
      <c r="B11" s="4" t="s">
        <v>23</v>
      </c>
      <c r="C11" s="5" t="n">
        <f aca="false">SUM('Per provider'!C3:C54)</f>
        <v>3806</v>
      </c>
      <c r="D11" s="5" t="n">
        <f aca="false">SUM('Per provider'!AW3:AW54)</f>
        <v>1049</v>
      </c>
      <c r="E11" s="5" t="n">
        <f aca="false">SUM('Per provider'!AX3:AX54)</f>
        <v>1153</v>
      </c>
      <c r="F11" s="6" t="n">
        <f aca="false">SUM('Per provider'!AY3:AY54)</f>
        <v>1169</v>
      </c>
      <c r="G11" s="7" t="n">
        <f aca="false">F11-E11</f>
        <v>16</v>
      </c>
      <c r="H11" s="7" t="n">
        <f aca="false">F11-D11</f>
        <v>120</v>
      </c>
      <c r="I11" s="8" t="n">
        <f aca="false">IF(C11=0,0,D11/C11)</f>
        <v>0.275617446137677</v>
      </c>
      <c r="J11" s="8" t="n">
        <f aca="false">IF(C11=0,0,F11/C11)</f>
        <v>0.307146610614819</v>
      </c>
    </row>
    <row r="12" customFormat="false" ht="15" hidden="false" customHeight="false" outlineLevel="0" collapsed="false">
      <c r="A12" s="4" t="s">
        <v>33</v>
      </c>
      <c r="B12" s="4" t="s">
        <v>23</v>
      </c>
      <c r="C12" s="5" t="n">
        <f aca="false">SUM('Per provider'!C3:C54)</f>
        <v>3806</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3806</v>
      </c>
      <c r="D13" s="5" t="n">
        <f aca="false">SUM('Per provider'!BG3:BG54)</f>
        <v>1789</v>
      </c>
      <c r="E13" s="5" t="n">
        <f aca="false">SUM('Per provider'!BH3:BH54)</f>
        <v>1789</v>
      </c>
      <c r="F13" s="6" t="n">
        <f aca="false">SUM('Per provider'!BI3:BI54)</f>
        <v>1775</v>
      </c>
      <c r="G13" s="7" t="n">
        <f aca="false">F13-E13</f>
        <v>-14</v>
      </c>
      <c r="H13" s="7" t="n">
        <f aca="false">F13-D13</f>
        <v>-14</v>
      </c>
      <c r="I13" s="8" t="n">
        <f aca="false">IF(C13=0,0,D13/C13)</f>
        <v>0.470047293746716</v>
      </c>
      <c r="J13" s="8" t="n">
        <f aca="false">IF(C13=0,0,F13/C13)</f>
        <v>0.466368891224383</v>
      </c>
    </row>
    <row r="14" customFormat="false" ht="15" hidden="false" customHeight="false" outlineLevel="0" collapsed="false">
      <c r="A14" s="4" t="s">
        <v>35</v>
      </c>
      <c r="B14" s="4" t="s">
        <v>23</v>
      </c>
      <c r="C14" s="5" t="n">
        <f aca="false">SUM('Per provider'!C3:C54)</f>
        <v>3806</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3806</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41</v>
      </c>
      <c r="F18" s="6" t="n">
        <f aca="false">COUNTIF('Per provider'!CD3:CD54,"Yes")</f>
        <v>43</v>
      </c>
      <c r="G18" s="7" t="n">
        <f aca="false">F18-E18</f>
        <v>2</v>
      </c>
      <c r="H18" s="7" t="n">
        <f aca="false">F18-D18</f>
        <v>2</v>
      </c>
      <c r="I18" s="8" t="n">
        <f aca="false">IF(C18=0,0,D18/C18)</f>
        <v>0.788461538461538</v>
      </c>
      <c r="J18" s="8" t="n">
        <f aca="false">IF(C18=0,0,F18/C18)</f>
        <v>0.826923076923077</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12</v>
      </c>
      <c r="F23" s="6" t="n">
        <f aca="false">COUNTIF('Per provider'!CS3:CS54,"Yes")</f>
        <v>13</v>
      </c>
      <c r="G23" s="7" t="n">
        <f aca="false">F23-E23</f>
        <v>1</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569</v>
      </c>
      <c r="P3" s="11" t="n">
        <v>570</v>
      </c>
      <c r="Q3" s="12" t="n">
        <f aca="false">P3-O3</f>
        <v>1</v>
      </c>
      <c r="R3" s="12" t="n">
        <f aca="false">P3-N3</f>
        <v>1</v>
      </c>
      <c r="S3" s="10" t="n">
        <v>270</v>
      </c>
      <c r="T3" s="10" t="n">
        <v>279</v>
      </c>
      <c r="U3" s="11" t="n">
        <v>313</v>
      </c>
      <c r="V3" s="12" t="n">
        <f aca="false">U3-T3</f>
        <v>34</v>
      </c>
      <c r="W3" s="12" t="n">
        <f aca="false">U3-S3</f>
        <v>43</v>
      </c>
      <c r="X3" s="10" t="n">
        <v>441</v>
      </c>
      <c r="Y3" s="10" t="n">
        <v>445</v>
      </c>
      <c r="Z3" s="11" t="n">
        <v>467</v>
      </c>
      <c r="AA3" s="12" t="n">
        <f aca="false">Z3-Y3</f>
        <v>22</v>
      </c>
      <c r="AB3" s="12" t="n">
        <f aca="false">Z3-X3</f>
        <v>26</v>
      </c>
      <c r="AC3" s="10" t="n">
        <v>465</v>
      </c>
      <c r="AD3" s="10" t="n">
        <v>472</v>
      </c>
      <c r="AE3" s="11" t="n">
        <v>497</v>
      </c>
      <c r="AF3" s="12" t="n">
        <f aca="false">AE3-AD3</f>
        <v>25</v>
      </c>
      <c r="AG3" s="12" t="n">
        <f aca="false">AE3-AC3</f>
        <v>32</v>
      </c>
      <c r="AH3" s="10" t="n">
        <v>465</v>
      </c>
      <c r="AI3" s="10" t="n">
        <v>472</v>
      </c>
      <c r="AJ3" s="11" t="n">
        <v>497</v>
      </c>
      <c r="AK3" s="12" t="n">
        <f aca="false">AJ3-AI3</f>
        <v>25</v>
      </c>
      <c r="AL3" s="12" t="n">
        <f aca="false">AJ3-AH3</f>
        <v>32</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283</v>
      </c>
      <c r="AY3" s="11" t="n">
        <v>250</v>
      </c>
      <c r="AZ3" s="12" t="n">
        <f aca="false">AY3-AX3</f>
        <v>-33</v>
      </c>
      <c r="BA3" s="12" t="n">
        <f aca="false">AY3-AW3</f>
        <v>0</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371</v>
      </c>
      <c r="P4" s="11" t="n">
        <v>371</v>
      </c>
      <c r="Q4" s="12" t="n">
        <f aca="false">P4-O4</f>
        <v>0</v>
      </c>
      <c r="R4" s="12" t="n">
        <f aca="false">P4-N4</f>
        <v>0</v>
      </c>
      <c r="S4" s="10" t="n">
        <v>17</v>
      </c>
      <c r="T4" s="10" t="n">
        <v>17</v>
      </c>
      <c r="U4" s="11" t="n">
        <v>17</v>
      </c>
      <c r="V4" s="12" t="n">
        <f aca="false">U4-T4</f>
        <v>0</v>
      </c>
      <c r="W4" s="12" t="n">
        <f aca="false">U4-S4</f>
        <v>0</v>
      </c>
      <c r="X4" s="10" t="n">
        <v>134</v>
      </c>
      <c r="Y4" s="10" t="n">
        <v>134</v>
      </c>
      <c r="Z4" s="11" t="n">
        <v>134</v>
      </c>
      <c r="AA4" s="12" t="n">
        <f aca="false">Z4-Y4</f>
        <v>0</v>
      </c>
      <c r="AB4" s="12" t="n">
        <f aca="false">Z4-X4</f>
        <v>0</v>
      </c>
      <c r="AC4" s="10" t="n">
        <v>172</v>
      </c>
      <c r="AD4" s="10" t="n">
        <v>172</v>
      </c>
      <c r="AE4" s="11" t="n">
        <v>172</v>
      </c>
      <c r="AF4" s="12" t="n">
        <f aca="false">AE4-AD4</f>
        <v>0</v>
      </c>
      <c r="AG4" s="12" t="n">
        <f aca="false">AE4-AC4</f>
        <v>0</v>
      </c>
      <c r="AH4" s="10" t="n">
        <v>172</v>
      </c>
      <c r="AI4" s="10" t="n">
        <v>172</v>
      </c>
      <c r="AJ4" s="11" t="n">
        <v>172</v>
      </c>
      <c r="AK4" s="12" t="n">
        <f aca="false">AJ4-AI4</f>
        <v>0</v>
      </c>
      <c r="AL4" s="12" t="n">
        <f aca="false">AJ4-AH4</f>
        <v>0</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270</v>
      </c>
      <c r="F5" s="11" t="n">
        <v>264</v>
      </c>
      <c r="G5" s="12" t="n">
        <f aca="false">F5-E5</f>
        <v>-6</v>
      </c>
      <c r="H5" s="12" t="n">
        <f aca="false">F5-D5</f>
        <v>-6</v>
      </c>
      <c r="I5" s="10" t="n">
        <v>34</v>
      </c>
      <c r="J5" s="10" t="n">
        <v>34</v>
      </c>
      <c r="K5" s="11" t="n">
        <v>270</v>
      </c>
      <c r="L5" s="12" t="n">
        <f aca="false">K5-J5</f>
        <v>236</v>
      </c>
      <c r="M5" s="12" t="n">
        <f aca="false">K5-I5</f>
        <v>236</v>
      </c>
      <c r="N5" s="10" t="n">
        <v>312</v>
      </c>
      <c r="O5" s="10" t="n">
        <v>312</v>
      </c>
      <c r="P5" s="11" t="n">
        <v>267</v>
      </c>
      <c r="Q5" s="12" t="n">
        <f aca="false">P5-O5</f>
        <v>-45</v>
      </c>
      <c r="R5" s="12" t="n">
        <f aca="false">P5-N5</f>
        <v>-45</v>
      </c>
      <c r="S5" s="10" t="n">
        <v>157</v>
      </c>
      <c r="T5" s="10" t="n">
        <v>157</v>
      </c>
      <c r="U5" s="11" t="n">
        <v>152</v>
      </c>
      <c r="V5" s="12" t="n">
        <f aca="false">U5-T5</f>
        <v>-5</v>
      </c>
      <c r="W5" s="12" t="n">
        <f aca="false">U5-S5</f>
        <v>-5</v>
      </c>
      <c r="X5" s="10" t="n">
        <v>275</v>
      </c>
      <c r="Y5" s="10" t="n">
        <v>275</v>
      </c>
      <c r="Z5" s="11" t="n">
        <v>263</v>
      </c>
      <c r="AA5" s="12" t="n">
        <f aca="false">Z5-Y5</f>
        <v>-12</v>
      </c>
      <c r="AB5" s="12" t="n">
        <f aca="false">Z5-X5</f>
        <v>-12</v>
      </c>
      <c r="AC5" s="10" t="n">
        <v>131</v>
      </c>
      <c r="AD5" s="10" t="n">
        <v>131</v>
      </c>
      <c r="AE5" s="11" t="n">
        <v>126</v>
      </c>
      <c r="AF5" s="12" t="n">
        <f aca="false">AE5-AD5</f>
        <v>-5</v>
      </c>
      <c r="AG5" s="12" t="n">
        <f aca="false">AE5-AC5</f>
        <v>-5</v>
      </c>
      <c r="AH5" s="10" t="n">
        <v>131</v>
      </c>
      <c r="AI5" s="10" t="n">
        <v>131</v>
      </c>
      <c r="AJ5" s="11" t="n">
        <v>126</v>
      </c>
      <c r="AK5" s="12" t="n">
        <f aca="false">AJ5-AI5</f>
        <v>-5</v>
      </c>
      <c r="AL5" s="12" t="n">
        <f aca="false">AJ5-AH5</f>
        <v>-5</v>
      </c>
      <c r="AM5" s="10" t="n">
        <v>315</v>
      </c>
      <c r="AN5" s="10" t="n">
        <v>315</v>
      </c>
      <c r="AO5" s="11" t="n">
        <v>270</v>
      </c>
      <c r="AP5" s="12" t="n">
        <f aca="false">AO5-AN5</f>
        <v>-45</v>
      </c>
      <c r="AQ5" s="12" t="n">
        <f aca="false">AO5-AM5</f>
        <v>-45</v>
      </c>
      <c r="AR5" s="10" t="n">
        <v>0</v>
      </c>
      <c r="AS5" s="10" t="n">
        <v>0</v>
      </c>
      <c r="AT5" s="11" t="n">
        <v>0</v>
      </c>
      <c r="AU5" s="12" t="n">
        <f aca="false">AT5-AS5</f>
        <v>0</v>
      </c>
      <c r="AV5" s="12" t="n">
        <f aca="false">AT5-AR5</f>
        <v>0</v>
      </c>
      <c r="AW5" s="10" t="n">
        <v>0</v>
      </c>
      <c r="AX5" s="10" t="n">
        <v>0</v>
      </c>
      <c r="AY5" s="11" t="n">
        <v>0</v>
      </c>
      <c r="AZ5" s="12" t="n">
        <f aca="false">AY5-AX5</f>
        <v>0</v>
      </c>
      <c r="BA5" s="12" t="n">
        <f aca="false">AY5-AW5</f>
        <v>0</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139</v>
      </c>
      <c r="F6" s="11" t="n">
        <v>140</v>
      </c>
      <c r="G6" s="12" t="n">
        <f aca="false">F6-E6</f>
        <v>1</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112</v>
      </c>
      <c r="U6" s="11" t="n">
        <v>112</v>
      </c>
      <c r="V6" s="12" t="n">
        <f aca="false">U6-T6</f>
        <v>0</v>
      </c>
      <c r="W6" s="12" t="n">
        <f aca="false">U6-S6</f>
        <v>0</v>
      </c>
      <c r="X6" s="10" t="n">
        <v>132</v>
      </c>
      <c r="Y6" s="10" t="n">
        <v>132</v>
      </c>
      <c r="Z6" s="11" t="n">
        <v>132</v>
      </c>
      <c r="AA6" s="12" t="n">
        <f aca="false">Z6-Y6</f>
        <v>0</v>
      </c>
      <c r="AB6" s="12" t="n">
        <f aca="false">Z6-X6</f>
        <v>0</v>
      </c>
      <c r="AC6" s="10" t="n">
        <v>105</v>
      </c>
      <c r="AD6" s="10" t="n">
        <v>107</v>
      </c>
      <c r="AE6" s="11" t="n">
        <v>107</v>
      </c>
      <c r="AF6" s="12" t="n">
        <f aca="false">AE6-AD6</f>
        <v>0</v>
      </c>
      <c r="AG6" s="12" t="n">
        <f aca="false">AE6-AC6</f>
        <v>2</v>
      </c>
      <c r="AH6" s="10" t="n">
        <v>105</v>
      </c>
      <c r="AI6" s="10" t="n">
        <v>107</v>
      </c>
      <c r="AJ6" s="11" t="n">
        <v>107</v>
      </c>
      <c r="AK6" s="12" t="n">
        <f aca="false">AJ6-AI6</f>
        <v>0</v>
      </c>
      <c r="AL6" s="12" t="n">
        <f aca="false">AJ6-AH6</f>
        <v>2</v>
      </c>
      <c r="AM6" s="10" t="n">
        <v>234</v>
      </c>
      <c r="AN6" s="10" t="n">
        <v>234</v>
      </c>
      <c r="AO6" s="11" t="n">
        <v>234</v>
      </c>
      <c r="AP6" s="12" t="n">
        <f aca="false">AO6-AN6</f>
        <v>0</v>
      </c>
      <c r="AQ6" s="12" t="n">
        <f aca="false">AO6-AM6</f>
        <v>0</v>
      </c>
      <c r="AR6" s="10" t="n">
        <v>1</v>
      </c>
      <c r="AS6" s="10" t="n">
        <v>1</v>
      </c>
      <c r="AT6" s="11" t="n">
        <v>1</v>
      </c>
      <c r="AU6" s="12" t="n">
        <f aca="false">AT6-AS6</f>
        <v>0</v>
      </c>
      <c r="AV6" s="12" t="n">
        <f aca="false">AT6-AR6</f>
        <v>0</v>
      </c>
      <c r="AW6" s="10" t="n">
        <v>95</v>
      </c>
      <c r="AX6" s="10" t="n">
        <v>95</v>
      </c>
      <c r="AY6" s="11" t="n">
        <v>95</v>
      </c>
      <c r="AZ6" s="12" t="n">
        <f aca="false">AY6-AX6</f>
        <v>0</v>
      </c>
      <c r="BA6" s="12" t="n">
        <f aca="false">AY6-AW6</f>
        <v>0</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54</v>
      </c>
      <c r="U7" s="11" t="n">
        <v>54</v>
      </c>
      <c r="V7" s="12" t="n">
        <f aca="false">U7-T7</f>
        <v>0</v>
      </c>
      <c r="W7" s="12" t="n">
        <f aca="false">U7-S7</f>
        <v>1</v>
      </c>
      <c r="X7" s="10" t="n">
        <v>103</v>
      </c>
      <c r="Y7" s="10" t="n">
        <v>104</v>
      </c>
      <c r="Z7" s="11" t="n">
        <v>104</v>
      </c>
      <c r="AA7" s="12" t="n">
        <f aca="false">Z7-Y7</f>
        <v>0</v>
      </c>
      <c r="AB7" s="12" t="n">
        <f aca="false">Z7-X7</f>
        <v>1</v>
      </c>
      <c r="AC7" s="10" t="n">
        <v>75</v>
      </c>
      <c r="AD7" s="10" t="n">
        <v>75</v>
      </c>
      <c r="AE7" s="11" t="n">
        <v>75</v>
      </c>
      <c r="AF7" s="12" t="n">
        <f aca="false">AE7-AD7</f>
        <v>0</v>
      </c>
      <c r="AG7" s="12" t="n">
        <f aca="false">AE7-AC7</f>
        <v>0</v>
      </c>
      <c r="AH7" s="10" t="n">
        <v>75</v>
      </c>
      <c r="AI7" s="10" t="n">
        <v>75</v>
      </c>
      <c r="AJ7" s="11" t="n">
        <v>75</v>
      </c>
      <c r="AK7" s="12" t="n">
        <f aca="false">AJ7-AI7</f>
        <v>0</v>
      </c>
      <c r="AL7" s="12" t="n">
        <f aca="false">AJ7-AH7</f>
        <v>0</v>
      </c>
      <c r="AM7" s="10" t="n">
        <v>208</v>
      </c>
      <c r="AN7" s="10" t="n">
        <v>208</v>
      </c>
      <c r="AO7" s="11" t="n">
        <v>208</v>
      </c>
      <c r="AP7" s="12" t="n">
        <f aca="false">AO7-AN7</f>
        <v>0</v>
      </c>
      <c r="AQ7" s="12" t="n">
        <f aca="false">AO7-AM7</f>
        <v>0</v>
      </c>
      <c r="AR7" s="10" t="n">
        <v>0</v>
      </c>
      <c r="AS7" s="10" t="n">
        <v>0</v>
      </c>
      <c r="AT7" s="11" t="n">
        <v>0</v>
      </c>
      <c r="AU7" s="12" t="n">
        <f aca="false">AT7-AS7</f>
        <v>0</v>
      </c>
      <c r="AV7" s="12" t="n">
        <f aca="false">AT7-AR7</f>
        <v>0</v>
      </c>
      <c r="AW7" s="10" t="n">
        <v>40</v>
      </c>
      <c r="AX7" s="10" t="n">
        <v>85</v>
      </c>
      <c r="AY7" s="11" t="n">
        <v>40</v>
      </c>
      <c r="AZ7" s="12" t="n">
        <f aca="false">AY7-AX7</f>
        <v>-45</v>
      </c>
      <c r="BA7" s="12" t="n">
        <f aca="false">AY7-AW7</f>
        <v>0</v>
      </c>
      <c r="BB7" s="10" t="n">
        <v>0</v>
      </c>
      <c r="BC7" s="10" t="n">
        <v>0</v>
      </c>
      <c r="BD7" s="11" t="n">
        <v>0</v>
      </c>
      <c r="BE7" s="12" t="n">
        <f aca="false">BD7-BC7</f>
        <v>0</v>
      </c>
      <c r="BF7" s="12" t="n">
        <f aca="false">BD7-BB7</f>
        <v>0</v>
      </c>
      <c r="BG7" s="10" t="n">
        <v>0</v>
      </c>
      <c r="BH7" s="10" t="n">
        <v>0</v>
      </c>
      <c r="BI7" s="11" t="n">
        <v>0</v>
      </c>
      <c r="BJ7" s="12" t="n">
        <f aca="false">BI7-BH7</f>
        <v>0</v>
      </c>
      <c r="BK7" s="12" t="n">
        <f aca="false">BI7-BG7</f>
        <v>0</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76</v>
      </c>
      <c r="U8" s="11" t="n">
        <v>99</v>
      </c>
      <c r="V8" s="12" t="n">
        <f aca="false">U8-T8</f>
        <v>23</v>
      </c>
      <c r="W8" s="12" t="n">
        <f aca="false">U8-S8</f>
        <v>23</v>
      </c>
      <c r="X8" s="10" t="n">
        <v>160</v>
      </c>
      <c r="Y8" s="10" t="n">
        <v>160</v>
      </c>
      <c r="Z8" s="11" t="n">
        <v>180</v>
      </c>
      <c r="AA8" s="12" t="n">
        <f aca="false">Z8-Y8</f>
        <v>20</v>
      </c>
      <c r="AB8" s="12" t="n">
        <f aca="false">Z8-X8</f>
        <v>20</v>
      </c>
      <c r="AC8" s="10" t="n">
        <v>159</v>
      </c>
      <c r="AD8" s="10" t="n">
        <v>159</v>
      </c>
      <c r="AE8" s="11" t="n">
        <v>179</v>
      </c>
      <c r="AF8" s="12" t="n">
        <f aca="false">AE8-AD8</f>
        <v>20</v>
      </c>
      <c r="AG8" s="12" t="n">
        <f aca="false">AE8-AC8</f>
        <v>20</v>
      </c>
      <c r="AH8" s="10" t="n">
        <v>159</v>
      </c>
      <c r="AI8" s="10" t="n">
        <v>159</v>
      </c>
      <c r="AJ8" s="11" t="n">
        <v>179</v>
      </c>
      <c r="AK8" s="12" t="n">
        <f aca="false">AJ8-AI8</f>
        <v>20</v>
      </c>
      <c r="AL8" s="12" t="n">
        <f aca="false">AJ8-AH8</f>
        <v>20</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155</v>
      </c>
      <c r="AY8" s="11" t="n">
        <v>169</v>
      </c>
      <c r="AZ8" s="12" t="n">
        <f aca="false">AY8-AX8</f>
        <v>14</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178</v>
      </c>
      <c r="P9" s="11" t="n">
        <v>178</v>
      </c>
      <c r="Q9" s="12" t="n">
        <f aca="false">P9-O9</f>
        <v>0</v>
      </c>
      <c r="R9" s="12" t="n">
        <f aca="false">P9-N9</f>
        <v>0</v>
      </c>
      <c r="S9" s="10" t="n">
        <v>25</v>
      </c>
      <c r="T9" s="10" t="n">
        <v>25</v>
      </c>
      <c r="U9" s="11" t="n">
        <v>27</v>
      </c>
      <c r="V9" s="12" t="n">
        <f aca="false">U9-T9</f>
        <v>2</v>
      </c>
      <c r="W9" s="12" t="n">
        <f aca="false">U9-S9</f>
        <v>2</v>
      </c>
      <c r="X9" s="10" t="n">
        <v>65</v>
      </c>
      <c r="Y9" s="10" t="n">
        <v>65</v>
      </c>
      <c r="Z9" s="11" t="n">
        <v>82</v>
      </c>
      <c r="AA9" s="12" t="n">
        <f aca="false">Z9-Y9</f>
        <v>17</v>
      </c>
      <c r="AB9" s="12" t="n">
        <f aca="false">Z9-X9</f>
        <v>17</v>
      </c>
      <c r="AC9" s="10" t="n">
        <v>73</v>
      </c>
      <c r="AD9" s="10" t="n">
        <v>73</v>
      </c>
      <c r="AE9" s="11" t="n">
        <v>97</v>
      </c>
      <c r="AF9" s="12" t="n">
        <f aca="false">AE9-AD9</f>
        <v>24</v>
      </c>
      <c r="AG9" s="12" t="n">
        <f aca="false">AE9-AC9</f>
        <v>24</v>
      </c>
      <c r="AH9" s="10" t="n">
        <v>73</v>
      </c>
      <c r="AI9" s="10" t="n">
        <v>73</v>
      </c>
      <c r="AJ9" s="11" t="n">
        <v>97</v>
      </c>
      <c r="AK9" s="12" t="n">
        <f aca="false">AJ9-AI9</f>
        <v>24</v>
      </c>
      <c r="AL9" s="12" t="n">
        <f aca="false">AJ9-AH9</f>
        <v>24</v>
      </c>
      <c r="AM9" s="10" t="n">
        <v>179</v>
      </c>
      <c r="AN9" s="10" t="n">
        <v>179</v>
      </c>
      <c r="AO9" s="11" t="n">
        <v>179</v>
      </c>
      <c r="AP9" s="12" t="n">
        <f aca="false">AO9-AN9</f>
        <v>0</v>
      </c>
      <c r="AQ9" s="12" t="n">
        <f aca="false">AO9-AM9</f>
        <v>0</v>
      </c>
      <c r="AR9" s="10" t="n">
        <v>0</v>
      </c>
      <c r="AS9" s="10" t="n">
        <v>0</v>
      </c>
      <c r="AT9" s="11" t="n">
        <v>0</v>
      </c>
      <c r="AU9" s="12" t="n">
        <f aca="false">AT9-AS9</f>
        <v>0</v>
      </c>
      <c r="AV9" s="12" t="n">
        <f aca="false">AT9-AR9</f>
        <v>0</v>
      </c>
      <c r="AW9" s="10" t="n">
        <v>3</v>
      </c>
      <c r="AX9" s="10" t="n">
        <v>23</v>
      </c>
      <c r="AY9" s="11" t="n">
        <v>3</v>
      </c>
      <c r="AZ9" s="12" t="n">
        <f aca="false">AY9-AX9</f>
        <v>-20</v>
      </c>
      <c r="BA9" s="12" t="n">
        <f aca="false">AY9-AW9</f>
        <v>0</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142</v>
      </c>
      <c r="F10" s="11" t="n">
        <v>138</v>
      </c>
      <c r="G10" s="12" t="n">
        <f aca="false">F10-E10</f>
        <v>-4</v>
      </c>
      <c r="H10" s="12" t="n">
        <f aca="false">F10-D10</f>
        <v>-4</v>
      </c>
      <c r="I10" s="10" t="n">
        <v>36</v>
      </c>
      <c r="J10" s="10" t="n">
        <v>36</v>
      </c>
      <c r="K10" s="11" t="n">
        <v>144</v>
      </c>
      <c r="L10" s="12" t="n">
        <f aca="false">K10-J10</f>
        <v>108</v>
      </c>
      <c r="M10" s="12" t="n">
        <f aca="false">K10-I10</f>
        <v>108</v>
      </c>
      <c r="N10" s="10" t="n">
        <v>156</v>
      </c>
      <c r="O10" s="10" t="n">
        <v>156</v>
      </c>
      <c r="P10" s="11" t="n">
        <v>143</v>
      </c>
      <c r="Q10" s="12" t="n">
        <f aca="false">P10-O10</f>
        <v>-13</v>
      </c>
      <c r="R10" s="12" t="n">
        <f aca="false">P10-N10</f>
        <v>-13</v>
      </c>
      <c r="S10" s="10" t="n">
        <v>12</v>
      </c>
      <c r="T10" s="10" t="n">
        <v>12</v>
      </c>
      <c r="U10" s="11" t="n">
        <v>11</v>
      </c>
      <c r="V10" s="12" t="n">
        <f aca="false">U10-T10</f>
        <v>-1</v>
      </c>
      <c r="W10" s="12" t="n">
        <f aca="false">U10-S10</f>
        <v>-1</v>
      </c>
      <c r="X10" s="10" t="n">
        <v>150</v>
      </c>
      <c r="Y10" s="10" t="n">
        <v>150</v>
      </c>
      <c r="Z10" s="11" t="n">
        <v>140</v>
      </c>
      <c r="AA10" s="12" t="n">
        <f aca="false">Z10-Y10</f>
        <v>-10</v>
      </c>
      <c r="AB10" s="12" t="n">
        <f aca="false">Z10-X10</f>
        <v>-10</v>
      </c>
      <c r="AC10" s="10" t="n">
        <v>81</v>
      </c>
      <c r="AD10" s="10" t="n">
        <v>101</v>
      </c>
      <c r="AE10" s="11" t="n">
        <v>92</v>
      </c>
      <c r="AF10" s="12" t="n">
        <f aca="false">AE10-AD10</f>
        <v>-9</v>
      </c>
      <c r="AG10" s="12" t="n">
        <f aca="false">AE10-AC10</f>
        <v>11</v>
      </c>
      <c r="AH10" s="10" t="n">
        <v>2</v>
      </c>
      <c r="AI10" s="10" t="n">
        <v>22</v>
      </c>
      <c r="AJ10" s="11" t="n">
        <v>20</v>
      </c>
      <c r="AK10" s="12" t="n">
        <f aca="false">AJ10-AI10</f>
        <v>-2</v>
      </c>
      <c r="AL10" s="12" t="n">
        <f aca="false">AJ10-AH10</f>
        <v>18</v>
      </c>
      <c r="AM10" s="10" t="n">
        <v>158</v>
      </c>
      <c r="AN10" s="10" t="n">
        <v>158</v>
      </c>
      <c r="AO10" s="11" t="n">
        <v>144</v>
      </c>
      <c r="AP10" s="12" t="n">
        <f aca="false">AO10-AN10</f>
        <v>-14</v>
      </c>
      <c r="AQ10" s="12" t="n">
        <f aca="false">AO10-AM10</f>
        <v>-14</v>
      </c>
      <c r="AR10" s="10" t="n">
        <v>0</v>
      </c>
      <c r="AS10" s="10" t="n">
        <v>0</v>
      </c>
      <c r="AT10" s="11" t="n">
        <v>0</v>
      </c>
      <c r="AU10" s="12" t="n">
        <f aca="false">AT10-AS10</f>
        <v>0</v>
      </c>
      <c r="AV10" s="12" t="n">
        <f aca="false">AT10-AR10</f>
        <v>0</v>
      </c>
      <c r="AW10" s="10" t="n">
        <v>136</v>
      </c>
      <c r="AX10" s="10" t="n">
        <v>136</v>
      </c>
      <c r="AY10" s="11" t="n">
        <v>133</v>
      </c>
      <c r="AZ10" s="12" t="n">
        <f aca="false">AY10-AX10</f>
        <v>-3</v>
      </c>
      <c r="BA10" s="12" t="n">
        <f aca="false">AY10-AW10</f>
        <v>-3</v>
      </c>
      <c r="BB10" s="10" t="n">
        <v>0</v>
      </c>
      <c r="BC10" s="10" t="n">
        <v>0</v>
      </c>
      <c r="BD10" s="11" t="n">
        <v>0</v>
      </c>
      <c r="BE10" s="12" t="n">
        <f aca="false">BD10-BC10</f>
        <v>0</v>
      </c>
      <c r="BF10" s="12" t="n">
        <f aca="false">BD10-BB10</f>
        <v>0</v>
      </c>
      <c r="BG10" s="10" t="n">
        <v>30</v>
      </c>
      <c r="BH10" s="10" t="n">
        <v>30</v>
      </c>
      <c r="BI10" s="11" t="n">
        <v>32</v>
      </c>
      <c r="BJ10" s="12" t="n">
        <f aca="false">BI10-BH10</f>
        <v>2</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59</v>
      </c>
      <c r="F11" s="11" t="n">
        <v>51</v>
      </c>
      <c r="G11" s="12" t="n">
        <f aca="false">F11-E11</f>
        <v>-8</v>
      </c>
      <c r="H11" s="12" t="n">
        <f aca="false">F11-D11</f>
        <v>-8</v>
      </c>
      <c r="I11" s="10" t="n">
        <v>8</v>
      </c>
      <c r="J11" s="10" t="n">
        <v>8</v>
      </c>
      <c r="K11" s="11" t="n">
        <v>105</v>
      </c>
      <c r="L11" s="12" t="n">
        <f aca="false">K11-J11</f>
        <v>97</v>
      </c>
      <c r="M11" s="12" t="n">
        <f aca="false">K11-I11</f>
        <v>97</v>
      </c>
      <c r="N11" s="10" t="n">
        <v>114</v>
      </c>
      <c r="O11" s="10" t="n">
        <v>114</v>
      </c>
      <c r="P11" s="11" t="n">
        <v>102</v>
      </c>
      <c r="Q11" s="12" t="n">
        <f aca="false">P11-O11</f>
        <v>-12</v>
      </c>
      <c r="R11" s="12" t="n">
        <f aca="false">P11-N11</f>
        <v>-12</v>
      </c>
      <c r="S11" s="10" t="n">
        <v>32</v>
      </c>
      <c r="T11" s="10" t="n">
        <v>32</v>
      </c>
      <c r="U11" s="11" t="n">
        <v>27</v>
      </c>
      <c r="V11" s="12" t="n">
        <f aca="false">U11-T11</f>
        <v>-5</v>
      </c>
      <c r="W11" s="12" t="n">
        <f aca="false">U11-S11</f>
        <v>-5</v>
      </c>
      <c r="X11" s="10" t="n">
        <v>117</v>
      </c>
      <c r="Y11" s="10" t="n">
        <v>117</v>
      </c>
      <c r="Z11" s="11" t="n">
        <v>105</v>
      </c>
      <c r="AA11" s="12" t="n">
        <f aca="false">Z11-Y11</f>
        <v>-12</v>
      </c>
      <c r="AB11" s="12" t="n">
        <f aca="false">Z11-X11</f>
        <v>-12</v>
      </c>
      <c r="AC11" s="10" t="n">
        <v>0</v>
      </c>
      <c r="AD11" s="10" t="n">
        <v>0</v>
      </c>
      <c r="AE11" s="11" t="n">
        <v>0</v>
      </c>
      <c r="AF11" s="12" t="n">
        <f aca="false">AE11-AD11</f>
        <v>0</v>
      </c>
      <c r="AG11" s="12" t="n">
        <f aca="false">AE11-AC11</f>
        <v>0</v>
      </c>
      <c r="AH11" s="10" t="n">
        <v>0</v>
      </c>
      <c r="AI11" s="10" t="n">
        <v>0</v>
      </c>
      <c r="AJ11" s="11" t="n">
        <v>0</v>
      </c>
      <c r="AK11" s="12" t="n">
        <f aca="false">AJ11-AI11</f>
        <v>0</v>
      </c>
      <c r="AL11" s="12" t="n">
        <f aca="false">AJ11-AH11</f>
        <v>0</v>
      </c>
      <c r="AM11" s="10" t="n">
        <v>117</v>
      </c>
      <c r="AN11" s="10" t="n">
        <v>117</v>
      </c>
      <c r="AO11" s="11" t="n">
        <v>105</v>
      </c>
      <c r="AP11" s="12" t="n">
        <f aca="false">AO11-AN11</f>
        <v>-12</v>
      </c>
      <c r="AQ11" s="12" t="n">
        <f aca="false">AO11-AM11</f>
        <v>-12</v>
      </c>
      <c r="AR11" s="10" t="n">
        <v>0</v>
      </c>
      <c r="AS11" s="10" t="n">
        <v>0</v>
      </c>
      <c r="AT11" s="11" t="n">
        <v>0</v>
      </c>
      <c r="AU11" s="12" t="n">
        <f aca="false">AT11-AS11</f>
        <v>0</v>
      </c>
      <c r="AV11" s="12" t="n">
        <f aca="false">AT11-AR11</f>
        <v>0</v>
      </c>
      <c r="AW11" s="10" t="n">
        <v>0</v>
      </c>
      <c r="AX11" s="10" t="n">
        <v>0</v>
      </c>
      <c r="AY11" s="11" t="n">
        <v>0</v>
      </c>
      <c r="AZ11" s="12" t="n">
        <f aca="false">AY11-AX11</f>
        <v>0</v>
      </c>
      <c r="BA11" s="12" t="n">
        <f aca="false">AY11-AW11</f>
        <v>0</v>
      </c>
      <c r="BB11" s="10" t="n">
        <v>0</v>
      </c>
      <c r="BC11" s="10" t="n">
        <v>0</v>
      </c>
      <c r="BD11" s="11" t="n">
        <v>0</v>
      </c>
      <c r="BE11" s="12" t="n">
        <f aca="false">BD11-BC11</f>
        <v>0</v>
      </c>
      <c r="BF11" s="12" t="n">
        <f aca="false">BD11-BB11</f>
        <v>0</v>
      </c>
      <c r="BG11" s="10" t="n">
        <v>7</v>
      </c>
      <c r="BH11" s="10" t="n">
        <v>7</v>
      </c>
      <c r="BI11" s="11" t="n">
        <v>6</v>
      </c>
      <c r="BJ11" s="12" t="n">
        <f aca="false">BI11-BH11</f>
        <v>-1</v>
      </c>
      <c r="BK11" s="12" t="n">
        <f aca="false">BI11-BG11</f>
        <v>-1</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52</v>
      </c>
      <c r="CD11" s="10" t="s">
        <v>52</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78</v>
      </c>
      <c r="F12" s="11" t="n">
        <v>77</v>
      </c>
      <c r="G12" s="12" t="n">
        <f aca="false">F12-E12</f>
        <v>-1</v>
      </c>
      <c r="H12" s="12" t="n">
        <f aca="false">F12-D12</f>
        <v>-1</v>
      </c>
      <c r="I12" s="10" t="n">
        <v>31</v>
      </c>
      <c r="J12" s="10" t="n">
        <v>31</v>
      </c>
      <c r="K12" s="11" t="n">
        <v>105</v>
      </c>
      <c r="L12" s="12" t="n">
        <f aca="false">K12-J12</f>
        <v>74</v>
      </c>
      <c r="M12" s="12" t="n">
        <f aca="false">K12-I12</f>
        <v>74</v>
      </c>
      <c r="N12" s="10" t="n">
        <v>110</v>
      </c>
      <c r="O12" s="10" t="n">
        <v>110</v>
      </c>
      <c r="P12" s="11" t="n">
        <v>102</v>
      </c>
      <c r="Q12" s="12" t="n">
        <f aca="false">P12-O12</f>
        <v>-8</v>
      </c>
      <c r="R12" s="12" t="n">
        <f aca="false">P12-N12</f>
        <v>-8</v>
      </c>
      <c r="S12" s="10" t="n">
        <v>87</v>
      </c>
      <c r="T12" s="10" t="n">
        <v>87</v>
      </c>
      <c r="U12" s="11" t="n">
        <v>85</v>
      </c>
      <c r="V12" s="12" t="n">
        <f aca="false">U12-T12</f>
        <v>-2</v>
      </c>
      <c r="W12" s="12" t="n">
        <f aca="false">U12-S12</f>
        <v>-2</v>
      </c>
      <c r="X12" s="10" t="n">
        <v>99</v>
      </c>
      <c r="Y12" s="10" t="n">
        <v>99</v>
      </c>
      <c r="Z12" s="11" t="n">
        <v>93</v>
      </c>
      <c r="AA12" s="12" t="n">
        <f aca="false">Z12-Y12</f>
        <v>-6</v>
      </c>
      <c r="AB12" s="12" t="n">
        <f aca="false">Z12-X12</f>
        <v>-6</v>
      </c>
      <c r="AC12" s="10" t="n">
        <v>100</v>
      </c>
      <c r="AD12" s="10" t="n">
        <v>100</v>
      </c>
      <c r="AE12" s="11" t="n">
        <v>95</v>
      </c>
      <c r="AF12" s="12" t="n">
        <f aca="false">AE12-AD12</f>
        <v>-5</v>
      </c>
      <c r="AG12" s="12" t="n">
        <f aca="false">AE12-AC12</f>
        <v>-5</v>
      </c>
      <c r="AH12" s="10" t="n">
        <v>100</v>
      </c>
      <c r="AI12" s="10" t="n">
        <v>100</v>
      </c>
      <c r="AJ12" s="11" t="n">
        <v>95</v>
      </c>
      <c r="AK12" s="12" t="n">
        <f aca="false">AJ12-AI12</f>
        <v>-5</v>
      </c>
      <c r="AL12" s="12" t="n">
        <f aca="false">AJ12-AH12</f>
        <v>-5</v>
      </c>
      <c r="AM12" s="10" t="n">
        <v>114</v>
      </c>
      <c r="AN12" s="10" t="n">
        <v>114</v>
      </c>
      <c r="AO12" s="11" t="n">
        <v>105</v>
      </c>
      <c r="AP12" s="12" t="n">
        <f aca="false">AO12-AN12</f>
        <v>-9</v>
      </c>
      <c r="AQ12" s="12" t="n">
        <f aca="false">AO12-AM12</f>
        <v>-9</v>
      </c>
      <c r="AR12" s="10" t="n">
        <v>0</v>
      </c>
      <c r="AS12" s="10" t="n">
        <v>0</v>
      </c>
      <c r="AT12" s="11" t="n">
        <v>0</v>
      </c>
      <c r="AU12" s="12" t="n">
        <f aca="false">AT12-AS12</f>
        <v>0</v>
      </c>
      <c r="AV12" s="12" t="n">
        <f aca="false">AT12-AR12</f>
        <v>0</v>
      </c>
      <c r="AW12" s="10" t="n">
        <v>72</v>
      </c>
      <c r="AX12" s="10" t="n">
        <v>72</v>
      </c>
      <c r="AY12" s="11" t="n">
        <v>71</v>
      </c>
      <c r="AZ12" s="12" t="n">
        <f aca="false">AY12-AX12</f>
        <v>-1</v>
      </c>
      <c r="BA12" s="12" t="n">
        <f aca="false">AY12-AW12</f>
        <v>-1</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8</v>
      </c>
      <c r="F13" s="11" t="n">
        <v>91</v>
      </c>
      <c r="G13" s="12" t="n">
        <f aca="false">F13-E13</f>
        <v>83</v>
      </c>
      <c r="H13" s="12" t="n">
        <f aca="false">F13-D13</f>
        <v>83</v>
      </c>
      <c r="I13" s="10" t="n">
        <v>8</v>
      </c>
      <c r="J13" s="10" t="n">
        <v>8</v>
      </c>
      <c r="K13" s="11" t="n">
        <v>91</v>
      </c>
      <c r="L13" s="12" t="n">
        <f aca="false">K13-J13</f>
        <v>83</v>
      </c>
      <c r="M13" s="12" t="n">
        <f aca="false">K13-I13</f>
        <v>83</v>
      </c>
      <c r="N13" s="10" t="n">
        <v>8</v>
      </c>
      <c r="O13" s="10" t="n">
        <v>8</v>
      </c>
      <c r="P13" s="11" t="n">
        <v>88</v>
      </c>
      <c r="Q13" s="12" t="n">
        <f aca="false">P13-O13</f>
        <v>80</v>
      </c>
      <c r="R13" s="12" t="n">
        <f aca="false">P13-N13</f>
        <v>80</v>
      </c>
      <c r="S13" s="10" t="n">
        <v>8</v>
      </c>
      <c r="T13" s="10" t="n">
        <v>8</v>
      </c>
      <c r="U13" s="11" t="n">
        <v>85</v>
      </c>
      <c r="V13" s="12" t="n">
        <f aca="false">U13-T13</f>
        <v>77</v>
      </c>
      <c r="W13" s="12" t="n">
        <f aca="false">U13-S13</f>
        <v>77</v>
      </c>
      <c r="X13" s="10" t="n">
        <v>7</v>
      </c>
      <c r="Y13" s="10" t="n">
        <v>7</v>
      </c>
      <c r="Z13" s="11" t="n">
        <v>89</v>
      </c>
      <c r="AA13" s="12" t="n">
        <f aca="false">Z13-Y13</f>
        <v>82</v>
      </c>
      <c r="AB13" s="12" t="n">
        <f aca="false">Z13-X13</f>
        <v>82</v>
      </c>
      <c r="AC13" s="10" t="n">
        <v>8</v>
      </c>
      <c r="AD13" s="10" t="n">
        <v>8</v>
      </c>
      <c r="AE13" s="11" t="n">
        <v>82</v>
      </c>
      <c r="AF13" s="12" t="n">
        <f aca="false">AE13-AD13</f>
        <v>74</v>
      </c>
      <c r="AG13" s="12" t="n">
        <f aca="false">AE13-AC13</f>
        <v>74</v>
      </c>
      <c r="AH13" s="10" t="n">
        <v>0</v>
      </c>
      <c r="AI13" s="10" t="n">
        <v>0</v>
      </c>
      <c r="AJ13" s="11" t="n">
        <v>12</v>
      </c>
      <c r="AK13" s="12" t="n">
        <f aca="false">AJ13-AI13</f>
        <v>12</v>
      </c>
      <c r="AL13" s="12" t="n">
        <f aca="false">AJ13-AH13</f>
        <v>12</v>
      </c>
      <c r="AM13" s="10" t="n">
        <v>8</v>
      </c>
      <c r="AN13" s="10" t="n">
        <v>8</v>
      </c>
      <c r="AO13" s="11" t="n">
        <v>91</v>
      </c>
      <c r="AP13" s="12" t="n">
        <f aca="false">AO13-AN13</f>
        <v>83</v>
      </c>
      <c r="AQ13" s="12" t="n">
        <f aca="false">AO13-AM13</f>
        <v>83</v>
      </c>
      <c r="AR13" s="10" t="n">
        <v>7</v>
      </c>
      <c r="AS13" s="10" t="n">
        <v>7</v>
      </c>
      <c r="AT13" s="11" t="n">
        <v>49</v>
      </c>
      <c r="AU13" s="12" t="n">
        <f aca="false">AT13-AS13</f>
        <v>42</v>
      </c>
      <c r="AV13" s="12" t="n">
        <f aca="false">AT13-AR13</f>
        <v>42</v>
      </c>
      <c r="AW13" s="10" t="n">
        <v>6</v>
      </c>
      <c r="AX13" s="10" t="n">
        <v>6</v>
      </c>
      <c r="AY13" s="11" t="n">
        <v>55</v>
      </c>
      <c r="AZ13" s="12" t="n">
        <f aca="false">AY13-AX13</f>
        <v>49</v>
      </c>
      <c r="BA13" s="12" t="n">
        <f aca="false">AY13-AW13</f>
        <v>49</v>
      </c>
      <c r="BB13" s="10" t="n">
        <v>0</v>
      </c>
      <c r="BC13" s="10" t="n">
        <v>0</v>
      </c>
      <c r="BD13" s="11" t="n">
        <v>0</v>
      </c>
      <c r="BE13" s="12" t="n">
        <f aca="false">BD13-BC13</f>
        <v>0</v>
      </c>
      <c r="BF13" s="12" t="n">
        <f aca="false">BD13-BB13</f>
        <v>0</v>
      </c>
      <c r="BG13" s="10" t="n">
        <v>8</v>
      </c>
      <c r="BH13" s="10" t="n">
        <v>8</v>
      </c>
      <c r="BI13" s="11" t="n">
        <v>12</v>
      </c>
      <c r="BJ13" s="12" t="n">
        <f aca="false">BI13-BH13</f>
        <v>4</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4</v>
      </c>
      <c r="F14" s="11" t="n">
        <v>2</v>
      </c>
      <c r="G14" s="12" t="n">
        <f aca="false">F14-E14</f>
        <v>-2</v>
      </c>
      <c r="H14" s="12" t="n">
        <f aca="false">F14-D14</f>
        <v>-2</v>
      </c>
      <c r="I14" s="10" t="n">
        <v>86</v>
      </c>
      <c r="J14" s="10" t="n">
        <v>87</v>
      </c>
      <c r="K14" s="11" t="n">
        <v>87</v>
      </c>
      <c r="L14" s="12" t="n">
        <f aca="false">K14-J14</f>
        <v>0</v>
      </c>
      <c r="M14" s="12" t="n">
        <f aca="false">K14-I14</f>
        <v>1</v>
      </c>
      <c r="N14" s="10" t="n">
        <v>140</v>
      </c>
      <c r="O14" s="10" t="n">
        <v>140</v>
      </c>
      <c r="P14" s="11" t="n">
        <v>87</v>
      </c>
      <c r="Q14" s="12" t="n">
        <f aca="false">P14-O14</f>
        <v>-53</v>
      </c>
      <c r="R14" s="12" t="n">
        <f aca="false">P14-N14</f>
        <v>-53</v>
      </c>
      <c r="S14" s="10" t="n">
        <v>20</v>
      </c>
      <c r="T14" s="10" t="n">
        <v>21</v>
      </c>
      <c r="U14" s="11" t="n">
        <v>22</v>
      </c>
      <c r="V14" s="12" t="n">
        <f aca="false">U14-T14</f>
        <v>1</v>
      </c>
      <c r="W14" s="12" t="n">
        <f aca="false">U14-S14</f>
        <v>2</v>
      </c>
      <c r="X14" s="10" t="n">
        <v>24</v>
      </c>
      <c r="Y14" s="10" t="n">
        <v>25</v>
      </c>
      <c r="Z14" s="11" t="n">
        <v>14</v>
      </c>
      <c r="AA14" s="12" t="n">
        <f aca="false">Z14-Y14</f>
        <v>-11</v>
      </c>
      <c r="AB14" s="12" t="n">
        <f aca="false">Z14-X14</f>
        <v>-10</v>
      </c>
      <c r="AC14" s="10" t="n">
        <v>51</v>
      </c>
      <c r="AD14" s="10" t="n">
        <v>53</v>
      </c>
      <c r="AE14" s="11" t="n">
        <v>35</v>
      </c>
      <c r="AF14" s="12" t="n">
        <f aca="false">AE14-AD14</f>
        <v>-18</v>
      </c>
      <c r="AG14" s="12" t="n">
        <f aca="false">AE14-AC14</f>
        <v>-16</v>
      </c>
      <c r="AH14" s="10" t="n">
        <v>0</v>
      </c>
      <c r="AI14" s="10" t="n">
        <v>0</v>
      </c>
      <c r="AJ14" s="11" t="n">
        <v>0</v>
      </c>
      <c r="AK14" s="12" t="n">
        <f aca="false">AJ14-AI14</f>
        <v>0</v>
      </c>
      <c r="AL14" s="12" t="n">
        <f aca="false">AJ14-AH14</f>
        <v>0</v>
      </c>
      <c r="AM14" s="10" t="n">
        <v>141</v>
      </c>
      <c r="AN14" s="10" t="n">
        <v>141</v>
      </c>
      <c r="AO14" s="11" t="n">
        <v>87</v>
      </c>
      <c r="AP14" s="12" t="n">
        <f aca="false">AO14-AN14</f>
        <v>-54</v>
      </c>
      <c r="AQ14" s="12" t="n">
        <f aca="false">AO14-AM14</f>
        <v>-54</v>
      </c>
      <c r="AR14" s="10" t="n">
        <v>0</v>
      </c>
      <c r="AS14" s="10" t="n">
        <v>0</v>
      </c>
      <c r="AT14" s="11" t="n">
        <v>0</v>
      </c>
      <c r="AU14" s="12" t="n">
        <f aca="false">AT14-AS14</f>
        <v>0</v>
      </c>
      <c r="AV14" s="12" t="n">
        <f aca="false">AT14-AR14</f>
        <v>0</v>
      </c>
      <c r="AW14" s="10" t="n">
        <v>1</v>
      </c>
      <c r="AX14" s="10" t="n">
        <v>1</v>
      </c>
      <c r="AY14" s="11" t="n">
        <v>0</v>
      </c>
      <c r="AZ14" s="12" t="n">
        <f aca="false">AY14-AX14</f>
        <v>-1</v>
      </c>
      <c r="BA14" s="12" t="n">
        <f aca="false">AY14-AW14</f>
        <v>-1</v>
      </c>
      <c r="BB14" s="10" t="n">
        <v>0</v>
      </c>
      <c r="BC14" s="10" t="n">
        <v>0</v>
      </c>
      <c r="BD14" s="11" t="n">
        <v>0</v>
      </c>
      <c r="BE14" s="12" t="n">
        <f aca="false">BD14-BC14</f>
        <v>0</v>
      </c>
      <c r="BF14" s="12" t="n">
        <f aca="false">BD14-BB14</f>
        <v>0</v>
      </c>
      <c r="BG14" s="10" t="n">
        <v>0</v>
      </c>
      <c r="BH14" s="10" t="n">
        <v>0</v>
      </c>
      <c r="BI14" s="11" t="n">
        <v>0</v>
      </c>
      <c r="BJ14" s="12" t="n">
        <f aca="false">BI14-BH14</f>
        <v>0</v>
      </c>
      <c r="BK14" s="12" t="n">
        <f aca="false">BI14-BG14</f>
        <v>0</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79</v>
      </c>
      <c r="D15" s="10" t="n">
        <v>3</v>
      </c>
      <c r="E15" s="10" t="n">
        <v>3</v>
      </c>
      <c r="F15" s="11" t="n">
        <v>79</v>
      </c>
      <c r="G15" s="12" t="n">
        <f aca="false">F15-E15</f>
        <v>76</v>
      </c>
      <c r="H15" s="12" t="n">
        <f aca="false">F15-D15</f>
        <v>76</v>
      </c>
      <c r="I15" s="10" t="n">
        <v>3</v>
      </c>
      <c r="J15" s="10" t="n">
        <v>3</v>
      </c>
      <c r="K15" s="11" t="n">
        <v>79</v>
      </c>
      <c r="L15" s="12" t="n">
        <f aca="false">K15-J15</f>
        <v>76</v>
      </c>
      <c r="M15" s="12" t="n">
        <f aca="false">K15-I15</f>
        <v>76</v>
      </c>
      <c r="N15" s="10" t="n">
        <v>3</v>
      </c>
      <c r="O15" s="10" t="n">
        <v>3</v>
      </c>
      <c r="P15" s="11" t="n">
        <v>79</v>
      </c>
      <c r="Q15" s="12" t="n">
        <f aca="false">P15-O15</f>
        <v>76</v>
      </c>
      <c r="R15" s="12" t="n">
        <f aca="false">P15-N15</f>
        <v>76</v>
      </c>
      <c r="S15" s="10" t="n">
        <v>3</v>
      </c>
      <c r="T15" s="10" t="n">
        <v>3</v>
      </c>
      <c r="U15" s="11" t="n">
        <v>77</v>
      </c>
      <c r="V15" s="12" t="n">
        <f aca="false">U15-T15</f>
        <v>74</v>
      </c>
      <c r="W15" s="12" t="n">
        <f aca="false">U15-S15</f>
        <v>74</v>
      </c>
      <c r="X15" s="10" t="n">
        <v>3</v>
      </c>
      <c r="Y15" s="10" t="n">
        <v>3</v>
      </c>
      <c r="Z15" s="11" t="n">
        <v>79</v>
      </c>
      <c r="AA15" s="12" t="n">
        <f aca="false">Z15-Y15</f>
        <v>76</v>
      </c>
      <c r="AB15" s="12" t="n">
        <f aca="false">Z15-X15</f>
        <v>76</v>
      </c>
      <c r="AC15" s="10" t="n">
        <v>3</v>
      </c>
      <c r="AD15" s="10" t="n">
        <v>3</v>
      </c>
      <c r="AE15" s="11" t="n">
        <v>72</v>
      </c>
      <c r="AF15" s="12" t="n">
        <f aca="false">AE15-AD15</f>
        <v>69</v>
      </c>
      <c r="AG15" s="12" t="n">
        <f aca="false">AE15-AC15</f>
        <v>69</v>
      </c>
      <c r="AH15" s="10" t="n">
        <v>0</v>
      </c>
      <c r="AI15" s="10" t="n">
        <v>0</v>
      </c>
      <c r="AJ15" s="11" t="n">
        <v>25</v>
      </c>
      <c r="AK15" s="12" t="n">
        <f aca="false">AJ15-AI15</f>
        <v>25</v>
      </c>
      <c r="AL15" s="12" t="n">
        <f aca="false">AJ15-AH15</f>
        <v>25</v>
      </c>
      <c r="AM15" s="10" t="n">
        <v>3</v>
      </c>
      <c r="AN15" s="10" t="n">
        <v>3</v>
      </c>
      <c r="AO15" s="11" t="n">
        <v>79</v>
      </c>
      <c r="AP15" s="12" t="n">
        <f aca="false">AO15-AN15</f>
        <v>76</v>
      </c>
      <c r="AQ15" s="12" t="n">
        <f aca="false">AO15-AM15</f>
        <v>76</v>
      </c>
      <c r="AR15" s="10" t="n">
        <v>3</v>
      </c>
      <c r="AS15" s="10" t="n">
        <v>3</v>
      </c>
      <c r="AT15" s="11" t="n">
        <v>27</v>
      </c>
      <c r="AU15" s="12" t="n">
        <f aca="false">AT15-AS15</f>
        <v>24</v>
      </c>
      <c r="AV15" s="12" t="n">
        <f aca="false">AT15-AR15</f>
        <v>24</v>
      </c>
      <c r="AW15" s="10" t="n">
        <v>3</v>
      </c>
      <c r="AX15" s="10" t="n">
        <v>3</v>
      </c>
      <c r="AY15" s="11" t="n">
        <v>32</v>
      </c>
      <c r="AZ15" s="12" t="n">
        <f aca="false">AY15-AX15</f>
        <v>29</v>
      </c>
      <c r="BA15" s="12" t="n">
        <f aca="false">AY15-AW15</f>
        <v>29</v>
      </c>
      <c r="BB15" s="10" t="n">
        <v>0</v>
      </c>
      <c r="BC15" s="10" t="n">
        <v>0</v>
      </c>
      <c r="BD15" s="11" t="n">
        <v>0</v>
      </c>
      <c r="BE15" s="12" t="n">
        <f aca="false">BD15-BC15</f>
        <v>0</v>
      </c>
      <c r="BF15" s="12" t="n">
        <f aca="false">BD15-BB15</f>
        <v>0</v>
      </c>
      <c r="BG15" s="10" t="n">
        <v>0</v>
      </c>
      <c r="BH15" s="10" t="n">
        <v>0</v>
      </c>
      <c r="BI15" s="11" t="n">
        <v>3</v>
      </c>
      <c r="BJ15" s="12" t="n">
        <f aca="false">BI15-BH15</f>
        <v>3</v>
      </c>
      <c r="BK15" s="12" t="n">
        <f aca="false">BI15-BG15</f>
        <v>3</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75</v>
      </c>
      <c r="P16" s="11" t="n">
        <v>76</v>
      </c>
      <c r="Q16" s="12" t="n">
        <f aca="false">P16-O16</f>
        <v>1</v>
      </c>
      <c r="R16" s="12" t="n">
        <f aca="false">P16-N16</f>
        <v>1</v>
      </c>
      <c r="S16" s="10" t="n">
        <v>4</v>
      </c>
      <c r="T16" s="10" t="n">
        <v>4</v>
      </c>
      <c r="U16" s="11" t="n">
        <v>4</v>
      </c>
      <c r="V16" s="12" t="n">
        <f aca="false">U16-T16</f>
        <v>0</v>
      </c>
      <c r="W16" s="12" t="n">
        <f aca="false">U16-S16</f>
        <v>0</v>
      </c>
      <c r="X16" s="10" t="n">
        <v>45</v>
      </c>
      <c r="Y16" s="10" t="n">
        <v>45</v>
      </c>
      <c r="Z16" s="11" t="n">
        <v>47</v>
      </c>
      <c r="AA16" s="12" t="n">
        <f aca="false">Z16-Y16</f>
        <v>2</v>
      </c>
      <c r="AB16" s="12" t="n">
        <f aca="false">Z16-X16</f>
        <v>2</v>
      </c>
      <c r="AC16" s="10" t="n">
        <v>46</v>
      </c>
      <c r="AD16" s="10" t="n">
        <v>46</v>
      </c>
      <c r="AE16" s="11" t="n">
        <v>59</v>
      </c>
      <c r="AF16" s="12" t="n">
        <f aca="false">AE16-AD16</f>
        <v>13</v>
      </c>
      <c r="AG16" s="12" t="n">
        <f aca="false">AE16-AC16</f>
        <v>13</v>
      </c>
      <c r="AH16" s="10" t="n">
        <v>46</v>
      </c>
      <c r="AI16" s="10" t="n">
        <v>46</v>
      </c>
      <c r="AJ16" s="11" t="n">
        <v>59</v>
      </c>
      <c r="AK16" s="12" t="n">
        <f aca="false">AJ16-AI16</f>
        <v>13</v>
      </c>
      <c r="AL16" s="12" t="n">
        <f aca="false">AJ16-AH16</f>
        <v>13</v>
      </c>
      <c r="AM16" s="10" t="n">
        <v>76</v>
      </c>
      <c r="AN16" s="10" t="n">
        <v>76</v>
      </c>
      <c r="AO16" s="11" t="n">
        <v>76</v>
      </c>
      <c r="AP16" s="12" t="n">
        <f aca="false">AO16-AN16</f>
        <v>0</v>
      </c>
      <c r="AQ16" s="12" t="n">
        <f aca="false">AO16-AM16</f>
        <v>0</v>
      </c>
      <c r="AR16" s="10" t="n">
        <v>0</v>
      </c>
      <c r="AS16" s="10" t="n">
        <v>0</v>
      </c>
      <c r="AT16" s="11" t="n">
        <v>0</v>
      </c>
      <c r="AU16" s="12" t="n">
        <f aca="false">AT16-AS16</f>
        <v>0</v>
      </c>
      <c r="AV16" s="12" t="n">
        <f aca="false">AT16-AR16</f>
        <v>0</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1</v>
      </c>
      <c r="BI16" s="11" t="n">
        <v>1</v>
      </c>
      <c r="BJ16" s="12" t="n">
        <f aca="false">BI16-BH16</f>
        <v>0</v>
      </c>
      <c r="BK16" s="12" t="n">
        <f aca="false">BI16-BG16</f>
        <v>0</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73</v>
      </c>
      <c r="P17" s="11" t="n">
        <v>74</v>
      </c>
      <c r="Q17" s="12" t="n">
        <f aca="false">P17-O17</f>
        <v>1</v>
      </c>
      <c r="R17" s="12" t="n">
        <f aca="false">P17-N17</f>
        <v>1</v>
      </c>
      <c r="S17" s="10" t="n">
        <v>7</v>
      </c>
      <c r="T17" s="10" t="n">
        <v>7</v>
      </c>
      <c r="U17" s="11" t="n">
        <v>12</v>
      </c>
      <c r="V17" s="12" t="n">
        <f aca="false">U17-T17</f>
        <v>5</v>
      </c>
      <c r="W17" s="12" t="n">
        <f aca="false">U17-S17</f>
        <v>5</v>
      </c>
      <c r="X17" s="10" t="n">
        <v>21</v>
      </c>
      <c r="Y17" s="10" t="n">
        <v>21</v>
      </c>
      <c r="Z17" s="11" t="n">
        <v>24</v>
      </c>
      <c r="AA17" s="12" t="n">
        <f aca="false">Z17-Y17</f>
        <v>3</v>
      </c>
      <c r="AB17" s="12" t="n">
        <f aca="false">Z17-X17</f>
        <v>3</v>
      </c>
      <c r="AC17" s="10" t="n">
        <v>21</v>
      </c>
      <c r="AD17" s="10" t="n">
        <v>21</v>
      </c>
      <c r="AE17" s="11" t="n">
        <v>35</v>
      </c>
      <c r="AF17" s="12" t="n">
        <f aca="false">AE17-AD17</f>
        <v>14</v>
      </c>
      <c r="AG17" s="12" t="n">
        <f aca="false">AE17-AC17</f>
        <v>14</v>
      </c>
      <c r="AH17" s="10" t="n">
        <v>21</v>
      </c>
      <c r="AI17" s="10" t="n">
        <v>21</v>
      </c>
      <c r="AJ17" s="11" t="n">
        <v>35</v>
      </c>
      <c r="AK17" s="12" t="n">
        <f aca="false">AJ17-AI17</f>
        <v>14</v>
      </c>
      <c r="AL17" s="12" t="n">
        <f aca="false">AJ17-AH17</f>
        <v>14</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19</v>
      </c>
      <c r="AY17" s="11" t="n">
        <v>19</v>
      </c>
      <c r="AZ17" s="12" t="n">
        <f aca="false">AY17-AX17</f>
        <v>0</v>
      </c>
      <c r="BA17" s="12" t="n">
        <f aca="false">AY17-AW17</f>
        <v>0</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74</v>
      </c>
      <c r="F18" s="11" t="n">
        <v>72</v>
      </c>
      <c r="G18" s="12" t="n">
        <f aca="false">F18-E18</f>
        <v>-2</v>
      </c>
      <c r="H18" s="12" t="n">
        <f aca="false">F18-D18</f>
        <v>-2</v>
      </c>
      <c r="I18" s="10" t="n">
        <v>8</v>
      </c>
      <c r="J18" s="10" t="n">
        <v>8</v>
      </c>
      <c r="K18" s="11" t="n">
        <v>72</v>
      </c>
      <c r="L18" s="12" t="n">
        <f aca="false">K18-J18</f>
        <v>64</v>
      </c>
      <c r="M18" s="12" t="n">
        <f aca="false">K18-I18</f>
        <v>64</v>
      </c>
      <c r="N18" s="10" t="n">
        <v>79</v>
      </c>
      <c r="O18" s="10" t="n">
        <v>79</v>
      </c>
      <c r="P18" s="11" t="n">
        <v>70</v>
      </c>
      <c r="Q18" s="12" t="n">
        <f aca="false">P18-O18</f>
        <v>-9</v>
      </c>
      <c r="R18" s="12" t="n">
        <f aca="false">P18-N18</f>
        <v>-9</v>
      </c>
      <c r="S18" s="10" t="n">
        <v>82</v>
      </c>
      <c r="T18" s="10" t="n">
        <v>82</v>
      </c>
      <c r="U18" s="11" t="n">
        <v>72</v>
      </c>
      <c r="V18" s="12" t="n">
        <f aca="false">U18-T18</f>
        <v>-10</v>
      </c>
      <c r="W18" s="12" t="n">
        <f aca="false">U18-S18</f>
        <v>-10</v>
      </c>
      <c r="X18" s="10" t="n">
        <v>78</v>
      </c>
      <c r="Y18" s="10" t="n">
        <v>78</v>
      </c>
      <c r="Z18" s="11" t="n">
        <v>69</v>
      </c>
      <c r="AA18" s="12" t="n">
        <f aca="false">Z18-Y18</f>
        <v>-9</v>
      </c>
      <c r="AB18" s="12" t="n">
        <f aca="false">Z18-X18</f>
        <v>-9</v>
      </c>
      <c r="AC18" s="10" t="n">
        <v>80</v>
      </c>
      <c r="AD18" s="10" t="n">
        <v>80</v>
      </c>
      <c r="AE18" s="11" t="n">
        <v>72</v>
      </c>
      <c r="AF18" s="12" t="n">
        <f aca="false">AE18-AD18</f>
        <v>-8</v>
      </c>
      <c r="AG18" s="12" t="n">
        <f aca="false">AE18-AC18</f>
        <v>-8</v>
      </c>
      <c r="AH18" s="10" t="n">
        <v>80</v>
      </c>
      <c r="AI18" s="10" t="n">
        <v>80</v>
      </c>
      <c r="AJ18" s="11" t="n">
        <v>72</v>
      </c>
      <c r="AK18" s="12" t="n">
        <f aca="false">AJ18-AI18</f>
        <v>-8</v>
      </c>
      <c r="AL18" s="12" t="n">
        <f aca="false">AJ18-AH18</f>
        <v>-8</v>
      </c>
      <c r="AM18" s="10" t="n">
        <v>83</v>
      </c>
      <c r="AN18" s="10" t="n">
        <v>83</v>
      </c>
      <c r="AO18" s="11" t="n">
        <v>72</v>
      </c>
      <c r="AP18" s="12" t="n">
        <f aca="false">AO18-AN18</f>
        <v>-11</v>
      </c>
      <c r="AQ18" s="12" t="n">
        <f aca="false">AO18-AM18</f>
        <v>-11</v>
      </c>
      <c r="AR18" s="10" t="n">
        <v>0</v>
      </c>
      <c r="AS18" s="10" t="n">
        <v>0</v>
      </c>
      <c r="AT18" s="11" t="n">
        <v>0</v>
      </c>
      <c r="AU18" s="12" t="n">
        <f aca="false">AT18-AS18</f>
        <v>0</v>
      </c>
      <c r="AV18" s="12" t="n">
        <f aca="false">AT18-AR18</f>
        <v>0</v>
      </c>
      <c r="AW18" s="10" t="n">
        <v>0</v>
      </c>
      <c r="AX18" s="10" t="n">
        <v>0</v>
      </c>
      <c r="AY18" s="11" t="n">
        <v>0</v>
      </c>
      <c r="AZ18" s="12" t="n">
        <f aca="false">AY18-AX18</f>
        <v>0</v>
      </c>
      <c r="BA18" s="12" t="n">
        <f aca="false">AY18-AW18</f>
        <v>0</v>
      </c>
      <c r="BB18" s="10" t="n">
        <v>0</v>
      </c>
      <c r="BC18" s="10" t="n">
        <v>0</v>
      </c>
      <c r="BD18" s="11" t="n">
        <v>0</v>
      </c>
      <c r="BE18" s="12" t="n">
        <f aca="false">BD18-BC18</f>
        <v>0</v>
      </c>
      <c r="BF18" s="12" t="n">
        <f aca="false">BD18-BB18</f>
        <v>0</v>
      </c>
      <c r="BG18" s="10" t="n">
        <v>3</v>
      </c>
      <c r="BH18" s="10" t="n">
        <v>3</v>
      </c>
      <c r="BI18" s="11" t="n">
        <v>2</v>
      </c>
      <c r="BJ18" s="12" t="n">
        <f aca="false">BI18-BH18</f>
        <v>-1</v>
      </c>
      <c r="BK18" s="12" t="n">
        <f aca="false">BI18-BG18</f>
        <v>-1</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72</v>
      </c>
      <c r="F19" s="11" t="n">
        <v>57</v>
      </c>
      <c r="G19" s="12" t="n">
        <f aca="false">F19-E19</f>
        <v>-15</v>
      </c>
      <c r="H19" s="12" t="n">
        <f aca="false">F19-D19</f>
        <v>-15</v>
      </c>
      <c r="I19" s="10" t="n">
        <v>12</v>
      </c>
      <c r="J19" s="10" t="n">
        <v>12</v>
      </c>
      <c r="K19" s="11" t="n">
        <v>61</v>
      </c>
      <c r="L19" s="12" t="n">
        <f aca="false">K19-J19</f>
        <v>49</v>
      </c>
      <c r="M19" s="12" t="n">
        <f aca="false">K19-I19</f>
        <v>49</v>
      </c>
      <c r="N19" s="10" t="n">
        <v>130</v>
      </c>
      <c r="O19" s="10" t="n">
        <v>130</v>
      </c>
      <c r="P19" s="11" t="n">
        <v>60</v>
      </c>
      <c r="Q19" s="12" t="n">
        <f aca="false">P19-O19</f>
        <v>-70</v>
      </c>
      <c r="R19" s="12" t="n">
        <f aca="false">P19-N19</f>
        <v>-70</v>
      </c>
      <c r="S19" s="10" t="n">
        <v>0</v>
      </c>
      <c r="T19" s="10" t="n">
        <v>0</v>
      </c>
      <c r="U19" s="11" t="n">
        <v>0</v>
      </c>
      <c r="V19" s="12" t="n">
        <f aca="false">U19-T19</f>
        <v>0</v>
      </c>
      <c r="W19" s="12" t="n">
        <f aca="false">U19-S19</f>
        <v>0</v>
      </c>
      <c r="X19" s="10" t="n">
        <v>116</v>
      </c>
      <c r="Y19" s="10" t="n">
        <v>116</v>
      </c>
      <c r="Z19" s="11" t="n">
        <v>60</v>
      </c>
      <c r="AA19" s="12" t="n">
        <f aca="false">Z19-Y19</f>
        <v>-56</v>
      </c>
      <c r="AB19" s="12" t="n">
        <f aca="false">Z19-X19</f>
        <v>-56</v>
      </c>
      <c r="AC19" s="10" t="n">
        <v>119</v>
      </c>
      <c r="AD19" s="10" t="n">
        <v>119</v>
      </c>
      <c r="AE19" s="11" t="n">
        <v>60</v>
      </c>
      <c r="AF19" s="12" t="n">
        <f aca="false">AE19-AD19</f>
        <v>-59</v>
      </c>
      <c r="AG19" s="12" t="n">
        <f aca="false">AE19-AC19</f>
        <v>-59</v>
      </c>
      <c r="AH19" s="10" t="n">
        <v>119</v>
      </c>
      <c r="AI19" s="10" t="n">
        <v>119</v>
      </c>
      <c r="AJ19" s="11" t="n">
        <v>60</v>
      </c>
      <c r="AK19" s="12" t="n">
        <f aca="false">AJ19-AI19</f>
        <v>-59</v>
      </c>
      <c r="AL19" s="12" t="n">
        <f aca="false">AJ19-AH19</f>
        <v>-59</v>
      </c>
      <c r="AM19" s="10" t="n">
        <v>136</v>
      </c>
      <c r="AN19" s="10" t="n">
        <v>136</v>
      </c>
      <c r="AO19" s="11" t="n">
        <v>61</v>
      </c>
      <c r="AP19" s="12" t="n">
        <f aca="false">AO19-AN19</f>
        <v>-75</v>
      </c>
      <c r="AQ19" s="12" t="n">
        <f aca="false">AO19-AM19</f>
        <v>-75</v>
      </c>
      <c r="AR19" s="10" t="n">
        <v>65</v>
      </c>
      <c r="AS19" s="10" t="n">
        <v>65</v>
      </c>
      <c r="AT19" s="11" t="n">
        <v>54</v>
      </c>
      <c r="AU19" s="12" t="n">
        <f aca="false">AT19-AS19</f>
        <v>-11</v>
      </c>
      <c r="AV19" s="12" t="n">
        <f aca="false">AT19-AR19</f>
        <v>-11</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33</v>
      </c>
      <c r="F20" s="11" t="n">
        <v>30</v>
      </c>
      <c r="G20" s="12" t="n">
        <f aca="false">F20-E20</f>
        <v>-3</v>
      </c>
      <c r="H20" s="12" t="n">
        <f aca="false">F20-D20</f>
        <v>-3</v>
      </c>
      <c r="I20" s="10" t="n">
        <v>8</v>
      </c>
      <c r="J20" s="10" t="n">
        <v>8</v>
      </c>
      <c r="K20" s="11" t="n">
        <v>58</v>
      </c>
      <c r="L20" s="12" t="n">
        <f aca="false">K20-J20</f>
        <v>50</v>
      </c>
      <c r="M20" s="12" t="n">
        <f aca="false">K20-I20</f>
        <v>50</v>
      </c>
      <c r="N20" s="10" t="n">
        <v>88</v>
      </c>
      <c r="O20" s="10" t="n">
        <v>88</v>
      </c>
      <c r="P20" s="11" t="n">
        <v>58</v>
      </c>
      <c r="Q20" s="12" t="n">
        <f aca="false">P20-O20</f>
        <v>-30</v>
      </c>
      <c r="R20" s="12" t="n">
        <f aca="false">P20-N20</f>
        <v>-30</v>
      </c>
      <c r="S20" s="10" t="n">
        <v>7</v>
      </c>
      <c r="T20" s="10" t="n">
        <v>7</v>
      </c>
      <c r="U20" s="11" t="n">
        <v>7</v>
      </c>
      <c r="V20" s="12" t="n">
        <f aca="false">U20-T20</f>
        <v>0</v>
      </c>
      <c r="W20" s="12" t="n">
        <f aca="false">U20-S20</f>
        <v>0</v>
      </c>
      <c r="X20" s="10" t="n">
        <v>82</v>
      </c>
      <c r="Y20" s="10" t="n">
        <v>82</v>
      </c>
      <c r="Z20" s="11" t="n">
        <v>54</v>
      </c>
      <c r="AA20" s="12" t="n">
        <f aca="false">Z20-Y20</f>
        <v>-28</v>
      </c>
      <c r="AB20" s="12" t="n">
        <f aca="false">Z20-X20</f>
        <v>-28</v>
      </c>
      <c r="AC20" s="10" t="n">
        <v>36</v>
      </c>
      <c r="AD20" s="10" t="n">
        <v>36</v>
      </c>
      <c r="AE20" s="11" t="n">
        <v>38</v>
      </c>
      <c r="AF20" s="12" t="n">
        <f aca="false">AE20-AD20</f>
        <v>2</v>
      </c>
      <c r="AG20" s="12" t="n">
        <f aca="false">AE20-AC20</f>
        <v>2</v>
      </c>
      <c r="AH20" s="10" t="n">
        <v>36</v>
      </c>
      <c r="AI20" s="10" t="n">
        <v>36</v>
      </c>
      <c r="AJ20" s="11" t="n">
        <v>38</v>
      </c>
      <c r="AK20" s="12" t="n">
        <f aca="false">AJ20-AI20</f>
        <v>2</v>
      </c>
      <c r="AL20" s="12" t="n">
        <f aca="false">AJ20-AH20</f>
        <v>2</v>
      </c>
      <c r="AM20" s="10" t="n">
        <v>88</v>
      </c>
      <c r="AN20" s="10" t="n">
        <v>88</v>
      </c>
      <c r="AO20" s="11" t="n">
        <v>58</v>
      </c>
      <c r="AP20" s="12" t="n">
        <f aca="false">AO20-AN20</f>
        <v>-30</v>
      </c>
      <c r="AQ20" s="12" t="n">
        <f aca="false">AO20-AM20</f>
        <v>-30</v>
      </c>
      <c r="AR20" s="10" t="n">
        <v>0</v>
      </c>
      <c r="AS20" s="10" t="n">
        <v>0</v>
      </c>
      <c r="AT20" s="11" t="n">
        <v>0</v>
      </c>
      <c r="AU20" s="12" t="n">
        <f aca="false">AT20-AS20</f>
        <v>0</v>
      </c>
      <c r="AV20" s="12" t="n">
        <f aca="false">AT20-AR20</f>
        <v>0</v>
      </c>
      <c r="AW20" s="10" t="n">
        <v>0</v>
      </c>
      <c r="AX20" s="10" t="n">
        <v>0</v>
      </c>
      <c r="AY20" s="11" t="n">
        <v>0</v>
      </c>
      <c r="AZ20" s="12" t="n">
        <f aca="false">AY20-AX20</f>
        <v>0</v>
      </c>
      <c r="BA20" s="12" t="n">
        <f aca="false">AY20-AW20</f>
        <v>0</v>
      </c>
      <c r="BB20" s="10" t="n">
        <v>0</v>
      </c>
      <c r="BC20" s="10" t="n">
        <v>0</v>
      </c>
      <c r="BD20" s="11" t="n">
        <v>0</v>
      </c>
      <c r="BE20" s="12" t="n">
        <f aca="false">BD20-BC20</f>
        <v>0</v>
      </c>
      <c r="BF20" s="12" t="n">
        <f aca="false">BD20-BB20</f>
        <v>0</v>
      </c>
      <c r="BG20" s="10" t="n">
        <v>27</v>
      </c>
      <c r="BH20" s="10" t="n">
        <v>27</v>
      </c>
      <c r="BI20" s="11" t="n">
        <v>27</v>
      </c>
      <c r="BJ20" s="12" t="n">
        <f aca="false">BI20-BH20</f>
        <v>0</v>
      </c>
      <c r="BK20" s="12" t="n">
        <f aca="false">BI20-BG20</f>
        <v>0</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59</v>
      </c>
      <c r="F21" s="11" t="n">
        <v>56</v>
      </c>
      <c r="G21" s="12" t="n">
        <f aca="false">F21-E21</f>
        <v>-3</v>
      </c>
      <c r="H21" s="12" t="n">
        <f aca="false">F21-D21</f>
        <v>-3</v>
      </c>
      <c r="I21" s="10" t="n">
        <v>5</v>
      </c>
      <c r="J21" s="10" t="n">
        <v>5</v>
      </c>
      <c r="K21" s="11" t="n">
        <v>57</v>
      </c>
      <c r="L21" s="12" t="n">
        <f aca="false">K21-J21</f>
        <v>52</v>
      </c>
      <c r="M21" s="12" t="n">
        <f aca="false">K21-I21</f>
        <v>52</v>
      </c>
      <c r="N21" s="10" t="n">
        <v>67</v>
      </c>
      <c r="O21" s="10" t="n">
        <v>67</v>
      </c>
      <c r="P21" s="11" t="n">
        <v>56</v>
      </c>
      <c r="Q21" s="12" t="n">
        <f aca="false">P21-O21</f>
        <v>-11</v>
      </c>
      <c r="R21" s="12" t="n">
        <f aca="false">P21-N21</f>
        <v>-11</v>
      </c>
      <c r="S21" s="10" t="n">
        <v>0</v>
      </c>
      <c r="T21" s="10" t="n">
        <v>0</v>
      </c>
      <c r="U21" s="11" t="n">
        <v>0</v>
      </c>
      <c r="V21" s="12" t="n">
        <f aca="false">U21-T21</f>
        <v>0</v>
      </c>
      <c r="W21" s="12" t="n">
        <f aca="false">U21-S21</f>
        <v>0</v>
      </c>
      <c r="X21" s="10" t="n">
        <v>63</v>
      </c>
      <c r="Y21" s="10" t="n">
        <v>63</v>
      </c>
      <c r="Z21" s="11" t="n">
        <v>55</v>
      </c>
      <c r="AA21" s="12" t="n">
        <f aca="false">Z21-Y21</f>
        <v>-8</v>
      </c>
      <c r="AB21" s="12" t="n">
        <f aca="false">Z21-X21</f>
        <v>-8</v>
      </c>
      <c r="AC21" s="10" t="n">
        <v>52</v>
      </c>
      <c r="AD21" s="10" t="n">
        <v>52</v>
      </c>
      <c r="AE21" s="11" t="n">
        <v>47</v>
      </c>
      <c r="AF21" s="12" t="n">
        <f aca="false">AE21-AD21</f>
        <v>-5</v>
      </c>
      <c r="AG21" s="12" t="n">
        <f aca="false">AE21-AC21</f>
        <v>-5</v>
      </c>
      <c r="AH21" s="10" t="n">
        <v>0</v>
      </c>
      <c r="AI21" s="10" t="n">
        <v>0</v>
      </c>
      <c r="AJ21" s="11" t="n">
        <v>0</v>
      </c>
      <c r="AK21" s="12" t="n">
        <f aca="false">AJ21-AI21</f>
        <v>0</v>
      </c>
      <c r="AL21" s="12" t="n">
        <f aca="false">AJ21-AH21</f>
        <v>0</v>
      </c>
      <c r="AM21" s="10" t="n">
        <v>68</v>
      </c>
      <c r="AN21" s="10" t="n">
        <v>68</v>
      </c>
      <c r="AO21" s="11" t="n">
        <v>57</v>
      </c>
      <c r="AP21" s="12" t="n">
        <f aca="false">AO21-AN21</f>
        <v>-11</v>
      </c>
      <c r="AQ21" s="12" t="n">
        <f aca="false">AO21-AM21</f>
        <v>-11</v>
      </c>
      <c r="AR21" s="10" t="n">
        <v>0</v>
      </c>
      <c r="AS21" s="10" t="n">
        <v>0</v>
      </c>
      <c r="AT21" s="11" t="n">
        <v>0</v>
      </c>
      <c r="AU21" s="12" t="n">
        <f aca="false">AT21-AS21</f>
        <v>0</v>
      </c>
      <c r="AV21" s="12" t="n">
        <f aca="false">AT21-AR21</f>
        <v>0</v>
      </c>
      <c r="AW21" s="10" t="n">
        <v>53</v>
      </c>
      <c r="AX21" s="10" t="n">
        <v>53</v>
      </c>
      <c r="AY21" s="11" t="n">
        <v>51</v>
      </c>
      <c r="AZ21" s="12" t="n">
        <f aca="false">AY21-AX21</f>
        <v>-2</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76</v>
      </c>
      <c r="F22" s="11" t="n">
        <v>51</v>
      </c>
      <c r="G22" s="12" t="n">
        <f aca="false">F22-E22</f>
        <v>-25</v>
      </c>
      <c r="H22" s="12" t="n">
        <f aca="false">F22-D22</f>
        <v>-25</v>
      </c>
      <c r="I22" s="10" t="n">
        <v>4</v>
      </c>
      <c r="J22" s="10" t="n">
        <v>4</v>
      </c>
      <c r="K22" s="11" t="n">
        <v>52</v>
      </c>
      <c r="L22" s="12" t="n">
        <f aca="false">K22-J22</f>
        <v>48</v>
      </c>
      <c r="M22" s="12" t="n">
        <f aca="false">K22-I22</f>
        <v>48</v>
      </c>
      <c r="N22" s="10" t="n">
        <v>142</v>
      </c>
      <c r="O22" s="10" t="n">
        <v>142</v>
      </c>
      <c r="P22" s="11" t="n">
        <v>51</v>
      </c>
      <c r="Q22" s="12" t="n">
        <f aca="false">P22-O22</f>
        <v>-91</v>
      </c>
      <c r="R22" s="12" t="n">
        <f aca="false">P22-N22</f>
        <v>-91</v>
      </c>
      <c r="S22" s="10" t="n">
        <v>117</v>
      </c>
      <c r="T22" s="10" t="n">
        <v>117</v>
      </c>
      <c r="U22" s="11" t="n">
        <v>51</v>
      </c>
      <c r="V22" s="12" t="n">
        <f aca="false">U22-T22</f>
        <v>-66</v>
      </c>
      <c r="W22" s="12" t="n">
        <f aca="false">U22-S22</f>
        <v>-66</v>
      </c>
      <c r="X22" s="10" t="n">
        <v>125</v>
      </c>
      <c r="Y22" s="10" t="n">
        <v>125</v>
      </c>
      <c r="Z22" s="11" t="n">
        <v>51</v>
      </c>
      <c r="AA22" s="12" t="n">
        <f aca="false">Z22-Y22</f>
        <v>-74</v>
      </c>
      <c r="AB22" s="12" t="n">
        <f aca="false">Z22-X22</f>
        <v>-74</v>
      </c>
      <c r="AC22" s="10" t="n">
        <v>111</v>
      </c>
      <c r="AD22" s="10" t="n">
        <v>111</v>
      </c>
      <c r="AE22" s="11" t="n">
        <v>49</v>
      </c>
      <c r="AF22" s="12" t="n">
        <f aca="false">AE22-AD22</f>
        <v>-62</v>
      </c>
      <c r="AG22" s="12" t="n">
        <f aca="false">AE22-AC22</f>
        <v>-62</v>
      </c>
      <c r="AH22" s="10" t="n">
        <v>111</v>
      </c>
      <c r="AI22" s="10" t="n">
        <v>111</v>
      </c>
      <c r="AJ22" s="11" t="n">
        <v>49</v>
      </c>
      <c r="AK22" s="12" t="n">
        <f aca="false">AJ22-AI22</f>
        <v>-62</v>
      </c>
      <c r="AL22" s="12" t="n">
        <f aca="false">AJ22-AH22</f>
        <v>-62</v>
      </c>
      <c r="AM22" s="10" t="n">
        <v>143</v>
      </c>
      <c r="AN22" s="10" t="n">
        <v>143</v>
      </c>
      <c r="AO22" s="11" t="n">
        <v>52</v>
      </c>
      <c r="AP22" s="12" t="n">
        <f aca="false">AO22-AN22</f>
        <v>-91</v>
      </c>
      <c r="AQ22" s="12" t="n">
        <f aca="false">AO22-AM22</f>
        <v>-91</v>
      </c>
      <c r="AR22" s="10" t="n">
        <v>0</v>
      </c>
      <c r="AS22" s="10" t="n">
        <v>0</v>
      </c>
      <c r="AT22" s="11" t="n">
        <v>0</v>
      </c>
      <c r="AU22" s="12" t="n">
        <f aca="false">AT22-AS22</f>
        <v>0</v>
      </c>
      <c r="AV22" s="12" t="n">
        <f aca="false">AT22-AR22</f>
        <v>0</v>
      </c>
      <c r="AW22" s="10" t="n">
        <v>0</v>
      </c>
      <c r="AX22" s="10" t="n">
        <v>0</v>
      </c>
      <c r="AY22" s="11" t="n">
        <v>0</v>
      </c>
      <c r="AZ22" s="12" t="n">
        <f aca="false">AY22-AX22</f>
        <v>0</v>
      </c>
      <c r="BA22" s="12" t="n">
        <f aca="false">AY22-AW22</f>
        <v>0</v>
      </c>
      <c r="BB22" s="10" t="n">
        <v>0</v>
      </c>
      <c r="BC22" s="10" t="n">
        <v>0</v>
      </c>
      <c r="BD22" s="11" t="n">
        <v>0</v>
      </c>
      <c r="BE22" s="12" t="n">
        <f aca="false">BD22-BC22</f>
        <v>0</v>
      </c>
      <c r="BF22" s="12" t="n">
        <f aca="false">BD22-BB22</f>
        <v>0</v>
      </c>
      <c r="BG22" s="10" t="n">
        <v>0</v>
      </c>
      <c r="BH22" s="10" t="n">
        <v>0</v>
      </c>
      <c r="BI22" s="11" t="n">
        <v>0</v>
      </c>
      <c r="BJ22" s="12" t="n">
        <f aca="false">BI22-BH22</f>
        <v>0</v>
      </c>
      <c r="BK22" s="12" t="n">
        <f aca="false">BI22-BG22</f>
        <v>0</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44</v>
      </c>
      <c r="D24" s="10" t="n">
        <v>43</v>
      </c>
      <c r="E24" s="10" t="n">
        <v>43</v>
      </c>
      <c r="F24" s="11" t="n">
        <v>43</v>
      </c>
      <c r="G24" s="12" t="n">
        <f aca="false">F24-E24</f>
        <v>0</v>
      </c>
      <c r="H24" s="12" t="n">
        <f aca="false">F24-D24</f>
        <v>0</v>
      </c>
      <c r="I24" s="10" t="n">
        <v>44</v>
      </c>
      <c r="J24" s="10" t="n">
        <v>44</v>
      </c>
      <c r="K24" s="11" t="n">
        <v>44</v>
      </c>
      <c r="L24" s="12" t="n">
        <f aca="false">K24-J24</f>
        <v>0</v>
      </c>
      <c r="M24" s="12" t="n">
        <f aca="false">K24-I24</f>
        <v>0</v>
      </c>
      <c r="N24" s="10" t="n">
        <v>41</v>
      </c>
      <c r="O24" s="10" t="n">
        <v>41</v>
      </c>
      <c r="P24" s="11" t="n">
        <v>41</v>
      </c>
      <c r="Q24" s="12" t="n">
        <f aca="false">P24-O24</f>
        <v>0</v>
      </c>
      <c r="R24" s="12" t="n">
        <f aca="false">P24-N24</f>
        <v>0</v>
      </c>
      <c r="S24" s="10" t="n">
        <v>0</v>
      </c>
      <c r="T24" s="10" t="n">
        <v>0</v>
      </c>
      <c r="U24" s="11" t="n">
        <v>0</v>
      </c>
      <c r="V24" s="12" t="n">
        <f aca="false">U24-T24</f>
        <v>0</v>
      </c>
      <c r="W24" s="12" t="n">
        <f aca="false">U24-S24</f>
        <v>0</v>
      </c>
      <c r="X24" s="10" t="n">
        <v>29</v>
      </c>
      <c r="Y24" s="10" t="n">
        <v>29</v>
      </c>
      <c r="Z24" s="11" t="n">
        <v>29</v>
      </c>
      <c r="AA24" s="12" t="n">
        <f aca="false">Z24-Y24</f>
        <v>0</v>
      </c>
      <c r="AB24" s="12" t="n">
        <f aca="false">Z24-X24</f>
        <v>0</v>
      </c>
      <c r="AC24" s="10" t="n">
        <v>22</v>
      </c>
      <c r="AD24" s="10" t="n">
        <v>22</v>
      </c>
      <c r="AE24" s="11" t="n">
        <v>23</v>
      </c>
      <c r="AF24" s="12" t="n">
        <f aca="false">AE24-AD24</f>
        <v>1</v>
      </c>
      <c r="AG24" s="12" t="n">
        <f aca="false">AE24-AC24</f>
        <v>1</v>
      </c>
      <c r="AH24" s="10" t="n">
        <v>22</v>
      </c>
      <c r="AI24" s="10" t="n">
        <v>22</v>
      </c>
      <c r="AJ24" s="11" t="n">
        <v>23</v>
      </c>
      <c r="AK24" s="12" t="n">
        <f aca="false">AJ24-AI24</f>
        <v>1</v>
      </c>
      <c r="AL24" s="12" t="n">
        <f aca="false">AJ24-AH24</f>
        <v>1</v>
      </c>
      <c r="AM24" s="10" t="n">
        <v>44</v>
      </c>
      <c r="AN24" s="10" t="n">
        <v>44</v>
      </c>
      <c r="AO24" s="11" t="n">
        <v>44</v>
      </c>
      <c r="AP24" s="12" t="n">
        <f aca="false">AO24-AN24</f>
        <v>0</v>
      </c>
      <c r="AQ24" s="12" t="n">
        <f aca="false">AO24-AM24</f>
        <v>0</v>
      </c>
      <c r="AR24" s="10" t="n">
        <v>0</v>
      </c>
      <c r="AS24" s="10" t="n">
        <v>0</v>
      </c>
      <c r="AT24" s="11" t="n">
        <v>0</v>
      </c>
      <c r="AU24" s="12" t="n">
        <f aca="false">AT24-AS24</f>
        <v>0</v>
      </c>
      <c r="AV24" s="12" t="n">
        <f aca="false">AT24-AR24</f>
        <v>0</v>
      </c>
      <c r="AW24" s="10" t="n">
        <v>0</v>
      </c>
      <c r="AX24" s="10" t="n">
        <v>0</v>
      </c>
      <c r="AY24" s="11" t="n">
        <v>0</v>
      </c>
      <c r="AZ24" s="12" t="n">
        <f aca="false">AY24-AX24</f>
        <v>0</v>
      </c>
      <c r="BA24" s="12" t="n">
        <f aca="false">AY24-AW24</f>
        <v>0</v>
      </c>
      <c r="BB24" s="10" t="n">
        <v>0</v>
      </c>
      <c r="BC24" s="10" t="n">
        <v>0</v>
      </c>
      <c r="BD24" s="11" t="n">
        <v>0</v>
      </c>
      <c r="BE24" s="12" t="n">
        <f aca="false">BD24-BC24</f>
        <v>0</v>
      </c>
      <c r="BF24" s="12" t="n">
        <f aca="false">BD24-BB24</f>
        <v>0</v>
      </c>
      <c r="BG24" s="10" t="n">
        <v>44</v>
      </c>
      <c r="BH24" s="10" t="n">
        <v>44</v>
      </c>
      <c r="BI24" s="11" t="n">
        <v>44</v>
      </c>
      <c r="BJ24" s="12" t="n">
        <f aca="false">BI24-BH24</f>
        <v>0</v>
      </c>
      <c r="BK24" s="12" t="n">
        <f aca="false">BI24-BG24</f>
        <v>0</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51</v>
      </c>
      <c r="CL24" s="10" t="s">
        <v>51</v>
      </c>
      <c r="CM24" s="10" t="s">
        <v>51</v>
      </c>
      <c r="CN24" s="10" t="s">
        <v>51</v>
      </c>
      <c r="CO24" s="10" t="s">
        <v>51</v>
      </c>
      <c r="CP24" s="10" t="s">
        <v>51</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39</v>
      </c>
      <c r="E25" s="10" t="n">
        <v>39</v>
      </c>
      <c r="F25" s="11" t="n">
        <v>39</v>
      </c>
      <c r="G25" s="12" t="n">
        <f aca="false">F25-E25</f>
        <v>0</v>
      </c>
      <c r="H25" s="12" t="n">
        <f aca="false">F25-D25</f>
        <v>0</v>
      </c>
      <c r="I25" s="10" t="n">
        <v>44</v>
      </c>
      <c r="J25" s="10" t="n">
        <v>44</v>
      </c>
      <c r="K25" s="11" t="n">
        <v>44</v>
      </c>
      <c r="L25" s="12" t="n">
        <f aca="false">K25-J25</f>
        <v>0</v>
      </c>
      <c r="M25" s="12" t="n">
        <f aca="false">K25-I25</f>
        <v>0</v>
      </c>
      <c r="N25" s="10" t="n">
        <v>43</v>
      </c>
      <c r="O25" s="10" t="n">
        <v>43</v>
      </c>
      <c r="P25" s="11" t="n">
        <v>43</v>
      </c>
      <c r="Q25" s="12" t="n">
        <f aca="false">P25-O25</f>
        <v>0</v>
      </c>
      <c r="R25" s="12" t="n">
        <f aca="false">P25-N25</f>
        <v>0</v>
      </c>
      <c r="S25" s="10" t="n">
        <v>35</v>
      </c>
      <c r="T25" s="10" t="n">
        <v>35</v>
      </c>
      <c r="U25" s="11" t="n">
        <v>35</v>
      </c>
      <c r="V25" s="12" t="n">
        <f aca="false">U25-T25</f>
        <v>0</v>
      </c>
      <c r="W25" s="12" t="n">
        <f aca="false">U25-S25</f>
        <v>0</v>
      </c>
      <c r="X25" s="10" t="n">
        <v>40</v>
      </c>
      <c r="Y25" s="10" t="n">
        <v>40</v>
      </c>
      <c r="Z25" s="11" t="n">
        <v>40</v>
      </c>
      <c r="AA25" s="12" t="n">
        <f aca="false">Z25-Y25</f>
        <v>0</v>
      </c>
      <c r="AB25" s="12" t="n">
        <f aca="false">Z25-X25</f>
        <v>0</v>
      </c>
      <c r="AC25" s="10" t="n">
        <v>41</v>
      </c>
      <c r="AD25" s="10" t="n">
        <v>41</v>
      </c>
      <c r="AE25" s="11" t="n">
        <v>41</v>
      </c>
      <c r="AF25" s="12" t="n">
        <f aca="false">AE25-AD25</f>
        <v>0</v>
      </c>
      <c r="AG25" s="12" t="n">
        <f aca="false">AE25-AC25</f>
        <v>0</v>
      </c>
      <c r="AH25" s="10" t="n">
        <v>0</v>
      </c>
      <c r="AI25" s="10" t="n">
        <v>0</v>
      </c>
      <c r="AJ25" s="11" t="n">
        <v>0</v>
      </c>
      <c r="AK25" s="12" t="n">
        <f aca="false">AJ25-AI25</f>
        <v>0</v>
      </c>
      <c r="AL25" s="12" t="n">
        <f aca="false">AJ25-AH25</f>
        <v>0</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37</v>
      </c>
      <c r="AX25" s="10" t="n">
        <v>37</v>
      </c>
      <c r="AY25" s="11" t="n">
        <v>37</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52</v>
      </c>
      <c r="CL25" s="10" t="s">
        <v>52</v>
      </c>
      <c r="CM25" s="10" t="s">
        <v>52</v>
      </c>
      <c r="CN25" s="10" t="s">
        <v>51</v>
      </c>
      <c r="CO25" s="10" t="s">
        <v>51</v>
      </c>
      <c r="CP25" s="10" t="s">
        <v>51</v>
      </c>
      <c r="CQ25" s="10" t="s">
        <v>52</v>
      </c>
      <c r="CR25" s="10" t="s">
        <v>52</v>
      </c>
      <c r="CS25" s="10" t="s">
        <v>51</v>
      </c>
      <c r="CT25" s="10" t="s">
        <v>52</v>
      </c>
      <c r="CU25" s="10" t="s">
        <v>52</v>
      </c>
      <c r="CV25" s="10" t="s">
        <v>52</v>
      </c>
    </row>
    <row r="26" customFormat="false" ht="15" hidden="false" customHeight="false" outlineLevel="0" collapsed="false">
      <c r="A26" s="4" t="s">
        <v>97</v>
      </c>
      <c r="B26" s="4" t="s">
        <v>98</v>
      </c>
      <c r="C26" s="10" t="n">
        <v>44</v>
      </c>
      <c r="D26" s="10" t="n">
        <v>32</v>
      </c>
      <c r="E26" s="10" t="n">
        <v>32</v>
      </c>
      <c r="F26" s="11" t="n">
        <v>32</v>
      </c>
      <c r="G26" s="12" t="n">
        <f aca="false">F26-E26</f>
        <v>0</v>
      </c>
      <c r="H26" s="12" t="n">
        <f aca="false">F26-D26</f>
        <v>0</v>
      </c>
      <c r="I26" s="10" t="n">
        <v>44</v>
      </c>
      <c r="J26" s="10" t="n">
        <v>44</v>
      </c>
      <c r="K26" s="11" t="n">
        <v>44</v>
      </c>
      <c r="L26" s="12" t="n">
        <f aca="false">K26-J26</f>
        <v>0</v>
      </c>
      <c r="M26" s="12" t="n">
        <f aca="false">K26-I26</f>
        <v>0</v>
      </c>
      <c r="N26" s="10" t="n">
        <v>44</v>
      </c>
      <c r="O26" s="10" t="n">
        <v>44</v>
      </c>
      <c r="P26" s="11" t="n">
        <v>44</v>
      </c>
      <c r="Q26" s="12" t="n">
        <f aca="false">P26-O26</f>
        <v>0</v>
      </c>
      <c r="R26" s="12" t="n">
        <f aca="false">P26-N26</f>
        <v>0</v>
      </c>
      <c r="S26" s="10" t="n">
        <v>38</v>
      </c>
      <c r="T26" s="10" t="n">
        <v>38</v>
      </c>
      <c r="U26" s="11" t="n">
        <v>40</v>
      </c>
      <c r="V26" s="12" t="n">
        <f aca="false">U26-T26</f>
        <v>2</v>
      </c>
      <c r="W26" s="12" t="n">
        <f aca="false">U26-S26</f>
        <v>2</v>
      </c>
      <c r="X26" s="10" t="n">
        <v>39</v>
      </c>
      <c r="Y26" s="10" t="n">
        <v>39</v>
      </c>
      <c r="Z26" s="11" t="n">
        <v>40</v>
      </c>
      <c r="AA26" s="12" t="n">
        <f aca="false">Z26-Y26</f>
        <v>1</v>
      </c>
      <c r="AB26" s="12" t="n">
        <f aca="false">Z26-X26</f>
        <v>1</v>
      </c>
      <c r="AC26" s="10" t="n">
        <v>34</v>
      </c>
      <c r="AD26" s="10" t="n">
        <v>34</v>
      </c>
      <c r="AE26" s="11" t="n">
        <v>40</v>
      </c>
      <c r="AF26" s="12" t="n">
        <f aca="false">AE26-AD26</f>
        <v>6</v>
      </c>
      <c r="AG26" s="12" t="n">
        <f aca="false">AE26-AC26</f>
        <v>6</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25</v>
      </c>
      <c r="AS26" s="10" t="n">
        <v>25</v>
      </c>
      <c r="AT26" s="11" t="n">
        <v>25</v>
      </c>
      <c r="AU26" s="12" t="n">
        <f aca="false">AT26-AS26</f>
        <v>0</v>
      </c>
      <c r="AV26" s="12" t="n">
        <f aca="false">AT26-AR26</f>
        <v>0</v>
      </c>
      <c r="AW26" s="10" t="n">
        <v>30</v>
      </c>
      <c r="AX26" s="10" t="n">
        <v>30</v>
      </c>
      <c r="AY26" s="11" t="n">
        <v>30</v>
      </c>
      <c r="AZ26" s="12" t="n">
        <f aca="false">AY26-AX26</f>
        <v>0</v>
      </c>
      <c r="BA26" s="12" t="n">
        <f aca="false">AY26-AW26</f>
        <v>0</v>
      </c>
      <c r="BB26" s="10" t="n">
        <v>0</v>
      </c>
      <c r="BC26" s="10" t="n">
        <v>0</v>
      </c>
      <c r="BD26" s="11" t="n">
        <v>0</v>
      </c>
      <c r="BE26" s="12" t="n">
        <f aca="false">BD26-BC26</f>
        <v>0</v>
      </c>
      <c r="BF26" s="12" t="n">
        <f aca="false">BD26-BB26</f>
        <v>0</v>
      </c>
      <c r="BG26" s="10" t="n">
        <v>43</v>
      </c>
      <c r="BH26" s="10" t="n">
        <v>43</v>
      </c>
      <c r="BI26" s="11" t="n">
        <v>43</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51</v>
      </c>
      <c r="BZ26" s="10" t="s">
        <v>51</v>
      </c>
      <c r="CA26" s="10" t="s">
        <v>51</v>
      </c>
      <c r="CB26" s="10" t="s">
        <v>51</v>
      </c>
      <c r="CC26" s="10" t="s">
        <v>51</v>
      </c>
      <c r="CD26" s="10" t="s">
        <v>51</v>
      </c>
      <c r="CE26" s="10" t="s">
        <v>52</v>
      </c>
      <c r="CF26" s="10" t="s">
        <v>52</v>
      </c>
      <c r="CG26" s="10" t="s">
        <v>52</v>
      </c>
      <c r="CH26" s="10" t="s">
        <v>51</v>
      </c>
      <c r="CI26" s="10" t="s">
        <v>51</v>
      </c>
      <c r="CJ26" s="10" t="s">
        <v>51</v>
      </c>
      <c r="CK26" s="10" t="s">
        <v>51</v>
      </c>
      <c r="CL26" s="10" t="s">
        <v>51</v>
      </c>
      <c r="CM26" s="10" t="s">
        <v>51</v>
      </c>
      <c r="CN26" s="10" t="s">
        <v>51</v>
      </c>
      <c r="CO26" s="10" t="s">
        <v>51</v>
      </c>
      <c r="CP26" s="10" t="s">
        <v>51</v>
      </c>
      <c r="CQ26" s="10" t="s">
        <v>52</v>
      </c>
      <c r="CR26" s="10" t="s">
        <v>52</v>
      </c>
      <c r="CS26" s="10" t="s">
        <v>52</v>
      </c>
      <c r="CT26" s="10" t="s">
        <v>52</v>
      </c>
      <c r="CU26" s="10" t="s">
        <v>52</v>
      </c>
      <c r="CV26" s="10" t="s">
        <v>52</v>
      </c>
    </row>
    <row r="27" customFormat="false" ht="15" hidden="false" customHeight="false" outlineLevel="0" collapsed="false">
      <c r="A27" s="4" t="s">
        <v>99</v>
      </c>
      <c r="B27" s="4" t="s">
        <v>100</v>
      </c>
      <c r="C27" s="10" t="n">
        <v>42</v>
      </c>
      <c r="D27" s="10" t="n">
        <v>87</v>
      </c>
      <c r="E27" s="10" t="n">
        <v>69</v>
      </c>
      <c r="F27" s="11" t="n">
        <v>33</v>
      </c>
      <c r="G27" s="12" t="n">
        <f aca="false">F27-E27</f>
        <v>-36</v>
      </c>
      <c r="H27" s="12" t="n">
        <f aca="false">F27-D27</f>
        <v>-54</v>
      </c>
      <c r="I27" s="10" t="n">
        <v>16</v>
      </c>
      <c r="J27" s="10" t="n">
        <v>16</v>
      </c>
      <c r="K27" s="11" t="n">
        <v>42</v>
      </c>
      <c r="L27" s="12" t="n">
        <f aca="false">K27-J27</f>
        <v>26</v>
      </c>
      <c r="M27" s="12" t="n">
        <f aca="false">K27-I27</f>
        <v>26</v>
      </c>
      <c r="N27" s="10" t="n">
        <v>210</v>
      </c>
      <c r="O27" s="10" t="n">
        <v>210</v>
      </c>
      <c r="P27" s="11" t="n">
        <v>42</v>
      </c>
      <c r="Q27" s="12" t="n">
        <f aca="false">P27-O27</f>
        <v>-168</v>
      </c>
      <c r="R27" s="12" t="n">
        <f aca="false">P27-N27</f>
        <v>-168</v>
      </c>
      <c r="S27" s="10" t="n">
        <v>74</v>
      </c>
      <c r="T27" s="10" t="n">
        <v>74</v>
      </c>
      <c r="U27" s="11" t="n">
        <v>35</v>
      </c>
      <c r="V27" s="12" t="n">
        <f aca="false">U27-T27</f>
        <v>-39</v>
      </c>
      <c r="W27" s="12" t="n">
        <f aca="false">U27-S27</f>
        <v>-39</v>
      </c>
      <c r="X27" s="10" t="n">
        <v>119</v>
      </c>
      <c r="Y27" s="10" t="n">
        <v>119</v>
      </c>
      <c r="Z27" s="11" t="n">
        <v>39</v>
      </c>
      <c r="AA27" s="12" t="n">
        <f aca="false">Z27-Y27</f>
        <v>-80</v>
      </c>
      <c r="AB27" s="12" t="n">
        <f aca="false">Z27-X27</f>
        <v>-80</v>
      </c>
      <c r="AC27" s="10" t="n">
        <v>69</v>
      </c>
      <c r="AD27" s="10" t="n">
        <v>69</v>
      </c>
      <c r="AE27" s="11" t="n">
        <v>27</v>
      </c>
      <c r="AF27" s="12" t="n">
        <f aca="false">AE27-AD27</f>
        <v>-42</v>
      </c>
      <c r="AG27" s="12" t="n">
        <f aca="false">AE27-AC27</f>
        <v>-42</v>
      </c>
      <c r="AH27" s="10" t="n">
        <v>69</v>
      </c>
      <c r="AI27" s="10" t="n">
        <v>69</v>
      </c>
      <c r="AJ27" s="11" t="n">
        <v>27</v>
      </c>
      <c r="AK27" s="12" t="n">
        <f aca="false">AJ27-AI27</f>
        <v>-42</v>
      </c>
      <c r="AL27" s="12" t="n">
        <f aca="false">AJ27-AH27</f>
        <v>-42</v>
      </c>
      <c r="AM27" s="10" t="n">
        <v>214</v>
      </c>
      <c r="AN27" s="10" t="n">
        <v>214</v>
      </c>
      <c r="AO27" s="11" t="n">
        <v>42</v>
      </c>
      <c r="AP27" s="12" t="n">
        <f aca="false">AO27-AN27</f>
        <v>-172</v>
      </c>
      <c r="AQ27" s="12" t="n">
        <f aca="false">AO27-AM27</f>
        <v>-172</v>
      </c>
      <c r="AR27" s="10" t="n">
        <v>0</v>
      </c>
      <c r="AS27" s="10" t="n">
        <v>0</v>
      </c>
      <c r="AT27" s="11" t="n">
        <v>0</v>
      </c>
      <c r="AU27" s="12" t="n">
        <f aca="false">AT27-AS27</f>
        <v>0</v>
      </c>
      <c r="AV27" s="12" t="n">
        <f aca="false">AT27-AR27</f>
        <v>0</v>
      </c>
      <c r="AW27" s="10" t="n">
        <v>0</v>
      </c>
      <c r="AX27" s="10" t="n">
        <v>0</v>
      </c>
      <c r="AY27" s="11" t="n">
        <v>0</v>
      </c>
      <c r="AZ27" s="12" t="n">
        <f aca="false">AY27-AX27</f>
        <v>0</v>
      </c>
      <c r="BA27" s="12" t="n">
        <f aca="false">AY27-AW27</f>
        <v>0</v>
      </c>
      <c r="BB27" s="10" t="n">
        <v>0</v>
      </c>
      <c r="BC27" s="10" t="n">
        <v>0</v>
      </c>
      <c r="BD27" s="11" t="n">
        <v>0</v>
      </c>
      <c r="BE27" s="12" t="n">
        <f aca="false">BD27-BC27</f>
        <v>0</v>
      </c>
      <c r="BF27" s="12" t="n">
        <f aca="false">BD27-BB27</f>
        <v>0</v>
      </c>
      <c r="BG27" s="10" t="n">
        <v>2</v>
      </c>
      <c r="BH27" s="10" t="n">
        <v>2</v>
      </c>
      <c r="BI27" s="11" t="n">
        <v>2</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52</v>
      </c>
      <c r="BZ27" s="10" t="s">
        <v>52</v>
      </c>
      <c r="CA27" s="10" t="s">
        <v>52</v>
      </c>
      <c r="CB27" s="10" t="s">
        <v>51</v>
      </c>
      <c r="CC27" s="10" t="s">
        <v>51</v>
      </c>
      <c r="CD27" s="10" t="s">
        <v>51</v>
      </c>
      <c r="CE27" s="10" t="s">
        <v>52</v>
      </c>
      <c r="CF27" s="10" t="s">
        <v>52</v>
      </c>
      <c r="CG27" s="10" t="s">
        <v>52</v>
      </c>
      <c r="CH27" s="10" t="s">
        <v>51</v>
      </c>
      <c r="CI27" s="10" t="s">
        <v>51</v>
      </c>
      <c r="CJ27" s="10" t="s">
        <v>51</v>
      </c>
      <c r="CK27" s="10" t="s">
        <v>52</v>
      </c>
      <c r="CL27" s="10" t="s">
        <v>52</v>
      </c>
      <c r="CM27" s="10" t="s">
        <v>52</v>
      </c>
      <c r="CN27" s="10" t="s">
        <v>52</v>
      </c>
      <c r="CO27" s="10" t="s">
        <v>52</v>
      </c>
      <c r="CP27" s="10" t="s">
        <v>52</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3</v>
      </c>
      <c r="F28" s="11" t="n">
        <v>42</v>
      </c>
      <c r="G28" s="12" t="n">
        <f aca="false">F28-E28</f>
        <v>39</v>
      </c>
      <c r="H28" s="12" t="n">
        <f aca="false">F28-D28</f>
        <v>39</v>
      </c>
      <c r="I28" s="10" t="n">
        <v>3</v>
      </c>
      <c r="J28" s="10" t="n">
        <v>3</v>
      </c>
      <c r="K28" s="11" t="n">
        <v>42</v>
      </c>
      <c r="L28" s="12" t="n">
        <f aca="false">K28-J28</f>
        <v>39</v>
      </c>
      <c r="M28" s="12" t="n">
        <f aca="false">K28-I28</f>
        <v>39</v>
      </c>
      <c r="N28" s="10" t="n">
        <v>3</v>
      </c>
      <c r="O28" s="10" t="n">
        <v>3</v>
      </c>
      <c r="P28" s="11" t="n">
        <v>42</v>
      </c>
      <c r="Q28" s="12" t="n">
        <f aca="false">P28-O28</f>
        <v>39</v>
      </c>
      <c r="R28" s="12" t="n">
        <f aca="false">P28-N28</f>
        <v>39</v>
      </c>
      <c r="S28" s="10" t="n">
        <v>3</v>
      </c>
      <c r="T28" s="10" t="n">
        <v>3</v>
      </c>
      <c r="U28" s="11" t="n">
        <v>42</v>
      </c>
      <c r="V28" s="12" t="n">
        <f aca="false">U28-T28</f>
        <v>39</v>
      </c>
      <c r="W28" s="12" t="n">
        <f aca="false">U28-S28</f>
        <v>39</v>
      </c>
      <c r="X28" s="10" t="n">
        <v>3</v>
      </c>
      <c r="Y28" s="10" t="n">
        <v>3</v>
      </c>
      <c r="Z28" s="11" t="n">
        <v>38</v>
      </c>
      <c r="AA28" s="12" t="n">
        <f aca="false">Z28-Y28</f>
        <v>35</v>
      </c>
      <c r="AB28" s="12" t="n">
        <f aca="false">Z28-X28</f>
        <v>35</v>
      </c>
      <c r="AC28" s="10" t="n">
        <v>0</v>
      </c>
      <c r="AD28" s="10" t="n">
        <v>0</v>
      </c>
      <c r="AE28" s="11" t="n">
        <v>10</v>
      </c>
      <c r="AF28" s="12" t="n">
        <f aca="false">AE28-AD28</f>
        <v>10</v>
      </c>
      <c r="AG28" s="12" t="n">
        <f aca="false">AE28-AC28</f>
        <v>10</v>
      </c>
      <c r="AH28" s="10" t="n">
        <v>0</v>
      </c>
      <c r="AI28" s="10" t="n">
        <v>0</v>
      </c>
      <c r="AJ28" s="11" t="n">
        <v>10</v>
      </c>
      <c r="AK28" s="12" t="n">
        <f aca="false">AJ28-AI28</f>
        <v>10</v>
      </c>
      <c r="AL28" s="12" t="n">
        <f aca="false">AJ28-AH28</f>
        <v>10</v>
      </c>
      <c r="AM28" s="10" t="n">
        <v>3</v>
      </c>
      <c r="AN28" s="10" t="n">
        <v>3</v>
      </c>
      <c r="AO28" s="11" t="n">
        <v>42</v>
      </c>
      <c r="AP28" s="12" t="n">
        <f aca="false">AO28-AN28</f>
        <v>39</v>
      </c>
      <c r="AQ28" s="12" t="n">
        <f aca="false">AO28-AM28</f>
        <v>39</v>
      </c>
      <c r="AR28" s="10" t="n">
        <v>0</v>
      </c>
      <c r="AS28" s="10" t="n">
        <v>0</v>
      </c>
      <c r="AT28" s="11" t="n">
        <v>0</v>
      </c>
      <c r="AU28" s="12" t="n">
        <f aca="false">AT28-AS28</f>
        <v>0</v>
      </c>
      <c r="AV28" s="12" t="n">
        <f aca="false">AT28-AR28</f>
        <v>0</v>
      </c>
      <c r="AW28" s="10" t="n">
        <v>3</v>
      </c>
      <c r="AX28" s="10" t="n">
        <v>3</v>
      </c>
      <c r="AY28" s="11" t="n">
        <v>41</v>
      </c>
      <c r="AZ28" s="12" t="n">
        <f aca="false">AY28-AX28</f>
        <v>38</v>
      </c>
      <c r="BA28" s="12" t="n">
        <f aca="false">AY28-AW28</f>
        <v>38</v>
      </c>
      <c r="BB28" s="10" t="n">
        <v>0</v>
      </c>
      <c r="BC28" s="10" t="n">
        <v>0</v>
      </c>
      <c r="BD28" s="11" t="n">
        <v>0</v>
      </c>
      <c r="BE28" s="12" t="n">
        <f aca="false">BD28-BC28</f>
        <v>0</v>
      </c>
      <c r="BF28" s="12" t="n">
        <f aca="false">BD28-BB28</f>
        <v>0</v>
      </c>
      <c r="BG28" s="10" t="n">
        <v>0</v>
      </c>
      <c r="BH28" s="10" t="n">
        <v>0</v>
      </c>
      <c r="BI28" s="11" t="n">
        <v>1</v>
      </c>
      <c r="BJ28" s="12" t="n">
        <f aca="false">BI28-BH28</f>
        <v>1</v>
      </c>
      <c r="BK28" s="12" t="n">
        <f aca="false">BI28-BG28</f>
        <v>1</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52</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3</v>
      </c>
      <c r="F29" s="11" t="n">
        <v>41</v>
      </c>
      <c r="G29" s="12" t="n">
        <f aca="false">F29-E29</f>
        <v>38</v>
      </c>
      <c r="H29" s="12" t="n">
        <f aca="false">F29-D29</f>
        <v>38</v>
      </c>
      <c r="I29" s="10" t="n">
        <v>3</v>
      </c>
      <c r="J29" s="10" t="n">
        <v>3</v>
      </c>
      <c r="K29" s="11" t="n">
        <v>41</v>
      </c>
      <c r="L29" s="12" t="n">
        <f aca="false">K29-J29</f>
        <v>38</v>
      </c>
      <c r="M29" s="12" t="n">
        <f aca="false">K29-I29</f>
        <v>38</v>
      </c>
      <c r="N29" s="10" t="n">
        <v>3</v>
      </c>
      <c r="O29" s="10" t="n">
        <v>3</v>
      </c>
      <c r="P29" s="11" t="n">
        <v>41</v>
      </c>
      <c r="Q29" s="12" t="n">
        <f aca="false">P29-O29</f>
        <v>38</v>
      </c>
      <c r="R29" s="12" t="n">
        <f aca="false">P29-N29</f>
        <v>38</v>
      </c>
      <c r="S29" s="10" t="n">
        <v>0</v>
      </c>
      <c r="T29" s="10" t="n">
        <v>0</v>
      </c>
      <c r="U29" s="11" t="n">
        <v>3</v>
      </c>
      <c r="V29" s="12" t="n">
        <f aca="false">U29-T29</f>
        <v>3</v>
      </c>
      <c r="W29" s="12" t="n">
        <f aca="false">U29-S29</f>
        <v>3</v>
      </c>
      <c r="X29" s="10" t="n">
        <v>3</v>
      </c>
      <c r="Y29" s="10" t="n">
        <v>3</v>
      </c>
      <c r="Z29" s="11" t="n">
        <v>40</v>
      </c>
      <c r="AA29" s="12" t="n">
        <f aca="false">Z29-Y29</f>
        <v>37</v>
      </c>
      <c r="AB29" s="12" t="n">
        <f aca="false">Z29-X29</f>
        <v>37</v>
      </c>
      <c r="AC29" s="10" t="n">
        <v>3</v>
      </c>
      <c r="AD29" s="10" t="n">
        <v>3</v>
      </c>
      <c r="AE29" s="11" t="n">
        <v>38</v>
      </c>
      <c r="AF29" s="12" t="n">
        <f aca="false">AE29-AD29</f>
        <v>35</v>
      </c>
      <c r="AG29" s="12" t="n">
        <f aca="false">AE29-AC29</f>
        <v>35</v>
      </c>
      <c r="AH29" s="10" t="n">
        <v>0</v>
      </c>
      <c r="AI29" s="10" t="n">
        <v>0</v>
      </c>
      <c r="AJ29" s="11" t="n">
        <v>0</v>
      </c>
      <c r="AK29" s="12" t="n">
        <f aca="false">AJ29-AI29</f>
        <v>0</v>
      </c>
      <c r="AL29" s="12" t="n">
        <f aca="false">AJ29-AH29</f>
        <v>0</v>
      </c>
      <c r="AM29" s="10" t="n">
        <v>3</v>
      </c>
      <c r="AN29" s="10" t="n">
        <v>3</v>
      </c>
      <c r="AO29" s="11" t="n">
        <v>41</v>
      </c>
      <c r="AP29" s="12" t="n">
        <f aca="false">AO29-AN29</f>
        <v>38</v>
      </c>
      <c r="AQ29" s="12" t="n">
        <f aca="false">AO29-AM29</f>
        <v>38</v>
      </c>
      <c r="AR29" s="10" t="n">
        <v>0</v>
      </c>
      <c r="AS29" s="10" t="n">
        <v>0</v>
      </c>
      <c r="AT29" s="11" t="n">
        <v>0</v>
      </c>
      <c r="AU29" s="12" t="n">
        <f aca="false">AT29-AS29</f>
        <v>0</v>
      </c>
      <c r="AV29" s="12" t="n">
        <f aca="false">AT29-AR29</f>
        <v>0</v>
      </c>
      <c r="AW29" s="10" t="n">
        <v>3</v>
      </c>
      <c r="AX29" s="10" t="n">
        <v>3</v>
      </c>
      <c r="AY29" s="11" t="n">
        <v>3</v>
      </c>
      <c r="AZ29" s="12" t="n">
        <f aca="false">AY29-AX29</f>
        <v>0</v>
      </c>
      <c r="BA29" s="12" t="n">
        <f aca="false">AY29-AW29</f>
        <v>0</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2</v>
      </c>
      <c r="F30" s="11" t="n">
        <v>11</v>
      </c>
      <c r="G30" s="12" t="n">
        <f aca="false">F30-E30</f>
        <v>9</v>
      </c>
      <c r="H30" s="12" t="n">
        <f aca="false">F30-D30</f>
        <v>9</v>
      </c>
      <c r="I30" s="10" t="n">
        <v>39</v>
      </c>
      <c r="J30" s="10" t="n">
        <v>39</v>
      </c>
      <c r="K30" s="11" t="n">
        <v>40</v>
      </c>
      <c r="L30" s="12" t="n">
        <f aca="false">K30-J30</f>
        <v>1</v>
      </c>
      <c r="M30" s="12" t="n">
        <f aca="false">K30-I30</f>
        <v>1</v>
      </c>
      <c r="N30" s="10" t="n">
        <v>271</v>
      </c>
      <c r="O30" s="10" t="n">
        <v>271</v>
      </c>
      <c r="P30" s="11" t="n">
        <v>40</v>
      </c>
      <c r="Q30" s="12" t="n">
        <f aca="false">P30-O30</f>
        <v>-231</v>
      </c>
      <c r="R30" s="12" t="n">
        <f aca="false">P30-N30</f>
        <v>-231</v>
      </c>
      <c r="S30" s="10" t="n">
        <v>1</v>
      </c>
      <c r="T30" s="10" t="n">
        <v>1</v>
      </c>
      <c r="U30" s="11" t="n">
        <v>28</v>
      </c>
      <c r="V30" s="12" t="n">
        <f aca="false">U30-T30</f>
        <v>27</v>
      </c>
      <c r="W30" s="12" t="n">
        <f aca="false">U30-S30</f>
        <v>27</v>
      </c>
      <c r="X30" s="10" t="n">
        <v>7</v>
      </c>
      <c r="Y30" s="10" t="n">
        <v>7</v>
      </c>
      <c r="Z30" s="11" t="n">
        <v>32</v>
      </c>
      <c r="AA30" s="12" t="n">
        <f aca="false">Z30-Y30</f>
        <v>25</v>
      </c>
      <c r="AB30" s="12" t="n">
        <f aca="false">Z30-X30</f>
        <v>25</v>
      </c>
      <c r="AC30" s="10" t="n">
        <v>20</v>
      </c>
      <c r="AD30" s="10" t="n">
        <v>24</v>
      </c>
      <c r="AE30" s="11" t="n">
        <v>30</v>
      </c>
      <c r="AF30" s="12" t="n">
        <f aca="false">AE30-AD30</f>
        <v>6</v>
      </c>
      <c r="AG30" s="12" t="n">
        <f aca="false">AE30-AC30</f>
        <v>10</v>
      </c>
      <c r="AH30" s="10" t="n">
        <v>0</v>
      </c>
      <c r="AI30" s="10" t="n">
        <v>0</v>
      </c>
      <c r="AJ30" s="11" t="n">
        <v>0</v>
      </c>
      <c r="AK30" s="12" t="n">
        <f aca="false">AJ30-AI30</f>
        <v>0</v>
      </c>
      <c r="AL30" s="12" t="n">
        <f aca="false">AJ30-AH30</f>
        <v>0</v>
      </c>
      <c r="AM30" s="10" t="n">
        <v>276</v>
      </c>
      <c r="AN30" s="10" t="n">
        <v>276</v>
      </c>
      <c r="AO30" s="11" t="n">
        <v>40</v>
      </c>
      <c r="AP30" s="12" t="n">
        <f aca="false">AO30-AN30</f>
        <v>-236</v>
      </c>
      <c r="AQ30" s="12" t="n">
        <f aca="false">AO30-AM30</f>
        <v>-236</v>
      </c>
      <c r="AR30" s="10" t="n">
        <v>0</v>
      </c>
      <c r="AS30" s="10" t="n">
        <v>0</v>
      </c>
      <c r="AT30" s="11" t="n">
        <v>0</v>
      </c>
      <c r="AU30" s="12" t="n">
        <f aca="false">AT30-AS30</f>
        <v>0</v>
      </c>
      <c r="AV30" s="12" t="n">
        <f aca="false">AT30-AR30</f>
        <v>0</v>
      </c>
      <c r="AW30" s="10" t="n">
        <v>0</v>
      </c>
      <c r="AX30" s="10" t="n">
        <v>0</v>
      </c>
      <c r="AY30" s="11" t="n">
        <v>0</v>
      </c>
      <c r="AZ30" s="12" t="n">
        <f aca="false">AY30-AX30</f>
        <v>0</v>
      </c>
      <c r="BA30" s="12" t="n">
        <f aca="false">AY30-AW30</f>
        <v>0</v>
      </c>
      <c r="BB30" s="10" t="n">
        <v>0</v>
      </c>
      <c r="BC30" s="10" t="n">
        <v>0</v>
      </c>
      <c r="BD30" s="11" t="n">
        <v>0</v>
      </c>
      <c r="BE30" s="12" t="n">
        <f aca="false">BD30-BC30</f>
        <v>0</v>
      </c>
      <c r="BF30" s="12" t="n">
        <f aca="false">BD30-BB30</f>
        <v>0</v>
      </c>
      <c r="BG30" s="10" t="n">
        <v>0</v>
      </c>
      <c r="BH30" s="10" t="n">
        <v>0</v>
      </c>
      <c r="BI30" s="11" t="n">
        <v>0</v>
      </c>
      <c r="BJ30" s="12" t="n">
        <f aca="false">BI30-BH30</f>
        <v>0</v>
      </c>
      <c r="BK30" s="12" t="n">
        <f aca="false">BI30-BG30</f>
        <v>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9</v>
      </c>
      <c r="Z31" s="11" t="n">
        <v>9</v>
      </c>
      <c r="AA31" s="12" t="n">
        <f aca="false">Z31-Y31</f>
        <v>0</v>
      </c>
      <c r="AB31" s="12" t="n">
        <f aca="false">Z31-X31</f>
        <v>0</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14</v>
      </c>
      <c r="AY31" s="11" t="n">
        <v>14</v>
      </c>
      <c r="AZ31" s="12" t="n">
        <f aca="false">AY31-AX31</f>
        <v>0</v>
      </c>
      <c r="BA31" s="12" t="n">
        <f aca="false">AY31-AW31</f>
        <v>0</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35</v>
      </c>
      <c r="P32" s="11" t="n">
        <v>36</v>
      </c>
      <c r="Q32" s="12" t="n">
        <f aca="false">P32-O32</f>
        <v>1</v>
      </c>
      <c r="R32" s="12" t="n">
        <f aca="false">P32-N32</f>
        <v>1</v>
      </c>
      <c r="S32" s="10" t="n">
        <v>5</v>
      </c>
      <c r="T32" s="10" t="n">
        <v>5</v>
      </c>
      <c r="U32" s="11" t="n">
        <v>5</v>
      </c>
      <c r="V32" s="12" t="n">
        <f aca="false">U32-T32</f>
        <v>0</v>
      </c>
      <c r="W32" s="12" t="n">
        <f aca="false">U32-S32</f>
        <v>0</v>
      </c>
      <c r="X32" s="10" t="n">
        <v>15</v>
      </c>
      <c r="Y32" s="10" t="n">
        <v>15</v>
      </c>
      <c r="Z32" s="11" t="n">
        <v>17</v>
      </c>
      <c r="AA32" s="12" t="n">
        <f aca="false">Z32-Y32</f>
        <v>2</v>
      </c>
      <c r="AB32" s="12" t="n">
        <f aca="false">Z32-X32</f>
        <v>2</v>
      </c>
      <c r="AC32" s="10" t="n">
        <v>9</v>
      </c>
      <c r="AD32" s="10" t="n">
        <v>9</v>
      </c>
      <c r="AE32" s="11" t="n">
        <v>12</v>
      </c>
      <c r="AF32" s="12" t="n">
        <f aca="false">AE32-AD32</f>
        <v>3</v>
      </c>
      <c r="AG32" s="12" t="n">
        <f aca="false">AE32-AC32</f>
        <v>3</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16</v>
      </c>
      <c r="AY32" s="11" t="n">
        <v>10</v>
      </c>
      <c r="AZ32" s="12" t="n">
        <f aca="false">AY32-AX32</f>
        <v>-6</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17</v>
      </c>
      <c r="F33" s="11" t="n">
        <v>17</v>
      </c>
      <c r="G33" s="12" t="n">
        <f aca="false">F33-E33</f>
        <v>0</v>
      </c>
      <c r="H33" s="12" t="n">
        <f aca="false">F33-D33</f>
        <v>0</v>
      </c>
      <c r="I33" s="10" t="n">
        <v>31</v>
      </c>
      <c r="J33" s="10" t="n">
        <v>31</v>
      </c>
      <c r="K33" s="11" t="n">
        <v>31</v>
      </c>
      <c r="L33" s="12" t="n">
        <f aca="false">K33-J33</f>
        <v>0</v>
      </c>
      <c r="M33" s="12" t="n">
        <f aca="false">K33-I33</f>
        <v>0</v>
      </c>
      <c r="N33" s="10" t="n">
        <v>29</v>
      </c>
      <c r="O33" s="10" t="n">
        <v>29</v>
      </c>
      <c r="P33" s="11" t="n">
        <v>29</v>
      </c>
      <c r="Q33" s="12" t="n">
        <f aca="false">P33-O33</f>
        <v>0</v>
      </c>
      <c r="R33" s="12" t="n">
        <f aca="false">P33-N33</f>
        <v>0</v>
      </c>
      <c r="S33" s="10" t="n">
        <v>2</v>
      </c>
      <c r="T33" s="10" t="n">
        <v>2</v>
      </c>
      <c r="U33" s="11" t="n">
        <v>2</v>
      </c>
      <c r="V33" s="12" t="n">
        <f aca="false">U33-T33</f>
        <v>0</v>
      </c>
      <c r="W33" s="12" t="n">
        <f aca="false">U33-S33</f>
        <v>0</v>
      </c>
      <c r="X33" s="10" t="n">
        <v>22</v>
      </c>
      <c r="Y33" s="10" t="n">
        <v>22</v>
      </c>
      <c r="Z33" s="11" t="n">
        <v>22</v>
      </c>
      <c r="AA33" s="12" t="n">
        <f aca="false">Z33-Y33</f>
        <v>0</v>
      </c>
      <c r="AB33" s="12" t="n">
        <f aca="false">Z33-X33</f>
        <v>0</v>
      </c>
      <c r="AC33" s="10" t="n">
        <v>11</v>
      </c>
      <c r="AD33" s="10" t="n">
        <v>11</v>
      </c>
      <c r="AE33" s="11" t="n">
        <v>12</v>
      </c>
      <c r="AF33" s="12" t="n">
        <f aca="false">AE33-AD33</f>
        <v>1</v>
      </c>
      <c r="AG33" s="12" t="n">
        <f aca="false">AE33-AC33</f>
        <v>1</v>
      </c>
      <c r="AH33" s="10" t="n">
        <v>11</v>
      </c>
      <c r="AI33" s="10" t="n">
        <v>11</v>
      </c>
      <c r="AJ33" s="11" t="n">
        <v>12</v>
      </c>
      <c r="AK33" s="12" t="n">
        <f aca="false">AJ33-AI33</f>
        <v>1</v>
      </c>
      <c r="AL33" s="12" t="n">
        <f aca="false">AJ33-AH33</f>
        <v>1</v>
      </c>
      <c r="AM33" s="10" t="n">
        <v>31</v>
      </c>
      <c r="AN33" s="10" t="n">
        <v>31</v>
      </c>
      <c r="AO33" s="11" t="n">
        <v>31</v>
      </c>
      <c r="AP33" s="12" t="n">
        <f aca="false">AO33-AN33</f>
        <v>0</v>
      </c>
      <c r="AQ33" s="12" t="n">
        <f aca="false">AO33-AM33</f>
        <v>0</v>
      </c>
      <c r="AR33" s="10" t="n">
        <v>0</v>
      </c>
      <c r="AS33" s="10" t="n">
        <v>0</v>
      </c>
      <c r="AT33" s="11" t="n">
        <v>0</v>
      </c>
      <c r="AU33" s="12" t="n">
        <f aca="false">AT33-AS33</f>
        <v>0</v>
      </c>
      <c r="AV33" s="12" t="n">
        <f aca="false">AT33-AR33</f>
        <v>0</v>
      </c>
      <c r="AW33" s="10" t="n">
        <v>14</v>
      </c>
      <c r="AX33" s="10" t="n">
        <v>14</v>
      </c>
      <c r="AY33" s="11" t="n">
        <v>14</v>
      </c>
      <c r="AZ33" s="12" t="n">
        <f aca="false">AY33-AX33</f>
        <v>0</v>
      </c>
      <c r="BA33" s="12" t="n">
        <f aca="false">AY33-AW33</f>
        <v>0</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29</v>
      </c>
      <c r="P34" s="11" t="n">
        <v>30</v>
      </c>
      <c r="Q34" s="12" t="n">
        <f aca="false">P34-O34</f>
        <v>1</v>
      </c>
      <c r="R34" s="12" t="n">
        <f aca="false">P34-N34</f>
        <v>1</v>
      </c>
      <c r="S34" s="10" t="n">
        <v>6</v>
      </c>
      <c r="T34" s="10" t="n">
        <v>6</v>
      </c>
      <c r="U34" s="11" t="n">
        <v>7</v>
      </c>
      <c r="V34" s="12" t="n">
        <f aca="false">U34-T34</f>
        <v>1</v>
      </c>
      <c r="W34" s="12" t="n">
        <f aca="false">U34-S34</f>
        <v>1</v>
      </c>
      <c r="X34" s="10" t="n">
        <v>23</v>
      </c>
      <c r="Y34" s="10" t="n">
        <v>23</v>
      </c>
      <c r="Z34" s="11" t="n">
        <v>29</v>
      </c>
      <c r="AA34" s="12" t="n">
        <f aca="false">Z34-Y34</f>
        <v>6</v>
      </c>
      <c r="AB34" s="12" t="n">
        <f aca="false">Z34-X34</f>
        <v>6</v>
      </c>
      <c r="AC34" s="10" t="n">
        <v>7</v>
      </c>
      <c r="AD34" s="10" t="n">
        <v>7</v>
      </c>
      <c r="AE34" s="11" t="n">
        <v>10</v>
      </c>
      <c r="AF34" s="12" t="n">
        <f aca="false">AE34-AD34</f>
        <v>3</v>
      </c>
      <c r="AG34" s="12" t="n">
        <f aca="false">AE34-AC34</f>
        <v>3</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3</v>
      </c>
      <c r="V35" s="12" t="n">
        <f aca="false">U35-T35</f>
        <v>3</v>
      </c>
      <c r="W35" s="12" t="n">
        <f aca="false">U35-S35</f>
        <v>3</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0</v>
      </c>
      <c r="BI35" s="11" t="n">
        <v>0</v>
      </c>
      <c r="BJ35" s="12" t="n">
        <f aca="false">BI35-BH35</f>
        <v>0</v>
      </c>
      <c r="BK35" s="12" t="n">
        <f aca="false">BI35-BG35</f>
        <v>0</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4</v>
      </c>
      <c r="Z36" s="11" t="n">
        <v>4</v>
      </c>
      <c r="AA36" s="12" t="n">
        <f aca="false">Z36-Y36</f>
        <v>0</v>
      </c>
      <c r="AB36" s="12" t="n">
        <f aca="false">Z36-X36</f>
        <v>0</v>
      </c>
      <c r="AC36" s="10" t="n">
        <v>2</v>
      </c>
      <c r="AD36" s="10" t="n">
        <v>2</v>
      </c>
      <c r="AE36" s="11" t="n">
        <v>3</v>
      </c>
      <c r="AF36" s="12" t="n">
        <f aca="false">AE36-AD36</f>
        <v>1</v>
      </c>
      <c r="AG36" s="12" t="n">
        <f aca="false">AE36-AC36</f>
        <v>1</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0</v>
      </c>
      <c r="BI36" s="11" t="n">
        <v>0</v>
      </c>
      <c r="BJ36" s="12" t="n">
        <f aca="false">BI36-BH36</f>
        <v>0</v>
      </c>
      <c r="BK36" s="12" t="n">
        <f aca="false">BI36-BG36</f>
        <v>0</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59</v>
      </c>
      <c r="F37" s="11" t="n">
        <v>22</v>
      </c>
      <c r="G37" s="12" t="n">
        <f aca="false">F37-E37</f>
        <v>-37</v>
      </c>
      <c r="H37" s="12" t="n">
        <f aca="false">F37-D37</f>
        <v>-37</v>
      </c>
      <c r="I37" s="10" t="n">
        <v>7</v>
      </c>
      <c r="J37" s="10" t="n">
        <v>7</v>
      </c>
      <c r="K37" s="11" t="n">
        <v>22</v>
      </c>
      <c r="L37" s="12" t="n">
        <f aca="false">K37-J37</f>
        <v>15</v>
      </c>
      <c r="M37" s="12" t="n">
        <f aca="false">K37-I37</f>
        <v>15</v>
      </c>
      <c r="N37" s="10" t="n">
        <v>54</v>
      </c>
      <c r="O37" s="10" t="n">
        <v>54</v>
      </c>
      <c r="P37" s="11" t="n">
        <v>17</v>
      </c>
      <c r="Q37" s="12" t="n">
        <f aca="false">P37-O37</f>
        <v>-37</v>
      </c>
      <c r="R37" s="12" t="n">
        <f aca="false">P37-N37</f>
        <v>-37</v>
      </c>
      <c r="S37" s="10" t="n">
        <v>49</v>
      </c>
      <c r="T37" s="10" t="n">
        <v>49</v>
      </c>
      <c r="U37" s="11" t="n">
        <v>19</v>
      </c>
      <c r="V37" s="12" t="n">
        <f aca="false">U37-T37</f>
        <v>-30</v>
      </c>
      <c r="W37" s="12" t="n">
        <f aca="false">U37-S37</f>
        <v>-30</v>
      </c>
      <c r="X37" s="10" t="n">
        <v>59</v>
      </c>
      <c r="Y37" s="10" t="n">
        <v>59</v>
      </c>
      <c r="Z37" s="11" t="n">
        <v>22</v>
      </c>
      <c r="AA37" s="12" t="n">
        <f aca="false">Z37-Y37</f>
        <v>-37</v>
      </c>
      <c r="AB37" s="12" t="n">
        <f aca="false">Z37-X37</f>
        <v>-37</v>
      </c>
      <c r="AC37" s="10" t="n">
        <v>41</v>
      </c>
      <c r="AD37" s="10" t="n">
        <v>41</v>
      </c>
      <c r="AE37" s="11" t="n">
        <v>15</v>
      </c>
      <c r="AF37" s="12" t="n">
        <f aca="false">AE37-AD37</f>
        <v>-26</v>
      </c>
      <c r="AG37" s="12" t="n">
        <f aca="false">AE37-AC37</f>
        <v>-26</v>
      </c>
      <c r="AH37" s="10" t="n">
        <v>0</v>
      </c>
      <c r="AI37" s="10" t="n">
        <v>0</v>
      </c>
      <c r="AJ37" s="11" t="n">
        <v>0</v>
      </c>
      <c r="AK37" s="12" t="n">
        <f aca="false">AJ37-AI37</f>
        <v>0</v>
      </c>
      <c r="AL37" s="12" t="n">
        <f aca="false">AJ37-AH37</f>
        <v>0</v>
      </c>
      <c r="AM37" s="10" t="n">
        <v>59</v>
      </c>
      <c r="AN37" s="10" t="n">
        <v>59</v>
      </c>
      <c r="AO37" s="11" t="n">
        <v>22</v>
      </c>
      <c r="AP37" s="12" t="n">
        <f aca="false">AO37-AN37</f>
        <v>-37</v>
      </c>
      <c r="AQ37" s="12" t="n">
        <f aca="false">AO37-AM37</f>
        <v>-37</v>
      </c>
      <c r="AR37" s="10" t="n">
        <v>0</v>
      </c>
      <c r="AS37" s="10" t="n">
        <v>0</v>
      </c>
      <c r="AT37" s="11" t="n">
        <v>0</v>
      </c>
      <c r="AU37" s="12" t="n">
        <f aca="false">AT37-AS37</f>
        <v>0</v>
      </c>
      <c r="AV37" s="12" t="n">
        <f aca="false">AT37-AR37</f>
        <v>0</v>
      </c>
      <c r="AW37" s="10" t="n">
        <v>4</v>
      </c>
      <c r="AX37" s="10" t="n">
        <v>4</v>
      </c>
      <c r="AY37" s="11" t="n">
        <v>3</v>
      </c>
      <c r="AZ37" s="12" t="n">
        <f aca="false">AY37-AX37</f>
        <v>-1</v>
      </c>
      <c r="BA37" s="12" t="n">
        <f aca="false">AY37-AW37</f>
        <v>-1</v>
      </c>
      <c r="BB37" s="10" t="n">
        <v>0</v>
      </c>
      <c r="BC37" s="10" t="n">
        <v>0</v>
      </c>
      <c r="BD37" s="11" t="n">
        <v>0</v>
      </c>
      <c r="BE37" s="12" t="n">
        <f aca="false">BD37-BC37</f>
        <v>0</v>
      </c>
      <c r="BF37" s="12" t="n">
        <f aca="false">BD37-BB37</f>
        <v>0</v>
      </c>
      <c r="BG37" s="10" t="n">
        <v>38</v>
      </c>
      <c r="BH37" s="10" t="n">
        <v>38</v>
      </c>
      <c r="BI37" s="11" t="n">
        <v>14</v>
      </c>
      <c r="BJ37" s="12" t="n">
        <f aca="false">BI37-BH37</f>
        <v>-24</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21</v>
      </c>
      <c r="F38" s="11" t="n">
        <v>15</v>
      </c>
      <c r="G38" s="12" t="n">
        <f aca="false">F38-E38</f>
        <v>-6</v>
      </c>
      <c r="H38" s="12" t="n">
        <f aca="false">F38-D38</f>
        <v>-55</v>
      </c>
      <c r="I38" s="10" t="n">
        <v>14</v>
      </c>
      <c r="J38" s="10" t="n">
        <v>14</v>
      </c>
      <c r="K38" s="11" t="n">
        <v>22</v>
      </c>
      <c r="L38" s="12" t="n">
        <f aca="false">K38-J38</f>
        <v>8</v>
      </c>
      <c r="M38" s="12" t="n">
        <f aca="false">K38-I38</f>
        <v>8</v>
      </c>
      <c r="N38" s="10" t="n">
        <v>215</v>
      </c>
      <c r="O38" s="10" t="n">
        <v>215</v>
      </c>
      <c r="P38" s="11" t="n">
        <v>22</v>
      </c>
      <c r="Q38" s="12" t="n">
        <f aca="false">P38-O38</f>
        <v>-193</v>
      </c>
      <c r="R38" s="12" t="n">
        <f aca="false">P38-N38</f>
        <v>-193</v>
      </c>
      <c r="S38" s="10" t="n">
        <v>50</v>
      </c>
      <c r="T38" s="10" t="n">
        <v>50</v>
      </c>
      <c r="U38" s="11" t="n">
        <v>6</v>
      </c>
      <c r="V38" s="12" t="n">
        <f aca="false">U38-T38</f>
        <v>-44</v>
      </c>
      <c r="W38" s="12" t="n">
        <f aca="false">U38-S38</f>
        <v>-44</v>
      </c>
      <c r="X38" s="10" t="n">
        <v>86</v>
      </c>
      <c r="Y38" s="10" t="n">
        <v>86</v>
      </c>
      <c r="Z38" s="11" t="n">
        <v>11</v>
      </c>
      <c r="AA38" s="12" t="n">
        <f aca="false">Z38-Y38</f>
        <v>-75</v>
      </c>
      <c r="AB38" s="12" t="n">
        <f aca="false">Z38-X38</f>
        <v>-75</v>
      </c>
      <c r="AC38" s="10" t="n">
        <v>90</v>
      </c>
      <c r="AD38" s="10" t="n">
        <v>90</v>
      </c>
      <c r="AE38" s="11" t="n">
        <v>9</v>
      </c>
      <c r="AF38" s="12" t="n">
        <f aca="false">AE38-AD38</f>
        <v>-81</v>
      </c>
      <c r="AG38" s="12" t="n">
        <f aca="false">AE38-AC38</f>
        <v>-81</v>
      </c>
      <c r="AH38" s="10" t="n">
        <v>18</v>
      </c>
      <c r="AI38" s="10" t="n">
        <v>18</v>
      </c>
      <c r="AJ38" s="11" t="n">
        <v>0</v>
      </c>
      <c r="AK38" s="12" t="n">
        <f aca="false">AJ38-AI38</f>
        <v>-18</v>
      </c>
      <c r="AL38" s="12" t="n">
        <f aca="false">AJ38-AH38</f>
        <v>-18</v>
      </c>
      <c r="AM38" s="10" t="n">
        <v>215</v>
      </c>
      <c r="AN38" s="10" t="n">
        <v>215</v>
      </c>
      <c r="AO38" s="11" t="n">
        <v>22</v>
      </c>
      <c r="AP38" s="12" t="n">
        <f aca="false">AO38-AN38</f>
        <v>-193</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74</v>
      </c>
      <c r="F39" s="11" t="n">
        <v>18</v>
      </c>
      <c r="G39" s="12" t="n">
        <f aca="false">F39-E39</f>
        <v>-56</v>
      </c>
      <c r="H39" s="12" t="n">
        <f aca="false">F39-D39</f>
        <v>-56</v>
      </c>
      <c r="I39" s="10" t="n">
        <v>4</v>
      </c>
      <c r="J39" s="10" t="n">
        <v>5</v>
      </c>
      <c r="K39" s="11" t="n">
        <v>20</v>
      </c>
      <c r="L39" s="12" t="n">
        <f aca="false">K39-J39</f>
        <v>15</v>
      </c>
      <c r="M39" s="12" t="n">
        <f aca="false">K39-I39</f>
        <v>16</v>
      </c>
      <c r="N39" s="10" t="n">
        <v>110</v>
      </c>
      <c r="O39" s="10" t="n">
        <v>110</v>
      </c>
      <c r="P39" s="11" t="n">
        <v>18</v>
      </c>
      <c r="Q39" s="12" t="n">
        <f aca="false">P39-O39</f>
        <v>-92</v>
      </c>
      <c r="R39" s="12" t="n">
        <f aca="false">P39-N39</f>
        <v>-92</v>
      </c>
      <c r="S39" s="10" t="n">
        <v>81</v>
      </c>
      <c r="T39" s="10" t="n">
        <v>81</v>
      </c>
      <c r="U39" s="11" t="n">
        <v>11</v>
      </c>
      <c r="V39" s="12" t="n">
        <f aca="false">U39-T39</f>
        <v>-70</v>
      </c>
      <c r="W39" s="12" t="n">
        <f aca="false">U39-S39</f>
        <v>-70</v>
      </c>
      <c r="X39" s="10" t="n">
        <v>85</v>
      </c>
      <c r="Y39" s="10" t="n">
        <v>86</v>
      </c>
      <c r="Z39" s="11" t="n">
        <v>17</v>
      </c>
      <c r="AA39" s="12" t="n">
        <f aca="false">Z39-Y39</f>
        <v>-69</v>
      </c>
      <c r="AB39" s="12" t="n">
        <f aca="false">Z39-X39</f>
        <v>-68</v>
      </c>
      <c r="AC39" s="10" t="n">
        <v>82</v>
      </c>
      <c r="AD39" s="10" t="n">
        <v>82</v>
      </c>
      <c r="AE39" s="11" t="n">
        <v>17</v>
      </c>
      <c r="AF39" s="12" t="n">
        <f aca="false">AE39-AD39</f>
        <v>-65</v>
      </c>
      <c r="AG39" s="12" t="n">
        <f aca="false">AE39-AC39</f>
        <v>-65</v>
      </c>
      <c r="AH39" s="10" t="n">
        <v>0</v>
      </c>
      <c r="AI39" s="10" t="n">
        <v>0</v>
      </c>
      <c r="AJ39" s="11" t="n">
        <v>0</v>
      </c>
      <c r="AK39" s="12" t="n">
        <f aca="false">AJ39-AI39</f>
        <v>0</v>
      </c>
      <c r="AL39" s="12" t="n">
        <f aca="false">AJ39-AH39</f>
        <v>0</v>
      </c>
      <c r="AM39" s="10" t="n">
        <v>117</v>
      </c>
      <c r="AN39" s="10" t="n">
        <v>117</v>
      </c>
      <c r="AO39" s="11" t="n">
        <v>20</v>
      </c>
      <c r="AP39" s="12" t="n">
        <f aca="false">AO39-AN39</f>
        <v>-97</v>
      </c>
      <c r="AQ39" s="12" t="n">
        <f aca="false">AO39-AM39</f>
        <v>-97</v>
      </c>
      <c r="AR39" s="10" t="n">
        <v>0</v>
      </c>
      <c r="AS39" s="10" t="n">
        <v>0</v>
      </c>
      <c r="AT39" s="11" t="n">
        <v>0</v>
      </c>
      <c r="AU39" s="12" t="n">
        <f aca="false">AT39-AS39</f>
        <v>0</v>
      </c>
      <c r="AV39" s="12" t="n">
        <f aca="false">AT39-AR39</f>
        <v>0</v>
      </c>
      <c r="AW39" s="10" t="n">
        <v>0</v>
      </c>
      <c r="AX39" s="10" t="n">
        <v>0</v>
      </c>
      <c r="AY39" s="11" t="n">
        <v>0</v>
      </c>
      <c r="AZ39" s="12" t="n">
        <f aca="false">AY39-AX39</f>
        <v>0</v>
      </c>
      <c r="BA39" s="12" t="n">
        <f aca="false">AY39-AW39</f>
        <v>0</v>
      </c>
      <c r="BB39" s="10" t="n">
        <v>0</v>
      </c>
      <c r="BC39" s="10" t="n">
        <v>0</v>
      </c>
      <c r="BD39" s="11" t="n">
        <v>0</v>
      </c>
      <c r="BE39" s="12" t="n">
        <f aca="false">BD39-BC39</f>
        <v>0</v>
      </c>
      <c r="BF39" s="12" t="n">
        <f aca="false">BD39-BB39</f>
        <v>0</v>
      </c>
      <c r="BG39" s="10" t="n">
        <v>1</v>
      </c>
      <c r="BH39" s="10" t="n">
        <v>1</v>
      </c>
      <c r="BI39" s="11" t="n">
        <v>0</v>
      </c>
      <c r="BJ39" s="12" t="n">
        <f aca="false">BI39-BH39</f>
        <v>-1</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v>
      </c>
      <c r="F41" s="11" t="n">
        <v>13</v>
      </c>
      <c r="G41" s="12" t="n">
        <f aca="false">F41-E41</f>
        <v>12</v>
      </c>
      <c r="H41" s="12" t="n">
        <f aca="false">F41-D41</f>
        <v>12</v>
      </c>
      <c r="I41" s="10" t="n">
        <v>2</v>
      </c>
      <c r="J41" s="10" t="n">
        <v>2</v>
      </c>
      <c r="K41" s="11" t="n">
        <v>14</v>
      </c>
      <c r="L41" s="12" t="n">
        <f aca="false">K41-J41</f>
        <v>12</v>
      </c>
      <c r="M41" s="12" t="n">
        <f aca="false">K41-I41</f>
        <v>12</v>
      </c>
      <c r="N41" s="10" t="n">
        <v>2</v>
      </c>
      <c r="O41" s="10" t="n">
        <v>2</v>
      </c>
      <c r="P41" s="11" t="n">
        <v>14</v>
      </c>
      <c r="Q41" s="12" t="n">
        <f aca="false">P41-O41</f>
        <v>12</v>
      </c>
      <c r="R41" s="12" t="n">
        <f aca="false">P41-N41</f>
        <v>12</v>
      </c>
      <c r="S41" s="10" t="n">
        <v>1</v>
      </c>
      <c r="T41" s="10" t="n">
        <v>1</v>
      </c>
      <c r="U41" s="11" t="n">
        <v>11</v>
      </c>
      <c r="V41" s="12" t="n">
        <f aca="false">U41-T41</f>
        <v>10</v>
      </c>
      <c r="W41" s="12" t="n">
        <f aca="false">U41-S41</f>
        <v>10</v>
      </c>
      <c r="X41" s="10" t="n">
        <v>1</v>
      </c>
      <c r="Y41" s="10" t="n">
        <v>1</v>
      </c>
      <c r="Z41" s="11" t="n">
        <v>13</v>
      </c>
      <c r="AA41" s="12" t="n">
        <f aca="false">Z41-Y41</f>
        <v>12</v>
      </c>
      <c r="AB41" s="12" t="n">
        <f aca="false">Z41-X41</f>
        <v>12</v>
      </c>
      <c r="AC41" s="10" t="n">
        <v>0</v>
      </c>
      <c r="AD41" s="10" t="n">
        <v>0</v>
      </c>
      <c r="AE41" s="11" t="n">
        <v>9</v>
      </c>
      <c r="AF41" s="12" t="n">
        <f aca="false">AE41-AD41</f>
        <v>9</v>
      </c>
      <c r="AG41" s="12" t="n">
        <f aca="false">AE41-AC41</f>
        <v>9</v>
      </c>
      <c r="AH41" s="10" t="n">
        <v>0</v>
      </c>
      <c r="AI41" s="10" t="n">
        <v>0</v>
      </c>
      <c r="AJ41" s="11" t="n">
        <v>9</v>
      </c>
      <c r="AK41" s="12" t="n">
        <f aca="false">AJ41-AI41</f>
        <v>9</v>
      </c>
      <c r="AL41" s="12" t="n">
        <f aca="false">AJ41-AH41</f>
        <v>9</v>
      </c>
      <c r="AM41" s="10" t="n">
        <v>2</v>
      </c>
      <c r="AN41" s="10" t="n">
        <v>2</v>
      </c>
      <c r="AO41" s="11" t="n">
        <v>14</v>
      </c>
      <c r="AP41" s="12" t="n">
        <f aca="false">AO41-AN41</f>
        <v>12</v>
      </c>
      <c r="AQ41" s="12" t="n">
        <f aca="false">AO41-AM41</f>
        <v>12</v>
      </c>
      <c r="AR41" s="10" t="n">
        <v>0</v>
      </c>
      <c r="AS41" s="10" t="n">
        <v>0</v>
      </c>
      <c r="AT41" s="11" t="n">
        <v>0</v>
      </c>
      <c r="AU41" s="12" t="n">
        <f aca="false">AT41-AS41</f>
        <v>0</v>
      </c>
      <c r="AV41" s="12" t="n">
        <f aca="false">AT41-AR41</f>
        <v>0</v>
      </c>
      <c r="AW41" s="10" t="n">
        <v>0</v>
      </c>
      <c r="AX41" s="10" t="n">
        <v>0</v>
      </c>
      <c r="AY41" s="11" t="n">
        <v>0</v>
      </c>
      <c r="AZ41" s="12" t="n">
        <f aca="false">AY41-AX41</f>
        <v>0</v>
      </c>
      <c r="BA41" s="12" t="n">
        <f aca="false">AY41-AW41</f>
        <v>0</v>
      </c>
      <c r="BB41" s="10" t="n">
        <v>0</v>
      </c>
      <c r="BC41" s="10" t="n">
        <v>0</v>
      </c>
      <c r="BD41" s="11" t="n">
        <v>0</v>
      </c>
      <c r="BE41" s="12" t="n">
        <f aca="false">BD41-BC41</f>
        <v>0</v>
      </c>
      <c r="BF41" s="12" t="n">
        <f aca="false">BD41-BB41</f>
        <v>0</v>
      </c>
      <c r="BG41" s="10" t="n">
        <v>0</v>
      </c>
      <c r="BH41" s="10" t="n">
        <v>0</v>
      </c>
      <c r="BI41" s="11" t="n">
        <v>3</v>
      </c>
      <c r="BJ41" s="12" t="n">
        <f aca="false">BI41-BH41</f>
        <v>3</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52</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10</v>
      </c>
      <c r="Z42" s="11" t="n">
        <v>10</v>
      </c>
      <c r="AA42" s="12" t="n">
        <f aca="false">Z42-Y42</f>
        <v>0</v>
      </c>
      <c r="AB42" s="12" t="n">
        <f aca="false">Z42-X42</f>
        <v>0</v>
      </c>
      <c r="AC42" s="10" t="n">
        <v>10</v>
      </c>
      <c r="AD42" s="10" t="n">
        <v>10</v>
      </c>
      <c r="AE42" s="11" t="n">
        <v>10</v>
      </c>
      <c r="AF42" s="12" t="n">
        <f aca="false">AE42-AD42</f>
        <v>0</v>
      </c>
      <c r="AG42" s="12" t="n">
        <f aca="false">AE42-AC42</f>
        <v>0</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36</v>
      </c>
      <c r="F44" s="11" t="n">
        <v>11</v>
      </c>
      <c r="G44" s="12" t="n">
        <f aca="false">F44-E44</f>
        <v>-25</v>
      </c>
      <c r="H44" s="12" t="n">
        <f aca="false">F44-D44</f>
        <v>-25</v>
      </c>
      <c r="I44" s="10" t="n">
        <v>4</v>
      </c>
      <c r="J44" s="10" t="n">
        <v>4</v>
      </c>
      <c r="K44" s="11" t="n">
        <v>11</v>
      </c>
      <c r="L44" s="12" t="n">
        <f aca="false">K44-J44</f>
        <v>7</v>
      </c>
      <c r="M44" s="12" t="n">
        <f aca="false">K44-I44</f>
        <v>7</v>
      </c>
      <c r="N44" s="10" t="n">
        <v>29</v>
      </c>
      <c r="O44" s="10" t="n">
        <v>29</v>
      </c>
      <c r="P44" s="11" t="n">
        <v>10</v>
      </c>
      <c r="Q44" s="12" t="n">
        <f aca="false">P44-O44</f>
        <v>-19</v>
      </c>
      <c r="R44" s="12" t="n">
        <f aca="false">P44-N44</f>
        <v>-19</v>
      </c>
      <c r="S44" s="10" t="n">
        <v>20</v>
      </c>
      <c r="T44" s="10" t="n">
        <v>20</v>
      </c>
      <c r="U44" s="11" t="n">
        <v>7</v>
      </c>
      <c r="V44" s="12" t="n">
        <f aca="false">U44-T44</f>
        <v>-13</v>
      </c>
      <c r="W44" s="12" t="n">
        <f aca="false">U44-S44</f>
        <v>-13</v>
      </c>
      <c r="X44" s="10" t="n">
        <v>34</v>
      </c>
      <c r="Y44" s="10" t="n">
        <v>34</v>
      </c>
      <c r="Z44" s="11" t="n">
        <v>11</v>
      </c>
      <c r="AA44" s="12" t="n">
        <f aca="false">Z44-Y44</f>
        <v>-23</v>
      </c>
      <c r="AB44" s="12" t="n">
        <f aca="false">Z44-X44</f>
        <v>-23</v>
      </c>
      <c r="AC44" s="10" t="n">
        <v>32</v>
      </c>
      <c r="AD44" s="10" t="n">
        <v>32</v>
      </c>
      <c r="AE44" s="11" t="n">
        <v>11</v>
      </c>
      <c r="AF44" s="12" t="n">
        <f aca="false">AE44-AD44</f>
        <v>-21</v>
      </c>
      <c r="AG44" s="12" t="n">
        <f aca="false">AE44-AC44</f>
        <v>-21</v>
      </c>
      <c r="AH44" s="10" t="n">
        <v>32</v>
      </c>
      <c r="AI44" s="10" t="n">
        <v>32</v>
      </c>
      <c r="AJ44" s="11" t="n">
        <v>11</v>
      </c>
      <c r="AK44" s="12" t="n">
        <f aca="false">AJ44-AI44</f>
        <v>-21</v>
      </c>
      <c r="AL44" s="12" t="n">
        <f aca="false">AJ44-AH44</f>
        <v>-21</v>
      </c>
      <c r="AM44" s="10" t="n">
        <v>36</v>
      </c>
      <c r="AN44" s="10" t="n">
        <v>36</v>
      </c>
      <c r="AO44" s="11" t="n">
        <v>11</v>
      </c>
      <c r="AP44" s="12" t="n">
        <f aca="false">AO44-AN44</f>
        <v>-25</v>
      </c>
      <c r="AQ44" s="12" t="n">
        <f aca="false">AO44-AM44</f>
        <v>-25</v>
      </c>
      <c r="AR44" s="10" t="n">
        <v>0</v>
      </c>
      <c r="AS44" s="10" t="n">
        <v>0</v>
      </c>
      <c r="AT44" s="11" t="n">
        <v>0</v>
      </c>
      <c r="AU44" s="12" t="n">
        <f aca="false">AT44-AS44</f>
        <v>0</v>
      </c>
      <c r="AV44" s="12" t="n">
        <f aca="false">AT44-AR44</f>
        <v>0</v>
      </c>
      <c r="AW44" s="10" t="n">
        <v>0</v>
      </c>
      <c r="AX44" s="10" t="n">
        <v>0</v>
      </c>
      <c r="AY44" s="11" t="n">
        <v>0</v>
      </c>
      <c r="AZ44" s="12" t="n">
        <f aca="false">AY44-AX44</f>
        <v>0</v>
      </c>
      <c r="BA44" s="12" t="n">
        <f aca="false">AY44-AW44</f>
        <v>0</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2</v>
      </c>
      <c r="F45" s="11" t="n">
        <v>6</v>
      </c>
      <c r="G45" s="12" t="n">
        <f aca="false">F45-E45</f>
        <v>4</v>
      </c>
      <c r="H45" s="12" t="n">
        <f aca="false">F45-D45</f>
        <v>4</v>
      </c>
      <c r="I45" s="10" t="n">
        <v>4</v>
      </c>
      <c r="J45" s="10" t="n">
        <v>4</v>
      </c>
      <c r="K45" s="11" t="n">
        <v>8</v>
      </c>
      <c r="L45" s="12" t="n">
        <f aca="false">K45-J45</f>
        <v>4</v>
      </c>
      <c r="M45" s="12" t="n">
        <f aca="false">K45-I45</f>
        <v>4</v>
      </c>
      <c r="N45" s="10" t="n">
        <v>4</v>
      </c>
      <c r="O45" s="10" t="n">
        <v>4</v>
      </c>
      <c r="P45" s="11" t="n">
        <v>8</v>
      </c>
      <c r="Q45" s="12" t="n">
        <f aca="false">P45-O45</f>
        <v>4</v>
      </c>
      <c r="R45" s="12" t="n">
        <f aca="false">P45-N45</f>
        <v>4</v>
      </c>
      <c r="S45" s="10" t="n">
        <v>2</v>
      </c>
      <c r="T45" s="10" t="n">
        <v>2</v>
      </c>
      <c r="U45" s="11" t="n">
        <v>5</v>
      </c>
      <c r="V45" s="12" t="n">
        <f aca="false">U45-T45</f>
        <v>3</v>
      </c>
      <c r="W45" s="12" t="n">
        <f aca="false">U45-S45</f>
        <v>3</v>
      </c>
      <c r="X45" s="10" t="n">
        <v>1</v>
      </c>
      <c r="Y45" s="10" t="n">
        <v>1</v>
      </c>
      <c r="Z45" s="11" t="n">
        <v>5</v>
      </c>
      <c r="AA45" s="12" t="n">
        <f aca="false">Z45-Y45</f>
        <v>4</v>
      </c>
      <c r="AB45" s="12" t="n">
        <f aca="false">Z45-X45</f>
        <v>4</v>
      </c>
      <c r="AC45" s="10" t="n">
        <v>2</v>
      </c>
      <c r="AD45" s="10" t="n">
        <v>2</v>
      </c>
      <c r="AE45" s="11" t="n">
        <v>5</v>
      </c>
      <c r="AF45" s="12" t="n">
        <f aca="false">AE45-AD45</f>
        <v>3</v>
      </c>
      <c r="AG45" s="12" t="n">
        <f aca="false">AE45-AC45</f>
        <v>3</v>
      </c>
      <c r="AH45" s="10" t="n">
        <v>0</v>
      </c>
      <c r="AI45" s="10" t="n">
        <v>0</v>
      </c>
      <c r="AJ45" s="11" t="n">
        <v>0</v>
      </c>
      <c r="AK45" s="12" t="n">
        <f aca="false">AJ45-AI45</f>
        <v>0</v>
      </c>
      <c r="AL45" s="12" t="n">
        <f aca="false">AJ45-AH45</f>
        <v>0</v>
      </c>
      <c r="AM45" s="10" t="n">
        <v>4</v>
      </c>
      <c r="AN45" s="10" t="n">
        <v>4</v>
      </c>
      <c r="AO45" s="11" t="n">
        <v>8</v>
      </c>
      <c r="AP45" s="12" t="n">
        <f aca="false">AO45-AN45</f>
        <v>4</v>
      </c>
      <c r="AQ45" s="12" t="n">
        <f aca="false">AO45-AM45</f>
        <v>4</v>
      </c>
      <c r="AR45" s="10" t="n">
        <v>0</v>
      </c>
      <c r="AS45" s="10" t="n">
        <v>0</v>
      </c>
      <c r="AT45" s="11" t="n">
        <v>0</v>
      </c>
      <c r="AU45" s="12" t="n">
        <f aca="false">AT45-AS45</f>
        <v>0</v>
      </c>
      <c r="AV45" s="12" t="n">
        <f aca="false">AT45-AR45</f>
        <v>0</v>
      </c>
      <c r="AW45" s="10" t="n">
        <v>2</v>
      </c>
      <c r="AX45" s="10" t="n">
        <v>2</v>
      </c>
      <c r="AY45" s="11" t="n">
        <v>6</v>
      </c>
      <c r="AZ45" s="12" t="n">
        <f aca="false">AY45-AX45</f>
        <v>4</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1</v>
      </c>
      <c r="V46" s="12" t="n">
        <f aca="false">U46-T46</f>
        <v>1</v>
      </c>
      <c r="W46" s="12" t="n">
        <f aca="false">U46-S46</f>
        <v>1</v>
      </c>
      <c r="X46" s="10" t="n">
        <v>1</v>
      </c>
      <c r="Y46" s="10" t="n">
        <v>1</v>
      </c>
      <c r="Z46" s="11" t="n">
        <v>2</v>
      </c>
      <c r="AA46" s="12" t="n">
        <f aca="false">Z46-Y46</f>
        <v>1</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1</v>
      </c>
      <c r="Z49" s="11" t="n">
        <v>1</v>
      </c>
      <c r="AA49" s="12" t="n">
        <f aca="false">Z49-Y49</f>
        <v>0</v>
      </c>
      <c r="AB49" s="12" t="n">
        <f aca="false">Z49-X49</f>
        <v>0</v>
      </c>
      <c r="AC49" s="10" t="n">
        <v>2</v>
      </c>
      <c r="AD49" s="10" t="n">
        <v>2</v>
      </c>
      <c r="AE49" s="11" t="n">
        <v>2</v>
      </c>
      <c r="AF49" s="12" t="n">
        <f aca="false">AE49-AD49</f>
        <v>0</v>
      </c>
      <c r="AG49" s="12" t="n">
        <f aca="false">AE49-AC49</f>
        <v>0</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0</v>
      </c>
      <c r="BI49" s="11" t="n">
        <v>0</v>
      </c>
      <c r="BJ49" s="12" t="n">
        <f aca="false">BI49-BH49</f>
        <v>0</v>
      </c>
      <c r="BK49" s="12" t="n">
        <f aca="false">BI49-BG49</f>
        <v>0</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0</v>
      </c>
      <c r="F50" s="11" t="n">
        <v>0</v>
      </c>
      <c r="G50" s="12" t="n">
        <f aca="false">F50-E50</f>
        <v>0</v>
      </c>
      <c r="H50" s="12" t="n">
        <f aca="false">F50-D50</f>
        <v>0</v>
      </c>
      <c r="I50" s="10" t="n">
        <v>1</v>
      </c>
      <c r="J50" s="10" t="n">
        <v>1</v>
      </c>
      <c r="K50" s="11" t="n">
        <v>2</v>
      </c>
      <c r="L50" s="12" t="n">
        <f aca="false">K50-J50</f>
        <v>1</v>
      </c>
      <c r="M50" s="12" t="n">
        <f aca="false">K50-I50</f>
        <v>1</v>
      </c>
      <c r="N50" s="10" t="n">
        <v>7</v>
      </c>
      <c r="O50" s="10" t="n">
        <v>7</v>
      </c>
      <c r="P50" s="11" t="n">
        <v>2</v>
      </c>
      <c r="Q50" s="12" t="n">
        <f aca="false">P50-O50</f>
        <v>-5</v>
      </c>
      <c r="R50" s="12" t="n">
        <f aca="false">P50-N50</f>
        <v>-5</v>
      </c>
      <c r="S50" s="10" t="n">
        <v>4</v>
      </c>
      <c r="T50" s="10" t="n">
        <v>4</v>
      </c>
      <c r="U50" s="11" t="n">
        <v>2</v>
      </c>
      <c r="V50" s="12" t="n">
        <f aca="false">U50-T50</f>
        <v>-2</v>
      </c>
      <c r="W50" s="12" t="n">
        <f aca="false">U50-S50</f>
        <v>-2</v>
      </c>
      <c r="X50" s="10" t="n">
        <v>6</v>
      </c>
      <c r="Y50" s="10" t="n">
        <v>6</v>
      </c>
      <c r="Z50" s="11" t="n">
        <v>2</v>
      </c>
      <c r="AA50" s="12" t="n">
        <f aca="false">Z50-Y50</f>
        <v>-4</v>
      </c>
      <c r="AB50" s="12" t="n">
        <f aca="false">Z50-X50</f>
        <v>-4</v>
      </c>
      <c r="AC50" s="10" t="n">
        <v>4</v>
      </c>
      <c r="AD50" s="10" t="n">
        <v>4</v>
      </c>
      <c r="AE50" s="11" t="n">
        <v>1</v>
      </c>
      <c r="AF50" s="12" t="n">
        <f aca="false">AE50-AD50</f>
        <v>-3</v>
      </c>
      <c r="AG50" s="12" t="n">
        <f aca="false">AE50-AC50</f>
        <v>-3</v>
      </c>
      <c r="AH50" s="10" t="n">
        <v>0</v>
      </c>
      <c r="AI50" s="10" t="n">
        <v>0</v>
      </c>
      <c r="AJ50" s="11" t="n">
        <v>0</v>
      </c>
      <c r="AK50" s="12" t="n">
        <f aca="false">AJ50-AI50</f>
        <v>0</v>
      </c>
      <c r="AL50" s="12" t="n">
        <f aca="false">AJ50-AH50</f>
        <v>0</v>
      </c>
      <c r="AM50" s="10" t="n">
        <v>7</v>
      </c>
      <c r="AN50" s="10" t="n">
        <v>7</v>
      </c>
      <c r="AO50" s="11" t="n">
        <v>2</v>
      </c>
      <c r="AP50" s="12" t="n">
        <f aca="false">AO50-AN50</f>
        <v>-5</v>
      </c>
      <c r="AQ50" s="12" t="n">
        <f aca="false">AO50-AM50</f>
        <v>-5</v>
      </c>
      <c r="AR50" s="10" t="n">
        <v>0</v>
      </c>
      <c r="AS50" s="10" t="n">
        <v>0</v>
      </c>
      <c r="AT50" s="11" t="n">
        <v>0</v>
      </c>
      <c r="AU50" s="12" t="n">
        <f aca="false">AT50-AS50</f>
        <v>0</v>
      </c>
      <c r="AV50" s="12" t="n">
        <f aca="false">AT50-AR50</f>
        <v>0</v>
      </c>
      <c r="AW50" s="10" t="n">
        <v>0</v>
      </c>
      <c r="AX50" s="10" t="n">
        <v>0</v>
      </c>
      <c r="AY50" s="11" t="n">
        <v>0</v>
      </c>
      <c r="AZ50" s="12" t="n">
        <f aca="false">AY50-AX50</f>
        <v>0</v>
      </c>
      <c r="BA50" s="12" t="n">
        <f aca="false">AY50-AW50</f>
        <v>0</v>
      </c>
      <c r="BB50" s="10" t="n">
        <v>0</v>
      </c>
      <c r="BC50" s="10" t="n">
        <v>0</v>
      </c>
      <c r="BD50" s="11" t="n">
        <v>0</v>
      </c>
      <c r="BE50" s="12" t="n">
        <f aca="false">BD50-BC50</f>
        <v>0</v>
      </c>
      <c r="BF50" s="12" t="n">
        <f aca="false">BD50-BB50</f>
        <v>0</v>
      </c>
      <c r="BG50" s="10" t="n">
        <v>0</v>
      </c>
      <c r="BH50" s="10" t="n">
        <v>0</v>
      </c>
      <c r="BI50" s="11" t="n">
        <v>0</v>
      </c>
      <c r="BJ50" s="12" t="n">
        <f aca="false">BI50-BH50</f>
        <v>0</v>
      </c>
      <c r="BK50" s="12" t="n">
        <f aca="false">BI50-BG50</f>
        <v>0</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52</v>
      </c>
      <c r="F51" s="11" t="n">
        <v>2</v>
      </c>
      <c r="G51" s="12" t="n">
        <f aca="false">F51-E51</f>
        <v>-50</v>
      </c>
      <c r="H51" s="12" t="n">
        <f aca="false">F51-D51</f>
        <v>-50</v>
      </c>
      <c r="I51" s="10" t="n">
        <v>2</v>
      </c>
      <c r="J51" s="10" t="n">
        <v>2</v>
      </c>
      <c r="K51" s="11" t="n">
        <v>2</v>
      </c>
      <c r="L51" s="12" t="n">
        <f aca="false">K51-J51</f>
        <v>0</v>
      </c>
      <c r="M51" s="12" t="n">
        <f aca="false">K51-I51</f>
        <v>0</v>
      </c>
      <c r="N51" s="10" t="n">
        <v>47</v>
      </c>
      <c r="O51" s="10" t="n">
        <v>47</v>
      </c>
      <c r="P51" s="11" t="n">
        <v>2</v>
      </c>
      <c r="Q51" s="12" t="n">
        <f aca="false">P51-O51</f>
        <v>-45</v>
      </c>
      <c r="R51" s="12" t="n">
        <f aca="false">P51-N51</f>
        <v>-45</v>
      </c>
      <c r="S51" s="10" t="n">
        <v>2</v>
      </c>
      <c r="T51" s="10" t="n">
        <v>2</v>
      </c>
      <c r="U51" s="11" t="n">
        <v>0</v>
      </c>
      <c r="V51" s="12" t="n">
        <f aca="false">U51-T51</f>
        <v>-2</v>
      </c>
      <c r="W51" s="12" t="n">
        <f aca="false">U51-S51</f>
        <v>-2</v>
      </c>
      <c r="X51" s="10" t="n">
        <v>35</v>
      </c>
      <c r="Y51" s="10" t="n">
        <v>35</v>
      </c>
      <c r="Z51" s="11" t="n">
        <v>1</v>
      </c>
      <c r="AA51" s="12" t="n">
        <f aca="false">Z51-Y51</f>
        <v>-34</v>
      </c>
      <c r="AB51" s="12" t="n">
        <f aca="false">Z51-X51</f>
        <v>-34</v>
      </c>
      <c r="AC51" s="10" t="n">
        <v>16</v>
      </c>
      <c r="AD51" s="10" t="n">
        <v>16</v>
      </c>
      <c r="AE51" s="11" t="n">
        <v>0</v>
      </c>
      <c r="AF51" s="12" t="n">
        <f aca="false">AE51-AD51</f>
        <v>-16</v>
      </c>
      <c r="AG51" s="12" t="n">
        <f aca="false">AE51-AC51</f>
        <v>-16</v>
      </c>
      <c r="AH51" s="10" t="n">
        <v>16</v>
      </c>
      <c r="AI51" s="10" t="n">
        <v>16</v>
      </c>
      <c r="AJ51" s="11" t="n">
        <v>0</v>
      </c>
      <c r="AK51" s="12" t="n">
        <f aca="false">AJ51-AI51</f>
        <v>-16</v>
      </c>
      <c r="AL51" s="12" t="n">
        <f aca="false">AJ51-AH51</f>
        <v>-16</v>
      </c>
      <c r="AM51" s="10" t="n">
        <v>54</v>
      </c>
      <c r="AN51" s="10" t="n">
        <v>54</v>
      </c>
      <c r="AO51" s="11" t="n">
        <v>2</v>
      </c>
      <c r="AP51" s="12" t="n">
        <f aca="false">AO51-AN51</f>
        <v>-52</v>
      </c>
      <c r="AQ51" s="12" t="n">
        <f aca="false">AO51-AM51</f>
        <v>-52</v>
      </c>
      <c r="AR51" s="10" t="n">
        <v>0</v>
      </c>
      <c r="AS51" s="10" t="n">
        <v>0</v>
      </c>
      <c r="AT51" s="11" t="n">
        <v>0</v>
      </c>
      <c r="AU51" s="12" t="n">
        <f aca="false">AT51-AS51</f>
        <v>0</v>
      </c>
      <c r="AV51" s="12" t="n">
        <f aca="false">AT51-AR51</f>
        <v>0</v>
      </c>
      <c r="AW51" s="10" t="n">
        <v>6</v>
      </c>
      <c r="AX51" s="10" t="n">
        <v>6</v>
      </c>
      <c r="AY51" s="11" t="n">
        <v>0</v>
      </c>
      <c r="AZ51" s="12" t="n">
        <f aca="false">AY51-AX51</f>
        <v>-6</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52</v>
      </c>
      <c r="CD52" s="10" t="s">
        <v>52</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0</v>
      </c>
      <c r="AT54" s="11" t="n">
        <v>0</v>
      </c>
      <c r="AU54" s="12" t="n">
        <f aca="false">AT54-AS54</f>
        <v>0</v>
      </c>
      <c r="AV54" s="12" t="n">
        <f aca="false">AT54-AR54</f>
        <v>0</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569</v>
      </c>
      <c r="H4" s="13" t="n">
        <v>570</v>
      </c>
      <c r="I4" s="13" t="n">
        <f aca="false">H4-G4</f>
        <v>1</v>
      </c>
      <c r="J4" s="13" t="n">
        <f aca="false">H4-F4</f>
        <v>1</v>
      </c>
    </row>
    <row r="5" customFormat="false" ht="15" hidden="false" customHeight="false" outlineLevel="0" collapsed="false">
      <c r="A5" s="13" t="s">
        <v>49</v>
      </c>
      <c r="B5" s="13" t="s">
        <v>50</v>
      </c>
      <c r="C5" s="13" t="n">
        <v>575</v>
      </c>
      <c r="D5" s="13" t="s">
        <v>23</v>
      </c>
      <c r="E5" s="13" t="s">
        <v>26</v>
      </c>
      <c r="F5" s="13" t="n">
        <v>270</v>
      </c>
      <c r="G5" s="13" t="n">
        <v>279</v>
      </c>
      <c r="H5" s="13" t="n">
        <v>313</v>
      </c>
      <c r="I5" s="13" t="n">
        <f aca="false">H5-G5</f>
        <v>34</v>
      </c>
      <c r="J5" s="13" t="n">
        <f aca="false">H5-F5</f>
        <v>43</v>
      </c>
    </row>
    <row r="6" customFormat="false" ht="15" hidden="false" customHeight="false" outlineLevel="0" collapsed="false">
      <c r="A6" s="13" t="s">
        <v>49</v>
      </c>
      <c r="B6" s="13" t="s">
        <v>50</v>
      </c>
      <c r="C6" s="13" t="n">
        <v>575</v>
      </c>
      <c r="D6" s="13" t="s">
        <v>23</v>
      </c>
      <c r="E6" s="13" t="s">
        <v>27</v>
      </c>
      <c r="F6" s="13" t="n">
        <v>441</v>
      </c>
      <c r="G6" s="13" t="n">
        <v>445</v>
      </c>
      <c r="H6" s="13" t="n">
        <v>467</v>
      </c>
      <c r="I6" s="13" t="n">
        <f aca="false">H6-G6</f>
        <v>22</v>
      </c>
      <c r="J6" s="13" t="n">
        <f aca="false">H6-F6</f>
        <v>26</v>
      </c>
    </row>
    <row r="7" customFormat="false" ht="15" hidden="false" customHeight="false" outlineLevel="0" collapsed="false">
      <c r="A7" s="13" t="s">
        <v>49</v>
      </c>
      <c r="B7" s="13" t="s">
        <v>50</v>
      </c>
      <c r="C7" s="13" t="n">
        <v>575</v>
      </c>
      <c r="D7" s="13" t="s">
        <v>23</v>
      </c>
      <c r="E7" s="13" t="s">
        <v>28</v>
      </c>
      <c r="F7" s="13" t="n">
        <v>465</v>
      </c>
      <c r="G7" s="13" t="n">
        <v>472</v>
      </c>
      <c r="H7" s="13" t="n">
        <v>497</v>
      </c>
      <c r="I7" s="13" t="n">
        <f aca="false">H7-G7</f>
        <v>25</v>
      </c>
      <c r="J7" s="13" t="n">
        <f aca="false">H7-F7</f>
        <v>32</v>
      </c>
    </row>
    <row r="8" customFormat="false" ht="15" hidden="false" customHeight="false" outlineLevel="0" collapsed="false">
      <c r="A8" s="13" t="s">
        <v>49</v>
      </c>
      <c r="B8" s="13" t="s">
        <v>50</v>
      </c>
      <c r="C8" s="13" t="n">
        <v>575</v>
      </c>
      <c r="D8" s="13" t="s">
        <v>23</v>
      </c>
      <c r="E8" s="13" t="s">
        <v>29</v>
      </c>
      <c r="F8" s="13" t="n">
        <v>465</v>
      </c>
      <c r="G8" s="13" t="n">
        <v>472</v>
      </c>
      <c r="H8" s="13" t="n">
        <v>497</v>
      </c>
      <c r="I8" s="13" t="n">
        <f aca="false">H8-G8</f>
        <v>25</v>
      </c>
      <c r="J8" s="13" t="n">
        <f aca="false">H8-F8</f>
        <v>32</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283</v>
      </c>
      <c r="H11" s="13" t="n">
        <v>250</v>
      </c>
      <c r="I11" s="13" t="n">
        <f aca="false">H11-G11</f>
        <v>-33</v>
      </c>
      <c r="J11" s="13" t="n">
        <f aca="false">H11-F11</f>
        <v>0</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371</v>
      </c>
      <c r="H27" s="13" t="n">
        <v>371</v>
      </c>
      <c r="I27" s="13" t="n">
        <f aca="false">H27-G27</f>
        <v>0</v>
      </c>
      <c r="J27" s="13" t="n">
        <f aca="false">H27-F27</f>
        <v>0</v>
      </c>
    </row>
    <row r="28" customFormat="false" ht="15" hidden="false" customHeight="false" outlineLevel="0" collapsed="false">
      <c r="A28" s="13" t="s">
        <v>53</v>
      </c>
      <c r="B28" s="13" t="s">
        <v>54</v>
      </c>
      <c r="C28" s="13" t="n">
        <v>379</v>
      </c>
      <c r="D28" s="13" t="s">
        <v>23</v>
      </c>
      <c r="E28" s="13" t="s">
        <v>26</v>
      </c>
      <c r="F28" s="13" t="n">
        <v>17</v>
      </c>
      <c r="G28" s="13" t="n">
        <v>17</v>
      </c>
      <c r="H28" s="13" t="n">
        <v>17</v>
      </c>
      <c r="I28" s="13" t="n">
        <f aca="false">H28-G28</f>
        <v>0</v>
      </c>
      <c r="J28" s="13" t="n">
        <f aca="false">H28-F28</f>
        <v>0</v>
      </c>
    </row>
    <row r="29" customFormat="false" ht="15" hidden="false" customHeight="false" outlineLevel="0" collapsed="false">
      <c r="A29" s="13" t="s">
        <v>53</v>
      </c>
      <c r="B29" s="13" t="s">
        <v>54</v>
      </c>
      <c r="C29" s="13" t="n">
        <v>379</v>
      </c>
      <c r="D29" s="13" t="s">
        <v>23</v>
      </c>
      <c r="E29" s="13" t="s">
        <v>27</v>
      </c>
      <c r="F29" s="13" t="n">
        <v>134</v>
      </c>
      <c r="G29" s="13" t="n">
        <v>134</v>
      </c>
      <c r="H29" s="13" t="n">
        <v>134</v>
      </c>
      <c r="I29" s="13" t="n">
        <f aca="false">H29-G29</f>
        <v>0</v>
      </c>
      <c r="J29" s="13" t="n">
        <f aca="false">H29-F29</f>
        <v>0</v>
      </c>
    </row>
    <row r="30" customFormat="false" ht="15" hidden="false" customHeight="false" outlineLevel="0" collapsed="false">
      <c r="A30" s="13" t="s">
        <v>53</v>
      </c>
      <c r="B30" s="13" t="s">
        <v>54</v>
      </c>
      <c r="C30" s="13" t="n">
        <v>379</v>
      </c>
      <c r="D30" s="13" t="s">
        <v>23</v>
      </c>
      <c r="E30" s="13" t="s">
        <v>28</v>
      </c>
      <c r="F30" s="13" t="n">
        <v>172</v>
      </c>
      <c r="G30" s="13" t="n">
        <v>172</v>
      </c>
      <c r="H30" s="13" t="n">
        <v>172</v>
      </c>
      <c r="I30" s="13" t="n">
        <f aca="false">H30-G30</f>
        <v>0</v>
      </c>
      <c r="J30" s="13" t="n">
        <f aca="false">H30-F30</f>
        <v>0</v>
      </c>
    </row>
    <row r="31" customFormat="false" ht="15" hidden="false" customHeight="false" outlineLevel="0" collapsed="false">
      <c r="A31" s="13" t="s">
        <v>53</v>
      </c>
      <c r="B31" s="13" t="s">
        <v>54</v>
      </c>
      <c r="C31" s="13" t="n">
        <v>379</v>
      </c>
      <c r="D31" s="13" t="s">
        <v>23</v>
      </c>
      <c r="E31" s="13" t="s">
        <v>29</v>
      </c>
      <c r="F31" s="13" t="n">
        <v>172</v>
      </c>
      <c r="G31" s="13" t="n">
        <v>172</v>
      </c>
      <c r="H31" s="13" t="n">
        <v>172</v>
      </c>
      <c r="I31" s="13" t="n">
        <f aca="false">H31-G31</f>
        <v>0</v>
      </c>
      <c r="J31" s="13" t="n">
        <f aca="false">H31-F31</f>
        <v>0</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270</v>
      </c>
      <c r="H48" s="13" t="n">
        <v>264</v>
      </c>
      <c r="I48" s="13" t="n">
        <f aca="false">H48-G48</f>
        <v>-6</v>
      </c>
      <c r="J48" s="13" t="n">
        <f aca="false">H48-F48</f>
        <v>-6</v>
      </c>
    </row>
    <row r="49" customFormat="false" ht="15" hidden="false" customHeight="false" outlineLevel="0" collapsed="false">
      <c r="A49" s="13" t="s">
        <v>55</v>
      </c>
      <c r="B49" s="13" t="s">
        <v>56</v>
      </c>
      <c r="C49" s="13" t="n">
        <v>270</v>
      </c>
      <c r="D49" s="13" t="s">
        <v>23</v>
      </c>
      <c r="E49" s="13" t="s">
        <v>24</v>
      </c>
      <c r="F49" s="13" t="n">
        <v>34</v>
      </c>
      <c r="G49" s="13" t="n">
        <v>34</v>
      </c>
      <c r="H49" s="13" t="n">
        <v>270</v>
      </c>
      <c r="I49" s="13" t="n">
        <f aca="false">H49-G49</f>
        <v>236</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312</v>
      </c>
      <c r="H50" s="13" t="n">
        <v>267</v>
      </c>
      <c r="I50" s="13" t="n">
        <f aca="false">H50-G50</f>
        <v>-45</v>
      </c>
      <c r="J50" s="13" t="n">
        <f aca="false">H50-F50</f>
        <v>-45</v>
      </c>
    </row>
    <row r="51" customFormat="false" ht="15" hidden="false" customHeight="false" outlineLevel="0" collapsed="false">
      <c r="A51" s="13" t="s">
        <v>55</v>
      </c>
      <c r="B51" s="13" t="s">
        <v>56</v>
      </c>
      <c r="C51" s="13" t="n">
        <v>270</v>
      </c>
      <c r="D51" s="13" t="s">
        <v>23</v>
      </c>
      <c r="E51" s="13" t="s">
        <v>26</v>
      </c>
      <c r="F51" s="13" t="n">
        <v>157</v>
      </c>
      <c r="G51" s="13" t="n">
        <v>157</v>
      </c>
      <c r="H51" s="13" t="n">
        <v>152</v>
      </c>
      <c r="I51" s="13" t="n">
        <f aca="false">H51-G51</f>
        <v>-5</v>
      </c>
      <c r="J51" s="13" t="n">
        <f aca="false">H51-F51</f>
        <v>-5</v>
      </c>
    </row>
    <row r="52" customFormat="false" ht="15" hidden="false" customHeight="false" outlineLevel="0" collapsed="false">
      <c r="A52" s="13" t="s">
        <v>55</v>
      </c>
      <c r="B52" s="13" t="s">
        <v>56</v>
      </c>
      <c r="C52" s="13" t="n">
        <v>270</v>
      </c>
      <c r="D52" s="13" t="s">
        <v>23</v>
      </c>
      <c r="E52" s="13" t="s">
        <v>27</v>
      </c>
      <c r="F52" s="13" t="n">
        <v>275</v>
      </c>
      <c r="G52" s="13" t="n">
        <v>275</v>
      </c>
      <c r="H52" s="13" t="n">
        <v>263</v>
      </c>
      <c r="I52" s="13" t="n">
        <f aca="false">H52-G52</f>
        <v>-12</v>
      </c>
      <c r="J52" s="13" t="n">
        <f aca="false">H52-F52</f>
        <v>-12</v>
      </c>
    </row>
    <row r="53" customFormat="false" ht="15" hidden="false" customHeight="false" outlineLevel="0" collapsed="false">
      <c r="A53" s="13" t="s">
        <v>55</v>
      </c>
      <c r="B53" s="13" t="s">
        <v>56</v>
      </c>
      <c r="C53" s="13" t="n">
        <v>270</v>
      </c>
      <c r="D53" s="13" t="s">
        <v>23</v>
      </c>
      <c r="E53" s="13" t="s">
        <v>28</v>
      </c>
      <c r="F53" s="13" t="n">
        <v>131</v>
      </c>
      <c r="G53" s="13" t="n">
        <v>131</v>
      </c>
      <c r="H53" s="13" t="n">
        <v>126</v>
      </c>
      <c r="I53" s="13" t="n">
        <f aca="false">H53-G53</f>
        <v>-5</v>
      </c>
      <c r="J53" s="13" t="n">
        <f aca="false">H53-F53</f>
        <v>-5</v>
      </c>
    </row>
    <row r="54" customFormat="false" ht="15" hidden="false" customHeight="false" outlineLevel="0" collapsed="false">
      <c r="A54" s="13" t="s">
        <v>55</v>
      </c>
      <c r="B54" s="13" t="s">
        <v>56</v>
      </c>
      <c r="C54" s="13" t="n">
        <v>270</v>
      </c>
      <c r="D54" s="13" t="s">
        <v>23</v>
      </c>
      <c r="E54" s="13" t="s">
        <v>29</v>
      </c>
      <c r="F54" s="13" t="n">
        <v>131</v>
      </c>
      <c r="G54" s="13" t="n">
        <v>131</v>
      </c>
      <c r="H54" s="13" t="n">
        <v>126</v>
      </c>
      <c r="I54" s="13" t="n">
        <f aca="false">H54-G54</f>
        <v>-5</v>
      </c>
      <c r="J54" s="13" t="n">
        <f aca="false">H54-F54</f>
        <v>-5</v>
      </c>
    </row>
    <row r="55" customFormat="false" ht="15" hidden="false" customHeight="false" outlineLevel="0" collapsed="false">
      <c r="A55" s="13" t="s">
        <v>55</v>
      </c>
      <c r="B55" s="13" t="s">
        <v>56</v>
      </c>
      <c r="C55" s="13" t="n">
        <v>270</v>
      </c>
      <c r="D55" s="13" t="s">
        <v>23</v>
      </c>
      <c r="E55" s="13" t="s">
        <v>30</v>
      </c>
      <c r="F55" s="13" t="n">
        <v>315</v>
      </c>
      <c r="G55" s="13" t="n">
        <v>315</v>
      </c>
      <c r="H55" s="13" t="n">
        <v>270</v>
      </c>
      <c r="I55" s="13" t="n">
        <f aca="false">H55-G55</f>
        <v>-45</v>
      </c>
      <c r="J55" s="13" t="n">
        <f aca="false">H55-F55</f>
        <v>-45</v>
      </c>
    </row>
    <row r="56" customFormat="false" ht="15" hidden="false" customHeight="false" outlineLevel="0" collapsed="false">
      <c r="A56" s="13" t="s">
        <v>55</v>
      </c>
      <c r="B56" s="13" t="s">
        <v>56</v>
      </c>
      <c r="C56" s="13" t="n">
        <v>270</v>
      </c>
      <c r="D56" s="13" t="s">
        <v>23</v>
      </c>
      <c r="E56" s="13" t="s">
        <v>31</v>
      </c>
      <c r="F56" s="13" t="n">
        <v>0</v>
      </c>
      <c r="G56" s="13" t="n">
        <v>0</v>
      </c>
      <c r="H56" s="13" t="n">
        <v>0</v>
      </c>
      <c r="I56" s="13" t="n">
        <f aca="false">H56-G56</f>
        <v>0</v>
      </c>
      <c r="J56" s="13" t="n">
        <f aca="false">H56-F56</f>
        <v>0</v>
      </c>
    </row>
    <row r="57" customFormat="false" ht="15" hidden="false" customHeight="false" outlineLevel="0" collapsed="false">
      <c r="A57" s="13" t="s">
        <v>55</v>
      </c>
      <c r="B57" s="13" t="s">
        <v>56</v>
      </c>
      <c r="C57" s="13" t="n">
        <v>270</v>
      </c>
      <c r="D57" s="13" t="s">
        <v>23</v>
      </c>
      <c r="E57" s="13" t="s">
        <v>32</v>
      </c>
      <c r="F57" s="13" t="n">
        <v>0</v>
      </c>
      <c r="G57" s="13" t="n">
        <v>0</v>
      </c>
      <c r="H57" s="13" t="n">
        <v>0</v>
      </c>
      <c r="I57" s="13" t="n">
        <f aca="false">H57-G57</f>
        <v>0</v>
      </c>
      <c r="J57" s="13" t="n">
        <f aca="false">H57-F57</f>
        <v>0</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139</v>
      </c>
      <c r="H71" s="13" t="n">
        <v>140</v>
      </c>
      <c r="I71" s="13" t="n">
        <f aca="false">H71-G71</f>
        <v>1</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112</v>
      </c>
      <c r="H74" s="13" t="n">
        <v>112</v>
      </c>
      <c r="I74" s="13" t="n">
        <f aca="false">H74-G74</f>
        <v>0</v>
      </c>
      <c r="J74" s="13" t="n">
        <f aca="false">H74-F74</f>
        <v>0</v>
      </c>
    </row>
    <row r="75" customFormat="false" ht="15" hidden="false" customHeight="false" outlineLevel="0" collapsed="false">
      <c r="A75" s="13" t="s">
        <v>57</v>
      </c>
      <c r="B75" s="13" t="s">
        <v>58</v>
      </c>
      <c r="C75" s="13" t="n">
        <v>234</v>
      </c>
      <c r="D75" s="13" t="s">
        <v>23</v>
      </c>
      <c r="E75" s="13" t="s">
        <v>27</v>
      </c>
      <c r="F75" s="13" t="n">
        <v>132</v>
      </c>
      <c r="G75" s="13" t="n">
        <v>132</v>
      </c>
      <c r="H75" s="13" t="n">
        <v>132</v>
      </c>
      <c r="I75" s="13" t="n">
        <f aca="false">H75-G75</f>
        <v>0</v>
      </c>
      <c r="J75" s="13" t="n">
        <f aca="false">H75-F75</f>
        <v>0</v>
      </c>
    </row>
    <row r="76" customFormat="false" ht="15" hidden="false" customHeight="false" outlineLevel="0" collapsed="false">
      <c r="A76" s="13" t="s">
        <v>57</v>
      </c>
      <c r="B76" s="13" t="s">
        <v>58</v>
      </c>
      <c r="C76" s="13" t="n">
        <v>234</v>
      </c>
      <c r="D76" s="13" t="s">
        <v>23</v>
      </c>
      <c r="E76" s="13" t="s">
        <v>28</v>
      </c>
      <c r="F76" s="13" t="n">
        <v>105</v>
      </c>
      <c r="G76" s="13" t="n">
        <v>107</v>
      </c>
      <c r="H76" s="13" t="n">
        <v>107</v>
      </c>
      <c r="I76" s="13" t="n">
        <f aca="false">H76-G76</f>
        <v>0</v>
      </c>
      <c r="J76" s="13" t="n">
        <f aca="false">H76-F76</f>
        <v>2</v>
      </c>
    </row>
    <row r="77" customFormat="false" ht="15" hidden="false" customHeight="false" outlineLevel="0" collapsed="false">
      <c r="A77" s="13" t="s">
        <v>57</v>
      </c>
      <c r="B77" s="13" t="s">
        <v>58</v>
      </c>
      <c r="C77" s="13" t="n">
        <v>234</v>
      </c>
      <c r="D77" s="13" t="s">
        <v>23</v>
      </c>
      <c r="E77" s="13" t="s">
        <v>29</v>
      </c>
      <c r="F77" s="13" t="n">
        <v>105</v>
      </c>
      <c r="G77" s="13" t="n">
        <v>107</v>
      </c>
      <c r="H77" s="13" t="n">
        <v>107</v>
      </c>
      <c r="I77" s="13" t="n">
        <f aca="false">H77-G77</f>
        <v>0</v>
      </c>
      <c r="J77" s="13" t="n">
        <f aca="false">H77-F77</f>
        <v>2</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1</v>
      </c>
      <c r="H79" s="13" t="n">
        <v>1</v>
      </c>
      <c r="I79" s="13" t="n">
        <f aca="false">H79-G79</f>
        <v>0</v>
      </c>
      <c r="J79" s="13" t="n">
        <f aca="false">H79-F79</f>
        <v>0</v>
      </c>
    </row>
    <row r="80" customFormat="false" ht="15" hidden="false" customHeight="false" outlineLevel="0" collapsed="false">
      <c r="A80" s="13" t="s">
        <v>57</v>
      </c>
      <c r="B80" s="13" t="s">
        <v>58</v>
      </c>
      <c r="C80" s="13" t="n">
        <v>234</v>
      </c>
      <c r="D80" s="13" t="s">
        <v>23</v>
      </c>
      <c r="E80" s="13" t="s">
        <v>32</v>
      </c>
      <c r="F80" s="13" t="n">
        <v>95</v>
      </c>
      <c r="G80" s="13" t="n">
        <v>95</v>
      </c>
      <c r="H80" s="13" t="n">
        <v>95</v>
      </c>
      <c r="I80" s="13" t="n">
        <f aca="false">H80-G80</f>
        <v>0</v>
      </c>
      <c r="J80" s="13" t="n">
        <f aca="false">H80-F80</f>
        <v>0</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54</v>
      </c>
      <c r="H97" s="13" t="n">
        <v>54</v>
      </c>
      <c r="I97" s="13" t="n">
        <f aca="false">H97-G97</f>
        <v>0</v>
      </c>
      <c r="J97" s="13" t="n">
        <f aca="false">H97-F97</f>
        <v>1</v>
      </c>
    </row>
    <row r="98" customFormat="false" ht="15" hidden="false" customHeight="false" outlineLevel="0" collapsed="false">
      <c r="A98" s="13" t="s">
        <v>59</v>
      </c>
      <c r="B98" s="13" t="s">
        <v>60</v>
      </c>
      <c r="C98" s="13" t="n">
        <v>208</v>
      </c>
      <c r="D98" s="13" t="s">
        <v>23</v>
      </c>
      <c r="E98" s="13" t="s">
        <v>27</v>
      </c>
      <c r="F98" s="13" t="n">
        <v>103</v>
      </c>
      <c r="G98" s="13" t="n">
        <v>104</v>
      </c>
      <c r="H98" s="13" t="n">
        <v>104</v>
      </c>
      <c r="I98" s="13" t="n">
        <f aca="false">H98-G98</f>
        <v>0</v>
      </c>
      <c r="J98" s="13" t="n">
        <f aca="false">H98-F98</f>
        <v>1</v>
      </c>
    </row>
    <row r="99" customFormat="false" ht="15" hidden="false" customHeight="false" outlineLevel="0" collapsed="false">
      <c r="A99" s="13" t="s">
        <v>59</v>
      </c>
      <c r="B99" s="13" t="s">
        <v>60</v>
      </c>
      <c r="C99" s="13" t="n">
        <v>208</v>
      </c>
      <c r="D99" s="13" t="s">
        <v>23</v>
      </c>
      <c r="E99" s="13" t="s">
        <v>28</v>
      </c>
      <c r="F99" s="13" t="n">
        <v>75</v>
      </c>
      <c r="G99" s="13" t="n">
        <v>75</v>
      </c>
      <c r="H99" s="13" t="n">
        <v>75</v>
      </c>
      <c r="I99" s="13" t="n">
        <f aca="false">H99-G99</f>
        <v>0</v>
      </c>
      <c r="J99" s="13" t="n">
        <f aca="false">H99-F99</f>
        <v>0</v>
      </c>
    </row>
    <row r="100" customFormat="false" ht="15" hidden="false" customHeight="false" outlineLevel="0" collapsed="false">
      <c r="A100" s="13" t="s">
        <v>59</v>
      </c>
      <c r="B100" s="13" t="s">
        <v>60</v>
      </c>
      <c r="C100" s="13" t="n">
        <v>208</v>
      </c>
      <c r="D100" s="13" t="s">
        <v>23</v>
      </c>
      <c r="E100" s="13" t="s">
        <v>29</v>
      </c>
      <c r="F100" s="13" t="n">
        <v>75</v>
      </c>
      <c r="G100" s="13" t="n">
        <v>75</v>
      </c>
      <c r="H100" s="13" t="n">
        <v>75</v>
      </c>
      <c r="I100" s="13" t="n">
        <f aca="false">H100-G100</f>
        <v>0</v>
      </c>
      <c r="J100" s="13" t="n">
        <f aca="false">H100-F100</f>
        <v>0</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0</v>
      </c>
      <c r="H102" s="13" t="n">
        <v>0</v>
      </c>
      <c r="I102" s="13" t="n">
        <f aca="false">H102-G102</f>
        <v>0</v>
      </c>
      <c r="J102" s="13" t="n">
        <f aca="false">H102-F102</f>
        <v>0</v>
      </c>
    </row>
    <row r="103" customFormat="false" ht="15" hidden="false" customHeight="false" outlineLevel="0" collapsed="false">
      <c r="A103" s="13" t="s">
        <v>59</v>
      </c>
      <c r="B103" s="13" t="s">
        <v>60</v>
      </c>
      <c r="C103" s="13" t="n">
        <v>208</v>
      </c>
      <c r="D103" s="13" t="s">
        <v>23</v>
      </c>
      <c r="E103" s="13" t="s">
        <v>32</v>
      </c>
      <c r="F103" s="13" t="n">
        <v>40</v>
      </c>
      <c r="G103" s="13" t="n">
        <v>85</v>
      </c>
      <c r="H103" s="13" t="n">
        <v>40</v>
      </c>
      <c r="I103" s="13" t="n">
        <f aca="false">H103-G103</f>
        <v>-45</v>
      </c>
      <c r="J103" s="13" t="n">
        <f aca="false">H103-F103</f>
        <v>0</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0</v>
      </c>
      <c r="H105" s="13" t="n">
        <v>0</v>
      </c>
      <c r="I105" s="13" t="n">
        <f aca="false">H105-G105</f>
        <v>0</v>
      </c>
      <c r="J105" s="13" t="n">
        <f aca="false">H105-F105</f>
        <v>0</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76</v>
      </c>
      <c r="H120" s="13" t="n">
        <v>99</v>
      </c>
      <c r="I120" s="13" t="n">
        <f aca="false">H120-G120</f>
        <v>23</v>
      </c>
      <c r="J120" s="13" t="n">
        <f aca="false">H120-F120</f>
        <v>23</v>
      </c>
    </row>
    <row r="121" customFormat="false" ht="15" hidden="false" customHeight="false" outlineLevel="0" collapsed="false">
      <c r="A121" s="13" t="s">
        <v>61</v>
      </c>
      <c r="B121" s="13" t="s">
        <v>62</v>
      </c>
      <c r="C121" s="13" t="n">
        <v>199</v>
      </c>
      <c r="D121" s="13" t="s">
        <v>23</v>
      </c>
      <c r="E121" s="13" t="s">
        <v>27</v>
      </c>
      <c r="F121" s="13" t="n">
        <v>160</v>
      </c>
      <c r="G121" s="13" t="n">
        <v>160</v>
      </c>
      <c r="H121" s="13" t="n">
        <v>180</v>
      </c>
      <c r="I121" s="13" t="n">
        <f aca="false">H121-G121</f>
        <v>20</v>
      </c>
      <c r="J121" s="13" t="n">
        <f aca="false">H121-F121</f>
        <v>20</v>
      </c>
    </row>
    <row r="122" customFormat="false" ht="15" hidden="false" customHeight="false" outlineLevel="0" collapsed="false">
      <c r="A122" s="13" t="s">
        <v>61</v>
      </c>
      <c r="B122" s="13" t="s">
        <v>62</v>
      </c>
      <c r="C122" s="13" t="n">
        <v>199</v>
      </c>
      <c r="D122" s="13" t="s">
        <v>23</v>
      </c>
      <c r="E122" s="13" t="s">
        <v>28</v>
      </c>
      <c r="F122" s="13" t="n">
        <v>159</v>
      </c>
      <c r="G122" s="13" t="n">
        <v>159</v>
      </c>
      <c r="H122" s="13" t="n">
        <v>179</v>
      </c>
      <c r="I122" s="13" t="n">
        <f aca="false">H122-G122</f>
        <v>20</v>
      </c>
      <c r="J122" s="13" t="n">
        <f aca="false">H122-F122</f>
        <v>20</v>
      </c>
    </row>
    <row r="123" customFormat="false" ht="15" hidden="false" customHeight="false" outlineLevel="0" collapsed="false">
      <c r="A123" s="13" t="s">
        <v>61</v>
      </c>
      <c r="B123" s="13" t="s">
        <v>62</v>
      </c>
      <c r="C123" s="13" t="n">
        <v>199</v>
      </c>
      <c r="D123" s="13" t="s">
        <v>23</v>
      </c>
      <c r="E123" s="13" t="s">
        <v>29</v>
      </c>
      <c r="F123" s="13" t="n">
        <v>159</v>
      </c>
      <c r="G123" s="13" t="n">
        <v>159</v>
      </c>
      <c r="H123" s="13" t="n">
        <v>179</v>
      </c>
      <c r="I123" s="13" t="n">
        <f aca="false">H123-G123</f>
        <v>20</v>
      </c>
      <c r="J123" s="13" t="n">
        <f aca="false">H123-F123</f>
        <v>20</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155</v>
      </c>
      <c r="H126" s="13" t="n">
        <v>169</v>
      </c>
      <c r="I126" s="13" t="n">
        <f aca="false">H126-G126</f>
        <v>14</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178</v>
      </c>
      <c r="H142" s="13" t="n">
        <v>178</v>
      </c>
      <c r="I142" s="13" t="n">
        <f aca="false">H142-G142</f>
        <v>0</v>
      </c>
      <c r="J142" s="13" t="n">
        <f aca="false">H142-F142</f>
        <v>0</v>
      </c>
    </row>
    <row r="143" customFormat="false" ht="15" hidden="false" customHeight="false" outlineLevel="0" collapsed="false">
      <c r="A143" s="13" t="s">
        <v>63</v>
      </c>
      <c r="B143" s="13" t="s">
        <v>64</v>
      </c>
      <c r="C143" s="13" t="n">
        <v>179</v>
      </c>
      <c r="D143" s="13" t="s">
        <v>23</v>
      </c>
      <c r="E143" s="13" t="s">
        <v>26</v>
      </c>
      <c r="F143" s="13" t="n">
        <v>25</v>
      </c>
      <c r="G143" s="13" t="n">
        <v>25</v>
      </c>
      <c r="H143" s="13" t="n">
        <v>27</v>
      </c>
      <c r="I143" s="13" t="n">
        <f aca="false">H143-G143</f>
        <v>2</v>
      </c>
      <c r="J143" s="13" t="n">
        <f aca="false">H143-F143</f>
        <v>2</v>
      </c>
    </row>
    <row r="144" customFormat="false" ht="15" hidden="false" customHeight="false" outlineLevel="0" collapsed="false">
      <c r="A144" s="13" t="s">
        <v>63</v>
      </c>
      <c r="B144" s="13" t="s">
        <v>64</v>
      </c>
      <c r="C144" s="13" t="n">
        <v>179</v>
      </c>
      <c r="D144" s="13" t="s">
        <v>23</v>
      </c>
      <c r="E144" s="13" t="s">
        <v>27</v>
      </c>
      <c r="F144" s="13" t="n">
        <v>65</v>
      </c>
      <c r="G144" s="13" t="n">
        <v>65</v>
      </c>
      <c r="H144" s="13" t="n">
        <v>82</v>
      </c>
      <c r="I144" s="13" t="n">
        <f aca="false">H144-G144</f>
        <v>17</v>
      </c>
      <c r="J144" s="13" t="n">
        <f aca="false">H144-F144</f>
        <v>17</v>
      </c>
    </row>
    <row r="145" customFormat="false" ht="15" hidden="false" customHeight="false" outlineLevel="0" collapsed="false">
      <c r="A145" s="13" t="s">
        <v>63</v>
      </c>
      <c r="B145" s="13" t="s">
        <v>64</v>
      </c>
      <c r="C145" s="13" t="n">
        <v>179</v>
      </c>
      <c r="D145" s="13" t="s">
        <v>23</v>
      </c>
      <c r="E145" s="13" t="s">
        <v>28</v>
      </c>
      <c r="F145" s="13" t="n">
        <v>73</v>
      </c>
      <c r="G145" s="13" t="n">
        <v>73</v>
      </c>
      <c r="H145" s="13" t="n">
        <v>97</v>
      </c>
      <c r="I145" s="13" t="n">
        <f aca="false">H145-G145</f>
        <v>24</v>
      </c>
      <c r="J145" s="13" t="n">
        <f aca="false">H145-F145</f>
        <v>24</v>
      </c>
    </row>
    <row r="146" customFormat="false" ht="15" hidden="false" customHeight="false" outlineLevel="0" collapsed="false">
      <c r="A146" s="13" t="s">
        <v>63</v>
      </c>
      <c r="B146" s="13" t="s">
        <v>64</v>
      </c>
      <c r="C146" s="13" t="n">
        <v>179</v>
      </c>
      <c r="D146" s="13" t="s">
        <v>23</v>
      </c>
      <c r="E146" s="13" t="s">
        <v>29</v>
      </c>
      <c r="F146" s="13" t="n">
        <v>73</v>
      </c>
      <c r="G146" s="13" t="n">
        <v>73</v>
      </c>
      <c r="H146" s="13" t="n">
        <v>97</v>
      </c>
      <c r="I146" s="13" t="n">
        <f aca="false">H146-G146</f>
        <v>24</v>
      </c>
      <c r="J146" s="13" t="n">
        <f aca="false">H146-F146</f>
        <v>24</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0</v>
      </c>
      <c r="H148" s="13" t="n">
        <v>0</v>
      </c>
      <c r="I148" s="13" t="n">
        <f aca="false">H148-G148</f>
        <v>0</v>
      </c>
      <c r="J148" s="13" t="n">
        <f aca="false">H148-F148</f>
        <v>0</v>
      </c>
    </row>
    <row r="149" customFormat="false" ht="15" hidden="false" customHeight="false" outlineLevel="0" collapsed="false">
      <c r="A149" s="13" t="s">
        <v>63</v>
      </c>
      <c r="B149" s="13" t="s">
        <v>64</v>
      </c>
      <c r="C149" s="13" t="n">
        <v>179</v>
      </c>
      <c r="D149" s="13" t="s">
        <v>23</v>
      </c>
      <c r="E149" s="13" t="s">
        <v>32</v>
      </c>
      <c r="F149" s="13" t="n">
        <v>3</v>
      </c>
      <c r="G149" s="13" t="n">
        <v>23</v>
      </c>
      <c r="H149" s="13" t="n">
        <v>3</v>
      </c>
      <c r="I149" s="13" t="n">
        <f aca="false">H149-G149</f>
        <v>-20</v>
      </c>
      <c r="J149" s="13" t="n">
        <f aca="false">H149-F149</f>
        <v>0</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142</v>
      </c>
      <c r="H163" s="13" t="n">
        <v>138</v>
      </c>
      <c r="I163" s="13" t="n">
        <f aca="false">H163-G163</f>
        <v>-4</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36</v>
      </c>
      <c r="H164" s="13" t="n">
        <v>144</v>
      </c>
      <c r="I164" s="13" t="n">
        <f aca="false">H164-G164</f>
        <v>108</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156</v>
      </c>
      <c r="H165" s="13" t="n">
        <v>143</v>
      </c>
      <c r="I165" s="13" t="n">
        <f aca="false">H165-G165</f>
        <v>-13</v>
      </c>
      <c r="J165" s="13" t="n">
        <f aca="false">H165-F165</f>
        <v>-13</v>
      </c>
    </row>
    <row r="166" customFormat="false" ht="15" hidden="false" customHeight="false" outlineLevel="0" collapsed="false">
      <c r="A166" s="13" t="s">
        <v>65</v>
      </c>
      <c r="B166" s="13" t="s">
        <v>66</v>
      </c>
      <c r="C166" s="13" t="n">
        <v>144</v>
      </c>
      <c r="D166" s="13" t="s">
        <v>23</v>
      </c>
      <c r="E166" s="13" t="s">
        <v>26</v>
      </c>
      <c r="F166" s="13" t="n">
        <v>12</v>
      </c>
      <c r="G166" s="13" t="n">
        <v>12</v>
      </c>
      <c r="H166" s="13" t="n">
        <v>11</v>
      </c>
      <c r="I166" s="13" t="n">
        <f aca="false">H166-G166</f>
        <v>-1</v>
      </c>
      <c r="J166" s="13" t="n">
        <f aca="false">H166-F166</f>
        <v>-1</v>
      </c>
    </row>
    <row r="167" customFormat="false" ht="15" hidden="false" customHeight="false" outlineLevel="0" collapsed="false">
      <c r="A167" s="13" t="s">
        <v>65</v>
      </c>
      <c r="B167" s="13" t="s">
        <v>66</v>
      </c>
      <c r="C167" s="13" t="n">
        <v>144</v>
      </c>
      <c r="D167" s="13" t="s">
        <v>23</v>
      </c>
      <c r="E167" s="13" t="s">
        <v>27</v>
      </c>
      <c r="F167" s="13" t="n">
        <v>150</v>
      </c>
      <c r="G167" s="13" t="n">
        <v>150</v>
      </c>
      <c r="H167" s="13" t="n">
        <v>140</v>
      </c>
      <c r="I167" s="13" t="n">
        <f aca="false">H167-G167</f>
        <v>-10</v>
      </c>
      <c r="J167" s="13" t="n">
        <f aca="false">H167-F167</f>
        <v>-10</v>
      </c>
    </row>
    <row r="168" customFormat="false" ht="15" hidden="false" customHeight="false" outlineLevel="0" collapsed="false">
      <c r="A168" s="13" t="s">
        <v>65</v>
      </c>
      <c r="B168" s="13" t="s">
        <v>66</v>
      </c>
      <c r="C168" s="13" t="n">
        <v>144</v>
      </c>
      <c r="D168" s="13" t="s">
        <v>23</v>
      </c>
      <c r="E168" s="13" t="s">
        <v>28</v>
      </c>
      <c r="F168" s="13" t="n">
        <v>81</v>
      </c>
      <c r="G168" s="13" t="n">
        <v>101</v>
      </c>
      <c r="H168" s="13" t="n">
        <v>92</v>
      </c>
      <c r="I168" s="13" t="n">
        <f aca="false">H168-G168</f>
        <v>-9</v>
      </c>
      <c r="J168" s="13" t="n">
        <f aca="false">H168-F168</f>
        <v>11</v>
      </c>
    </row>
    <row r="169" customFormat="false" ht="15" hidden="false" customHeight="false" outlineLevel="0" collapsed="false">
      <c r="A169" s="13" t="s">
        <v>65</v>
      </c>
      <c r="B169" s="13" t="s">
        <v>66</v>
      </c>
      <c r="C169" s="13" t="n">
        <v>144</v>
      </c>
      <c r="D169" s="13" t="s">
        <v>23</v>
      </c>
      <c r="E169" s="13" t="s">
        <v>29</v>
      </c>
      <c r="F169" s="13" t="n">
        <v>2</v>
      </c>
      <c r="G169" s="13" t="n">
        <v>22</v>
      </c>
      <c r="H169" s="13" t="n">
        <v>20</v>
      </c>
      <c r="I169" s="13" t="n">
        <f aca="false">H169-G169</f>
        <v>-2</v>
      </c>
      <c r="J169" s="13" t="n">
        <f aca="false">H169-F169</f>
        <v>18</v>
      </c>
    </row>
    <row r="170" customFormat="false" ht="15" hidden="false" customHeight="false" outlineLevel="0" collapsed="false">
      <c r="A170" s="13" t="s">
        <v>65</v>
      </c>
      <c r="B170" s="13" t="s">
        <v>66</v>
      </c>
      <c r="C170" s="13" t="n">
        <v>144</v>
      </c>
      <c r="D170" s="13" t="s">
        <v>23</v>
      </c>
      <c r="E170" s="13" t="s">
        <v>30</v>
      </c>
      <c r="F170" s="13" t="n">
        <v>158</v>
      </c>
      <c r="G170" s="13" t="n">
        <v>158</v>
      </c>
      <c r="H170" s="13" t="n">
        <v>144</v>
      </c>
      <c r="I170" s="13" t="n">
        <f aca="false">H170-G170</f>
        <v>-14</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136</v>
      </c>
      <c r="H172" s="13" t="n">
        <v>133</v>
      </c>
      <c r="I172" s="13" t="n">
        <f aca="false">H172-G172</f>
        <v>-3</v>
      </c>
      <c r="J172" s="13" t="n">
        <f aca="false">H172-F172</f>
        <v>-3</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30</v>
      </c>
      <c r="H174" s="13" t="n">
        <v>32</v>
      </c>
      <c r="I174" s="13" t="n">
        <f aca="false">H174-G174</f>
        <v>2</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59</v>
      </c>
      <c r="H186" s="13" t="n">
        <v>51</v>
      </c>
      <c r="I186" s="13" t="n">
        <f aca="false">H186-G186</f>
        <v>-8</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8</v>
      </c>
      <c r="H187" s="13" t="n">
        <v>105</v>
      </c>
      <c r="I187" s="13" t="n">
        <f aca="false">H187-G187</f>
        <v>97</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114</v>
      </c>
      <c r="H188" s="13" t="n">
        <v>102</v>
      </c>
      <c r="I188" s="13" t="n">
        <f aca="false">H188-G188</f>
        <v>-12</v>
      </c>
      <c r="J188" s="13" t="n">
        <f aca="false">H188-F188</f>
        <v>-12</v>
      </c>
    </row>
    <row r="189" customFormat="false" ht="15" hidden="false" customHeight="false" outlineLevel="0" collapsed="false">
      <c r="A189" s="13" t="s">
        <v>67</v>
      </c>
      <c r="B189" s="13" t="s">
        <v>68</v>
      </c>
      <c r="C189" s="13" t="n">
        <v>105</v>
      </c>
      <c r="D189" s="13" t="s">
        <v>23</v>
      </c>
      <c r="E189" s="13" t="s">
        <v>26</v>
      </c>
      <c r="F189" s="13" t="n">
        <v>32</v>
      </c>
      <c r="G189" s="13" t="n">
        <v>32</v>
      </c>
      <c r="H189" s="13" t="n">
        <v>27</v>
      </c>
      <c r="I189" s="13" t="n">
        <f aca="false">H189-G189</f>
        <v>-5</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117</v>
      </c>
      <c r="H190" s="13" t="n">
        <v>105</v>
      </c>
      <c r="I190" s="13" t="n">
        <f aca="false">H190-G190</f>
        <v>-12</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0</v>
      </c>
      <c r="H191" s="13" t="n">
        <v>0</v>
      </c>
      <c r="I191" s="13" t="n">
        <f aca="false">H191-G191</f>
        <v>0</v>
      </c>
      <c r="J191" s="13" t="n">
        <f aca="false">H191-F191</f>
        <v>0</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117</v>
      </c>
      <c r="H193" s="13" t="n">
        <v>105</v>
      </c>
      <c r="I193" s="13" t="n">
        <f aca="false">H193-G193</f>
        <v>-12</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0</v>
      </c>
      <c r="H194" s="13" t="n">
        <v>0</v>
      </c>
      <c r="I194" s="13" t="n">
        <f aca="false">H194-G194</f>
        <v>0</v>
      </c>
      <c r="J194" s="13" t="n">
        <f aca="false">H194-F194</f>
        <v>0</v>
      </c>
    </row>
    <row r="195" customFormat="false" ht="15" hidden="false" customHeight="false" outlineLevel="0" collapsed="false">
      <c r="A195" s="13" t="s">
        <v>67</v>
      </c>
      <c r="B195" s="13" t="s">
        <v>68</v>
      </c>
      <c r="C195" s="13" t="n">
        <v>105</v>
      </c>
      <c r="D195" s="13" t="s">
        <v>23</v>
      </c>
      <c r="E195" s="13" t="s">
        <v>32</v>
      </c>
      <c r="F195" s="13" t="n">
        <v>0</v>
      </c>
      <c r="G195" s="13" t="n">
        <v>0</v>
      </c>
      <c r="H195" s="13" t="n">
        <v>0</v>
      </c>
      <c r="I195" s="13" t="n">
        <f aca="false">H195-G195</f>
        <v>0</v>
      </c>
      <c r="J195" s="13" t="n">
        <f aca="false">H195-F195</f>
        <v>0</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6</v>
      </c>
      <c r="I197" s="13" t="n">
        <f aca="false">H197-G197</f>
        <v>-1</v>
      </c>
      <c r="J197" s="13" t="n">
        <f aca="false">H197-F197</f>
        <v>-1</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0</v>
      </c>
      <c r="H202" s="13" t="n">
        <v>0</v>
      </c>
      <c r="I202" s="13" t="n">
        <f aca="false">H202-G202</f>
        <v>0</v>
      </c>
      <c r="J202" s="13" t="n">
        <f aca="false">H202-F202</f>
        <v>0</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78</v>
      </c>
      <c r="H209" s="13" t="n">
        <v>77</v>
      </c>
      <c r="I209" s="13" t="n">
        <f aca="false">H209-G209</f>
        <v>-1</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31</v>
      </c>
      <c r="H210" s="13" t="n">
        <v>105</v>
      </c>
      <c r="I210" s="13" t="n">
        <f aca="false">H210-G210</f>
        <v>74</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110</v>
      </c>
      <c r="H211" s="13" t="n">
        <v>102</v>
      </c>
      <c r="I211" s="13" t="n">
        <f aca="false">H211-G211</f>
        <v>-8</v>
      </c>
      <c r="J211" s="13" t="n">
        <f aca="false">H211-F211</f>
        <v>-8</v>
      </c>
    </row>
    <row r="212" customFormat="false" ht="15" hidden="false" customHeight="false" outlineLevel="0" collapsed="false">
      <c r="A212" s="13" t="s">
        <v>69</v>
      </c>
      <c r="B212" s="13" t="s">
        <v>70</v>
      </c>
      <c r="C212" s="13" t="n">
        <v>105</v>
      </c>
      <c r="D212" s="13" t="s">
        <v>23</v>
      </c>
      <c r="E212" s="13" t="s">
        <v>26</v>
      </c>
      <c r="F212" s="13" t="n">
        <v>87</v>
      </c>
      <c r="G212" s="13" t="n">
        <v>87</v>
      </c>
      <c r="H212" s="13" t="n">
        <v>85</v>
      </c>
      <c r="I212" s="13" t="n">
        <f aca="false">H212-G212</f>
        <v>-2</v>
      </c>
      <c r="J212" s="13" t="n">
        <f aca="false">H212-F212</f>
        <v>-2</v>
      </c>
    </row>
    <row r="213" customFormat="false" ht="15" hidden="false" customHeight="false" outlineLevel="0" collapsed="false">
      <c r="A213" s="13" t="s">
        <v>69</v>
      </c>
      <c r="B213" s="13" t="s">
        <v>70</v>
      </c>
      <c r="C213" s="13" t="n">
        <v>105</v>
      </c>
      <c r="D213" s="13" t="s">
        <v>23</v>
      </c>
      <c r="E213" s="13" t="s">
        <v>27</v>
      </c>
      <c r="F213" s="13" t="n">
        <v>99</v>
      </c>
      <c r="G213" s="13" t="n">
        <v>99</v>
      </c>
      <c r="H213" s="13" t="n">
        <v>93</v>
      </c>
      <c r="I213" s="13" t="n">
        <f aca="false">H213-G213</f>
        <v>-6</v>
      </c>
      <c r="J213" s="13" t="n">
        <f aca="false">H213-F213</f>
        <v>-6</v>
      </c>
    </row>
    <row r="214" customFormat="false" ht="15" hidden="false" customHeight="false" outlineLevel="0" collapsed="false">
      <c r="A214" s="13" t="s">
        <v>69</v>
      </c>
      <c r="B214" s="13" t="s">
        <v>70</v>
      </c>
      <c r="C214" s="13" t="n">
        <v>105</v>
      </c>
      <c r="D214" s="13" t="s">
        <v>23</v>
      </c>
      <c r="E214" s="13" t="s">
        <v>28</v>
      </c>
      <c r="F214" s="13" t="n">
        <v>100</v>
      </c>
      <c r="G214" s="13" t="n">
        <v>100</v>
      </c>
      <c r="H214" s="13" t="n">
        <v>95</v>
      </c>
      <c r="I214" s="13" t="n">
        <f aca="false">H214-G214</f>
        <v>-5</v>
      </c>
      <c r="J214" s="13" t="n">
        <f aca="false">H214-F214</f>
        <v>-5</v>
      </c>
    </row>
    <row r="215" customFormat="false" ht="15" hidden="false" customHeight="false" outlineLevel="0" collapsed="false">
      <c r="A215" s="13" t="s">
        <v>69</v>
      </c>
      <c r="B215" s="13" t="s">
        <v>70</v>
      </c>
      <c r="C215" s="13" t="n">
        <v>105</v>
      </c>
      <c r="D215" s="13" t="s">
        <v>23</v>
      </c>
      <c r="E215" s="13" t="s">
        <v>29</v>
      </c>
      <c r="F215" s="13" t="n">
        <v>100</v>
      </c>
      <c r="G215" s="13" t="n">
        <v>100</v>
      </c>
      <c r="H215" s="13" t="n">
        <v>95</v>
      </c>
      <c r="I215" s="13" t="n">
        <f aca="false">H215-G215</f>
        <v>-5</v>
      </c>
      <c r="J215" s="13" t="n">
        <f aca="false">H215-F215</f>
        <v>-5</v>
      </c>
    </row>
    <row r="216" customFormat="false" ht="15" hidden="false" customHeight="false" outlineLevel="0" collapsed="false">
      <c r="A216" s="13" t="s">
        <v>69</v>
      </c>
      <c r="B216" s="13" t="s">
        <v>70</v>
      </c>
      <c r="C216" s="13" t="n">
        <v>105</v>
      </c>
      <c r="D216" s="13" t="s">
        <v>23</v>
      </c>
      <c r="E216" s="13" t="s">
        <v>30</v>
      </c>
      <c r="F216" s="13" t="n">
        <v>114</v>
      </c>
      <c r="G216" s="13" t="n">
        <v>114</v>
      </c>
      <c r="H216" s="13" t="n">
        <v>105</v>
      </c>
      <c r="I216" s="13" t="n">
        <f aca="false">H216-G216</f>
        <v>-9</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0</v>
      </c>
      <c r="H217" s="13" t="n">
        <v>0</v>
      </c>
      <c r="I217" s="13" t="n">
        <f aca="false">H217-G217</f>
        <v>0</v>
      </c>
      <c r="J217" s="13" t="n">
        <f aca="false">H217-F217</f>
        <v>0</v>
      </c>
    </row>
    <row r="218" customFormat="false" ht="15" hidden="false" customHeight="false" outlineLevel="0" collapsed="false">
      <c r="A218" s="13" t="s">
        <v>69</v>
      </c>
      <c r="B218" s="13" t="s">
        <v>70</v>
      </c>
      <c r="C218" s="13" t="n">
        <v>105</v>
      </c>
      <c r="D218" s="13" t="s">
        <v>23</v>
      </c>
      <c r="E218" s="13" t="s">
        <v>32</v>
      </c>
      <c r="F218" s="13" t="n">
        <v>72</v>
      </c>
      <c r="G218" s="13" t="n">
        <v>72</v>
      </c>
      <c r="H218" s="13" t="n">
        <v>71</v>
      </c>
      <c r="I218" s="13" t="n">
        <f aca="false">H218-G218</f>
        <v>-1</v>
      </c>
      <c r="J218" s="13" t="n">
        <f aca="false">H218-F218</f>
        <v>-1</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8</v>
      </c>
      <c r="H232" s="13" t="n">
        <v>91</v>
      </c>
      <c r="I232" s="13" t="n">
        <f aca="false">H232-G232</f>
        <v>83</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8</v>
      </c>
      <c r="H233" s="13" t="n">
        <v>91</v>
      </c>
      <c r="I233" s="13" t="n">
        <f aca="false">H233-G233</f>
        <v>83</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8</v>
      </c>
      <c r="H234" s="13" t="n">
        <v>88</v>
      </c>
      <c r="I234" s="13" t="n">
        <f aca="false">H234-G234</f>
        <v>80</v>
      </c>
      <c r="J234" s="13" t="n">
        <f aca="false">H234-F234</f>
        <v>80</v>
      </c>
    </row>
    <row r="235" customFormat="false" ht="15" hidden="false" customHeight="false" outlineLevel="0" collapsed="false">
      <c r="A235" s="13" t="s">
        <v>71</v>
      </c>
      <c r="B235" s="13" t="s">
        <v>72</v>
      </c>
      <c r="C235" s="13" t="n">
        <v>91</v>
      </c>
      <c r="D235" s="13" t="s">
        <v>23</v>
      </c>
      <c r="E235" s="13" t="s">
        <v>26</v>
      </c>
      <c r="F235" s="13" t="n">
        <v>8</v>
      </c>
      <c r="G235" s="13" t="n">
        <v>8</v>
      </c>
      <c r="H235" s="13" t="n">
        <v>85</v>
      </c>
      <c r="I235" s="13" t="n">
        <f aca="false">H235-G235</f>
        <v>77</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7</v>
      </c>
      <c r="H236" s="13" t="n">
        <v>89</v>
      </c>
      <c r="I236" s="13" t="n">
        <f aca="false">H236-G236</f>
        <v>82</v>
      </c>
      <c r="J236" s="13" t="n">
        <f aca="false">H236-F236</f>
        <v>82</v>
      </c>
    </row>
    <row r="237" customFormat="false" ht="15" hidden="false" customHeight="false" outlineLevel="0" collapsed="false">
      <c r="A237" s="13" t="s">
        <v>71</v>
      </c>
      <c r="B237" s="13" t="s">
        <v>72</v>
      </c>
      <c r="C237" s="13" t="n">
        <v>91</v>
      </c>
      <c r="D237" s="13" t="s">
        <v>23</v>
      </c>
      <c r="E237" s="13" t="s">
        <v>28</v>
      </c>
      <c r="F237" s="13" t="n">
        <v>8</v>
      </c>
      <c r="G237" s="13" t="n">
        <v>8</v>
      </c>
      <c r="H237" s="13" t="n">
        <v>82</v>
      </c>
      <c r="I237" s="13" t="n">
        <f aca="false">H237-G237</f>
        <v>74</v>
      </c>
      <c r="J237" s="13" t="n">
        <f aca="false">H237-F237</f>
        <v>74</v>
      </c>
    </row>
    <row r="238" customFormat="false" ht="15" hidden="false" customHeight="false" outlineLevel="0" collapsed="false">
      <c r="A238" s="13" t="s">
        <v>71</v>
      </c>
      <c r="B238" s="13" t="s">
        <v>72</v>
      </c>
      <c r="C238" s="13" t="n">
        <v>91</v>
      </c>
      <c r="D238" s="13" t="s">
        <v>23</v>
      </c>
      <c r="E238" s="13" t="s">
        <v>29</v>
      </c>
      <c r="F238" s="13" t="n">
        <v>0</v>
      </c>
      <c r="G238" s="13" t="n">
        <v>0</v>
      </c>
      <c r="H238" s="13" t="n">
        <v>12</v>
      </c>
      <c r="I238" s="13" t="n">
        <f aca="false">H238-G238</f>
        <v>12</v>
      </c>
      <c r="J238" s="13" t="n">
        <f aca="false">H238-F238</f>
        <v>12</v>
      </c>
    </row>
    <row r="239" customFormat="false" ht="15" hidden="false" customHeight="false" outlineLevel="0" collapsed="false">
      <c r="A239" s="13" t="s">
        <v>71</v>
      </c>
      <c r="B239" s="13" t="s">
        <v>72</v>
      </c>
      <c r="C239" s="13" t="n">
        <v>91</v>
      </c>
      <c r="D239" s="13" t="s">
        <v>23</v>
      </c>
      <c r="E239" s="13" t="s">
        <v>30</v>
      </c>
      <c r="F239" s="13" t="n">
        <v>8</v>
      </c>
      <c r="G239" s="13" t="n">
        <v>8</v>
      </c>
      <c r="H239" s="13" t="n">
        <v>91</v>
      </c>
      <c r="I239" s="13" t="n">
        <f aca="false">H239-G239</f>
        <v>83</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7</v>
      </c>
      <c r="H240" s="13" t="n">
        <v>49</v>
      </c>
      <c r="I240" s="13" t="n">
        <f aca="false">H240-G240</f>
        <v>42</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6</v>
      </c>
      <c r="H241" s="13" t="n">
        <v>55</v>
      </c>
      <c r="I241" s="13" t="n">
        <f aca="false">H241-G241</f>
        <v>49</v>
      </c>
      <c r="J241" s="13" t="n">
        <f aca="false">H241-F241</f>
        <v>49</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8</v>
      </c>
      <c r="H243" s="13" t="n">
        <v>12</v>
      </c>
      <c r="I243" s="13" t="n">
        <f aca="false">H243-G243</f>
        <v>4</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4</v>
      </c>
      <c r="H255" s="13" t="n">
        <v>2</v>
      </c>
      <c r="I255" s="13" t="n">
        <f aca="false">H255-G255</f>
        <v>-2</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140</v>
      </c>
      <c r="H257" s="13" t="n">
        <v>87</v>
      </c>
      <c r="I257" s="13" t="n">
        <f aca="false">H257-G257</f>
        <v>-53</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21</v>
      </c>
      <c r="H258" s="13" t="n">
        <v>22</v>
      </c>
      <c r="I258" s="13" t="n">
        <f aca="false">H258-G258</f>
        <v>1</v>
      </c>
      <c r="J258" s="13" t="n">
        <f aca="false">H258-F258</f>
        <v>2</v>
      </c>
    </row>
    <row r="259" customFormat="false" ht="15" hidden="false" customHeight="false" outlineLevel="0" collapsed="false">
      <c r="A259" s="13" t="s">
        <v>73</v>
      </c>
      <c r="B259" s="13" t="s">
        <v>74</v>
      </c>
      <c r="C259" s="13" t="n">
        <v>87</v>
      </c>
      <c r="D259" s="13" t="s">
        <v>23</v>
      </c>
      <c r="E259" s="13" t="s">
        <v>27</v>
      </c>
      <c r="F259" s="13" t="n">
        <v>24</v>
      </c>
      <c r="G259" s="13" t="n">
        <v>25</v>
      </c>
      <c r="H259" s="13" t="n">
        <v>14</v>
      </c>
      <c r="I259" s="13" t="n">
        <f aca="false">H259-G259</f>
        <v>-11</v>
      </c>
      <c r="J259" s="13" t="n">
        <f aca="false">H259-F259</f>
        <v>-10</v>
      </c>
    </row>
    <row r="260" customFormat="false" ht="15" hidden="false" customHeight="false" outlineLevel="0" collapsed="false">
      <c r="A260" s="13" t="s">
        <v>73</v>
      </c>
      <c r="B260" s="13" t="s">
        <v>74</v>
      </c>
      <c r="C260" s="13" t="n">
        <v>87</v>
      </c>
      <c r="D260" s="13" t="s">
        <v>23</v>
      </c>
      <c r="E260" s="13" t="s">
        <v>28</v>
      </c>
      <c r="F260" s="13" t="n">
        <v>51</v>
      </c>
      <c r="G260" s="13" t="n">
        <v>53</v>
      </c>
      <c r="H260" s="13" t="n">
        <v>35</v>
      </c>
      <c r="I260" s="13" t="n">
        <f aca="false">H260-G260</f>
        <v>-18</v>
      </c>
      <c r="J260" s="13" t="n">
        <f aca="false">H260-F260</f>
        <v>-16</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141</v>
      </c>
      <c r="H262" s="13" t="n">
        <v>87</v>
      </c>
      <c r="I262" s="13" t="n">
        <f aca="false">H262-G262</f>
        <v>-54</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1</v>
      </c>
      <c r="H264" s="13" t="n">
        <v>0</v>
      </c>
      <c r="I264" s="13" t="n">
        <f aca="false">H264-G264</f>
        <v>-1</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0</v>
      </c>
      <c r="H266" s="13" t="n">
        <v>0</v>
      </c>
      <c r="I266" s="13" t="n">
        <f aca="false">H266-G266</f>
        <v>0</v>
      </c>
      <c r="J266" s="13" t="n">
        <f aca="false">H266-F266</f>
        <v>0</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79</v>
      </c>
      <c r="D278" s="13" t="s">
        <v>23</v>
      </c>
      <c r="E278" s="13" t="s">
        <v>22</v>
      </c>
      <c r="F278" s="13" t="n">
        <v>3</v>
      </c>
      <c r="G278" s="13" t="n">
        <v>3</v>
      </c>
      <c r="H278" s="13" t="n">
        <v>79</v>
      </c>
      <c r="I278" s="13" t="n">
        <f aca="false">H278-G278</f>
        <v>76</v>
      </c>
      <c r="J278" s="13" t="n">
        <f aca="false">H278-F278</f>
        <v>76</v>
      </c>
    </row>
    <row r="279" customFormat="false" ht="15" hidden="false" customHeight="false" outlineLevel="0" collapsed="false">
      <c r="A279" s="13" t="s">
        <v>75</v>
      </c>
      <c r="B279" s="13" t="s">
        <v>76</v>
      </c>
      <c r="C279" s="13" t="n">
        <v>79</v>
      </c>
      <c r="D279" s="13" t="s">
        <v>23</v>
      </c>
      <c r="E279" s="13" t="s">
        <v>24</v>
      </c>
      <c r="F279" s="13" t="n">
        <v>3</v>
      </c>
      <c r="G279" s="13" t="n">
        <v>3</v>
      </c>
      <c r="H279" s="13" t="n">
        <v>79</v>
      </c>
      <c r="I279" s="13" t="n">
        <f aca="false">H279-G279</f>
        <v>76</v>
      </c>
      <c r="J279" s="13" t="n">
        <f aca="false">H279-F279</f>
        <v>76</v>
      </c>
    </row>
    <row r="280" customFormat="false" ht="15" hidden="false" customHeight="false" outlineLevel="0" collapsed="false">
      <c r="A280" s="13" t="s">
        <v>75</v>
      </c>
      <c r="B280" s="13" t="s">
        <v>76</v>
      </c>
      <c r="C280" s="13" t="n">
        <v>79</v>
      </c>
      <c r="D280" s="13" t="s">
        <v>23</v>
      </c>
      <c r="E280" s="13" t="s">
        <v>25</v>
      </c>
      <c r="F280" s="13" t="n">
        <v>3</v>
      </c>
      <c r="G280" s="13" t="n">
        <v>3</v>
      </c>
      <c r="H280" s="13" t="n">
        <v>79</v>
      </c>
      <c r="I280" s="13" t="n">
        <f aca="false">H280-G280</f>
        <v>76</v>
      </c>
      <c r="J280" s="13" t="n">
        <f aca="false">H280-F280</f>
        <v>76</v>
      </c>
    </row>
    <row r="281" customFormat="false" ht="15" hidden="false" customHeight="false" outlineLevel="0" collapsed="false">
      <c r="A281" s="13" t="s">
        <v>75</v>
      </c>
      <c r="B281" s="13" t="s">
        <v>76</v>
      </c>
      <c r="C281" s="13" t="n">
        <v>79</v>
      </c>
      <c r="D281" s="13" t="s">
        <v>23</v>
      </c>
      <c r="E281" s="13" t="s">
        <v>26</v>
      </c>
      <c r="F281" s="13" t="n">
        <v>3</v>
      </c>
      <c r="G281" s="13" t="n">
        <v>3</v>
      </c>
      <c r="H281" s="13" t="n">
        <v>77</v>
      </c>
      <c r="I281" s="13" t="n">
        <f aca="false">H281-G281</f>
        <v>74</v>
      </c>
      <c r="J281" s="13" t="n">
        <f aca="false">H281-F281</f>
        <v>74</v>
      </c>
    </row>
    <row r="282" customFormat="false" ht="15" hidden="false" customHeight="false" outlineLevel="0" collapsed="false">
      <c r="A282" s="13" t="s">
        <v>75</v>
      </c>
      <c r="B282" s="13" t="s">
        <v>76</v>
      </c>
      <c r="C282" s="13" t="n">
        <v>79</v>
      </c>
      <c r="D282" s="13" t="s">
        <v>23</v>
      </c>
      <c r="E282" s="13" t="s">
        <v>27</v>
      </c>
      <c r="F282" s="13" t="n">
        <v>3</v>
      </c>
      <c r="G282" s="13" t="n">
        <v>3</v>
      </c>
      <c r="H282" s="13" t="n">
        <v>79</v>
      </c>
      <c r="I282" s="13" t="n">
        <f aca="false">H282-G282</f>
        <v>76</v>
      </c>
      <c r="J282" s="13" t="n">
        <f aca="false">H282-F282</f>
        <v>76</v>
      </c>
    </row>
    <row r="283" customFormat="false" ht="15" hidden="false" customHeight="false" outlineLevel="0" collapsed="false">
      <c r="A283" s="13" t="s">
        <v>75</v>
      </c>
      <c r="B283" s="13" t="s">
        <v>76</v>
      </c>
      <c r="C283" s="13" t="n">
        <v>79</v>
      </c>
      <c r="D283" s="13" t="s">
        <v>23</v>
      </c>
      <c r="E283" s="13" t="s">
        <v>28</v>
      </c>
      <c r="F283" s="13" t="n">
        <v>3</v>
      </c>
      <c r="G283" s="13" t="n">
        <v>3</v>
      </c>
      <c r="H283" s="13" t="n">
        <v>72</v>
      </c>
      <c r="I283" s="13" t="n">
        <f aca="false">H283-G283</f>
        <v>69</v>
      </c>
      <c r="J283" s="13" t="n">
        <f aca="false">H283-F283</f>
        <v>69</v>
      </c>
    </row>
    <row r="284" customFormat="false" ht="15" hidden="false" customHeight="false" outlineLevel="0" collapsed="false">
      <c r="A284" s="13" t="s">
        <v>75</v>
      </c>
      <c r="B284" s="13" t="s">
        <v>76</v>
      </c>
      <c r="C284" s="13" t="n">
        <v>79</v>
      </c>
      <c r="D284" s="13" t="s">
        <v>23</v>
      </c>
      <c r="E284" s="13" t="s">
        <v>29</v>
      </c>
      <c r="F284" s="13" t="n">
        <v>0</v>
      </c>
      <c r="G284" s="13" t="n">
        <v>0</v>
      </c>
      <c r="H284" s="13" t="n">
        <v>25</v>
      </c>
      <c r="I284" s="13" t="n">
        <f aca="false">H284-G284</f>
        <v>25</v>
      </c>
      <c r="J284" s="13" t="n">
        <f aca="false">H284-F284</f>
        <v>25</v>
      </c>
    </row>
    <row r="285" customFormat="false" ht="15" hidden="false" customHeight="false" outlineLevel="0" collapsed="false">
      <c r="A285" s="13" t="s">
        <v>75</v>
      </c>
      <c r="B285" s="13" t="s">
        <v>76</v>
      </c>
      <c r="C285" s="13" t="n">
        <v>79</v>
      </c>
      <c r="D285" s="13" t="s">
        <v>23</v>
      </c>
      <c r="E285" s="13" t="s">
        <v>30</v>
      </c>
      <c r="F285" s="13" t="n">
        <v>3</v>
      </c>
      <c r="G285" s="13" t="n">
        <v>3</v>
      </c>
      <c r="H285" s="13" t="n">
        <v>79</v>
      </c>
      <c r="I285" s="13" t="n">
        <f aca="false">H285-G285</f>
        <v>76</v>
      </c>
      <c r="J285" s="13" t="n">
        <f aca="false">H285-F285</f>
        <v>76</v>
      </c>
    </row>
    <row r="286" customFormat="false" ht="15" hidden="false" customHeight="false" outlineLevel="0" collapsed="false">
      <c r="A286" s="13" t="s">
        <v>75</v>
      </c>
      <c r="B286" s="13" t="s">
        <v>76</v>
      </c>
      <c r="C286" s="13" t="n">
        <v>79</v>
      </c>
      <c r="D286" s="13" t="s">
        <v>23</v>
      </c>
      <c r="E286" s="13" t="s">
        <v>31</v>
      </c>
      <c r="F286" s="13" t="n">
        <v>3</v>
      </c>
      <c r="G286" s="13" t="n">
        <v>3</v>
      </c>
      <c r="H286" s="13" t="n">
        <v>27</v>
      </c>
      <c r="I286" s="13" t="n">
        <f aca="false">H286-G286</f>
        <v>24</v>
      </c>
      <c r="J286" s="13" t="n">
        <f aca="false">H286-F286</f>
        <v>24</v>
      </c>
    </row>
    <row r="287" customFormat="false" ht="15" hidden="false" customHeight="false" outlineLevel="0" collapsed="false">
      <c r="A287" s="13" t="s">
        <v>75</v>
      </c>
      <c r="B287" s="13" t="s">
        <v>76</v>
      </c>
      <c r="C287" s="13" t="n">
        <v>79</v>
      </c>
      <c r="D287" s="13" t="s">
        <v>23</v>
      </c>
      <c r="E287" s="13" t="s">
        <v>32</v>
      </c>
      <c r="F287" s="13" t="n">
        <v>3</v>
      </c>
      <c r="G287" s="13" t="n">
        <v>3</v>
      </c>
      <c r="H287" s="13" t="n">
        <v>32</v>
      </c>
      <c r="I287" s="13" t="n">
        <f aca="false">H287-G287</f>
        <v>29</v>
      </c>
      <c r="J287" s="13" t="n">
        <f aca="false">H287-F287</f>
        <v>29</v>
      </c>
    </row>
    <row r="288" customFormat="false" ht="15" hidden="false" customHeight="false" outlineLevel="0" collapsed="false">
      <c r="A288" s="13" t="s">
        <v>75</v>
      </c>
      <c r="B288" s="13" t="s">
        <v>76</v>
      </c>
      <c r="C288" s="13" t="n">
        <v>79</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79</v>
      </c>
      <c r="D289" s="13" t="s">
        <v>23</v>
      </c>
      <c r="E289" s="13" t="s">
        <v>34</v>
      </c>
      <c r="F289" s="13" t="n">
        <v>0</v>
      </c>
      <c r="G289" s="13" t="n">
        <v>0</v>
      </c>
      <c r="H289" s="13" t="n">
        <v>3</v>
      </c>
      <c r="I289" s="13" t="n">
        <f aca="false">H289-G289</f>
        <v>3</v>
      </c>
      <c r="J289" s="13" t="n">
        <f aca="false">H289-F289</f>
        <v>3</v>
      </c>
    </row>
    <row r="290" customFormat="false" ht="15" hidden="false" customHeight="false" outlineLevel="0" collapsed="false">
      <c r="A290" s="13" t="s">
        <v>75</v>
      </c>
      <c r="B290" s="13" t="s">
        <v>76</v>
      </c>
      <c r="C290" s="13" t="n">
        <v>79</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79</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79</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79</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79</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79</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79</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79</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79</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79</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79</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75</v>
      </c>
      <c r="H303" s="13" t="n">
        <v>76</v>
      </c>
      <c r="I303" s="13" t="n">
        <f aca="false">H303-G303</f>
        <v>1</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4</v>
      </c>
      <c r="H304" s="13" t="n">
        <v>4</v>
      </c>
      <c r="I304" s="13" t="n">
        <f aca="false">H304-G304</f>
        <v>0</v>
      </c>
      <c r="J304" s="13" t="n">
        <f aca="false">H304-F304</f>
        <v>0</v>
      </c>
    </row>
    <row r="305" customFormat="false" ht="15" hidden="false" customHeight="false" outlineLevel="0" collapsed="false">
      <c r="A305" s="13" t="s">
        <v>77</v>
      </c>
      <c r="B305" s="13" t="s">
        <v>78</v>
      </c>
      <c r="C305" s="13" t="n">
        <v>76</v>
      </c>
      <c r="D305" s="13" t="s">
        <v>23</v>
      </c>
      <c r="E305" s="13" t="s">
        <v>27</v>
      </c>
      <c r="F305" s="13" t="n">
        <v>45</v>
      </c>
      <c r="G305" s="13" t="n">
        <v>45</v>
      </c>
      <c r="H305" s="13" t="n">
        <v>47</v>
      </c>
      <c r="I305" s="13" t="n">
        <f aca="false">H305-G305</f>
        <v>2</v>
      </c>
      <c r="J305" s="13" t="n">
        <f aca="false">H305-F305</f>
        <v>2</v>
      </c>
    </row>
    <row r="306" customFormat="false" ht="15" hidden="false" customHeight="false" outlineLevel="0" collapsed="false">
      <c r="A306" s="13" t="s">
        <v>77</v>
      </c>
      <c r="B306" s="13" t="s">
        <v>78</v>
      </c>
      <c r="C306" s="13" t="n">
        <v>76</v>
      </c>
      <c r="D306" s="13" t="s">
        <v>23</v>
      </c>
      <c r="E306" s="13" t="s">
        <v>28</v>
      </c>
      <c r="F306" s="13" t="n">
        <v>46</v>
      </c>
      <c r="G306" s="13" t="n">
        <v>46</v>
      </c>
      <c r="H306" s="13" t="n">
        <v>59</v>
      </c>
      <c r="I306" s="13" t="n">
        <f aca="false">H306-G306</f>
        <v>13</v>
      </c>
      <c r="J306" s="13" t="n">
        <f aca="false">H306-F306</f>
        <v>13</v>
      </c>
    </row>
    <row r="307" customFormat="false" ht="15" hidden="false" customHeight="false" outlineLevel="0" collapsed="false">
      <c r="A307" s="13" t="s">
        <v>77</v>
      </c>
      <c r="B307" s="13" t="s">
        <v>78</v>
      </c>
      <c r="C307" s="13" t="n">
        <v>76</v>
      </c>
      <c r="D307" s="13" t="s">
        <v>23</v>
      </c>
      <c r="E307" s="13" t="s">
        <v>29</v>
      </c>
      <c r="F307" s="13" t="n">
        <v>46</v>
      </c>
      <c r="G307" s="13" t="n">
        <v>46</v>
      </c>
      <c r="H307" s="13" t="n">
        <v>59</v>
      </c>
      <c r="I307" s="13" t="n">
        <f aca="false">H307-G307</f>
        <v>13</v>
      </c>
      <c r="J307" s="13" t="n">
        <f aca="false">H307-F307</f>
        <v>13</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0</v>
      </c>
      <c r="H309" s="13" t="n">
        <v>0</v>
      </c>
      <c r="I309" s="13" t="n">
        <f aca="false">H309-G309</f>
        <v>0</v>
      </c>
      <c r="J309" s="13" t="n">
        <f aca="false">H309-F309</f>
        <v>0</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1</v>
      </c>
      <c r="H312" s="13" t="n">
        <v>1</v>
      </c>
      <c r="I312" s="13" t="n">
        <f aca="false">H312-G312</f>
        <v>0</v>
      </c>
      <c r="J312" s="13" t="n">
        <f aca="false">H312-F312</f>
        <v>0</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73</v>
      </c>
      <c r="H326" s="13" t="n">
        <v>74</v>
      </c>
      <c r="I326" s="13" t="n">
        <f aca="false">H326-G326</f>
        <v>1</v>
      </c>
      <c r="J326" s="13" t="n">
        <f aca="false">H326-F326</f>
        <v>1</v>
      </c>
    </row>
    <row r="327" customFormat="false" ht="15" hidden="false" customHeight="false" outlineLevel="0" collapsed="false">
      <c r="A327" s="13" t="s">
        <v>79</v>
      </c>
      <c r="B327" s="13" t="s">
        <v>80</v>
      </c>
      <c r="C327" s="13" t="n">
        <v>76</v>
      </c>
      <c r="D327" s="13" t="s">
        <v>23</v>
      </c>
      <c r="E327" s="13" t="s">
        <v>26</v>
      </c>
      <c r="F327" s="13" t="n">
        <v>7</v>
      </c>
      <c r="G327" s="13" t="n">
        <v>7</v>
      </c>
      <c r="H327" s="13" t="n">
        <v>12</v>
      </c>
      <c r="I327" s="13" t="n">
        <f aca="false">H327-G327</f>
        <v>5</v>
      </c>
      <c r="J327" s="13" t="n">
        <f aca="false">H327-F327</f>
        <v>5</v>
      </c>
    </row>
    <row r="328" customFormat="false" ht="15" hidden="false" customHeight="false" outlineLevel="0" collapsed="false">
      <c r="A328" s="13" t="s">
        <v>79</v>
      </c>
      <c r="B328" s="13" t="s">
        <v>80</v>
      </c>
      <c r="C328" s="13" t="n">
        <v>76</v>
      </c>
      <c r="D328" s="13" t="s">
        <v>23</v>
      </c>
      <c r="E328" s="13" t="s">
        <v>27</v>
      </c>
      <c r="F328" s="13" t="n">
        <v>21</v>
      </c>
      <c r="G328" s="13" t="n">
        <v>21</v>
      </c>
      <c r="H328" s="13" t="n">
        <v>24</v>
      </c>
      <c r="I328" s="13" t="n">
        <f aca="false">H328-G328</f>
        <v>3</v>
      </c>
      <c r="J328" s="13" t="n">
        <f aca="false">H328-F328</f>
        <v>3</v>
      </c>
    </row>
    <row r="329" customFormat="false" ht="15" hidden="false" customHeight="false" outlineLevel="0" collapsed="false">
      <c r="A329" s="13" t="s">
        <v>79</v>
      </c>
      <c r="B329" s="13" t="s">
        <v>80</v>
      </c>
      <c r="C329" s="13" t="n">
        <v>76</v>
      </c>
      <c r="D329" s="13" t="s">
        <v>23</v>
      </c>
      <c r="E329" s="13" t="s">
        <v>28</v>
      </c>
      <c r="F329" s="13" t="n">
        <v>21</v>
      </c>
      <c r="G329" s="13" t="n">
        <v>21</v>
      </c>
      <c r="H329" s="13" t="n">
        <v>35</v>
      </c>
      <c r="I329" s="13" t="n">
        <f aca="false">H329-G329</f>
        <v>14</v>
      </c>
      <c r="J329" s="13" t="n">
        <f aca="false">H329-F329</f>
        <v>14</v>
      </c>
    </row>
    <row r="330" customFormat="false" ht="15" hidden="false" customHeight="false" outlineLevel="0" collapsed="false">
      <c r="A330" s="13" t="s">
        <v>79</v>
      </c>
      <c r="B330" s="13" t="s">
        <v>80</v>
      </c>
      <c r="C330" s="13" t="n">
        <v>76</v>
      </c>
      <c r="D330" s="13" t="s">
        <v>23</v>
      </c>
      <c r="E330" s="13" t="s">
        <v>29</v>
      </c>
      <c r="F330" s="13" t="n">
        <v>21</v>
      </c>
      <c r="G330" s="13" t="n">
        <v>21</v>
      </c>
      <c r="H330" s="13" t="n">
        <v>35</v>
      </c>
      <c r="I330" s="13" t="n">
        <f aca="false">H330-G330</f>
        <v>14</v>
      </c>
      <c r="J330" s="13" t="n">
        <f aca="false">H330-F330</f>
        <v>14</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19</v>
      </c>
      <c r="H333" s="13" t="n">
        <v>19</v>
      </c>
      <c r="I333" s="13" t="n">
        <f aca="false">H333-G333</f>
        <v>0</v>
      </c>
      <c r="J333" s="13" t="n">
        <f aca="false">H333-F333</f>
        <v>0</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74</v>
      </c>
      <c r="H347" s="13" t="n">
        <v>72</v>
      </c>
      <c r="I347" s="13" t="n">
        <f aca="false">H347-G347</f>
        <v>-2</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8</v>
      </c>
      <c r="H348" s="13" t="n">
        <v>72</v>
      </c>
      <c r="I348" s="13" t="n">
        <f aca="false">H348-G348</f>
        <v>64</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79</v>
      </c>
      <c r="H349" s="13" t="n">
        <v>70</v>
      </c>
      <c r="I349" s="13" t="n">
        <f aca="false">H349-G349</f>
        <v>-9</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82</v>
      </c>
      <c r="H350" s="13" t="n">
        <v>72</v>
      </c>
      <c r="I350" s="13" t="n">
        <f aca="false">H350-G350</f>
        <v>-10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78</v>
      </c>
      <c r="H351" s="13" t="n">
        <v>69</v>
      </c>
      <c r="I351" s="13" t="n">
        <f aca="false">H351-G351</f>
        <v>-9</v>
      </c>
      <c r="J351" s="13" t="n">
        <f aca="false">H351-F351</f>
        <v>-9</v>
      </c>
    </row>
    <row r="352" customFormat="false" ht="15" hidden="false" customHeight="false" outlineLevel="0" collapsed="false">
      <c r="A352" s="13" t="s">
        <v>81</v>
      </c>
      <c r="B352" s="13" t="s">
        <v>82</v>
      </c>
      <c r="C352" s="13" t="n">
        <v>72</v>
      </c>
      <c r="D352" s="13" t="s">
        <v>23</v>
      </c>
      <c r="E352" s="13" t="s">
        <v>28</v>
      </c>
      <c r="F352" s="13" t="n">
        <v>80</v>
      </c>
      <c r="G352" s="13" t="n">
        <v>80</v>
      </c>
      <c r="H352" s="13" t="n">
        <v>72</v>
      </c>
      <c r="I352" s="13" t="n">
        <f aca="false">H352-G352</f>
        <v>-8</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80</v>
      </c>
      <c r="H353" s="13" t="n">
        <v>72</v>
      </c>
      <c r="I353" s="13" t="n">
        <f aca="false">H353-G353</f>
        <v>-8</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83</v>
      </c>
      <c r="H354" s="13" t="n">
        <v>72</v>
      </c>
      <c r="I354" s="13" t="n">
        <f aca="false">H354-G354</f>
        <v>-11</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0</v>
      </c>
      <c r="H355" s="13" t="n">
        <v>0</v>
      </c>
      <c r="I355" s="13" t="n">
        <f aca="false">H355-G355</f>
        <v>0</v>
      </c>
      <c r="J355" s="13" t="n">
        <f aca="false">H355-F355</f>
        <v>0</v>
      </c>
    </row>
    <row r="356" customFormat="false" ht="15" hidden="false" customHeight="false" outlineLevel="0" collapsed="false">
      <c r="A356" s="13" t="s">
        <v>81</v>
      </c>
      <c r="B356" s="13" t="s">
        <v>82</v>
      </c>
      <c r="C356" s="13" t="n">
        <v>72</v>
      </c>
      <c r="D356" s="13" t="s">
        <v>23</v>
      </c>
      <c r="E356" s="13" t="s">
        <v>32</v>
      </c>
      <c r="F356" s="13" t="n">
        <v>0</v>
      </c>
      <c r="G356" s="13" t="n">
        <v>0</v>
      </c>
      <c r="H356" s="13" t="n">
        <v>0</v>
      </c>
      <c r="I356" s="13" t="n">
        <f aca="false">H356-G356</f>
        <v>0</v>
      </c>
      <c r="J356" s="13" t="n">
        <f aca="false">H356-F356</f>
        <v>0</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3</v>
      </c>
      <c r="H358" s="13" t="n">
        <v>2</v>
      </c>
      <c r="I358" s="13" t="n">
        <f aca="false">H358-G358</f>
        <v>-1</v>
      </c>
      <c r="J358" s="13" t="n">
        <f aca="false">H358-F358</f>
        <v>-1</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72</v>
      </c>
      <c r="H370" s="13" t="n">
        <v>57</v>
      </c>
      <c r="I370" s="13" t="n">
        <f aca="false">H370-G370</f>
        <v>-15</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12</v>
      </c>
      <c r="H371" s="13" t="n">
        <v>61</v>
      </c>
      <c r="I371" s="13" t="n">
        <f aca="false">H371-G371</f>
        <v>49</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130</v>
      </c>
      <c r="H372" s="13" t="n">
        <v>60</v>
      </c>
      <c r="I372" s="13" t="n">
        <f aca="false">H372-G372</f>
        <v>-70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116</v>
      </c>
      <c r="H374" s="13" t="n">
        <v>60</v>
      </c>
      <c r="I374" s="13" t="n">
        <f aca="false">H374-G374</f>
        <v>-56</v>
      </c>
      <c r="J374" s="13" t="n">
        <f aca="false">H374-F374</f>
        <v>-56</v>
      </c>
    </row>
    <row r="375" customFormat="false" ht="15" hidden="false" customHeight="false" outlineLevel="0" collapsed="false">
      <c r="A375" s="13" t="s">
        <v>83</v>
      </c>
      <c r="B375" s="13" t="s">
        <v>84</v>
      </c>
      <c r="C375" s="13" t="n">
        <v>61</v>
      </c>
      <c r="D375" s="13" t="s">
        <v>23</v>
      </c>
      <c r="E375" s="13" t="s">
        <v>28</v>
      </c>
      <c r="F375" s="13" t="n">
        <v>119</v>
      </c>
      <c r="G375" s="13" t="n">
        <v>119</v>
      </c>
      <c r="H375" s="13" t="n">
        <v>60</v>
      </c>
      <c r="I375" s="13" t="n">
        <f aca="false">H375-G375</f>
        <v>-59</v>
      </c>
      <c r="J375" s="13" t="n">
        <f aca="false">H375-F375</f>
        <v>-59</v>
      </c>
    </row>
    <row r="376" customFormat="false" ht="15" hidden="false" customHeight="false" outlineLevel="0" collapsed="false">
      <c r="A376" s="13" t="s">
        <v>83</v>
      </c>
      <c r="B376" s="13" t="s">
        <v>84</v>
      </c>
      <c r="C376" s="13" t="n">
        <v>61</v>
      </c>
      <c r="D376" s="13" t="s">
        <v>23</v>
      </c>
      <c r="E376" s="13" t="s">
        <v>29</v>
      </c>
      <c r="F376" s="13" t="n">
        <v>119</v>
      </c>
      <c r="G376" s="13" t="n">
        <v>119</v>
      </c>
      <c r="H376" s="13" t="n">
        <v>60</v>
      </c>
      <c r="I376" s="13" t="n">
        <f aca="false">H376-G376</f>
        <v>-59</v>
      </c>
      <c r="J376" s="13" t="n">
        <f aca="false">H376-F376</f>
        <v>-59</v>
      </c>
    </row>
    <row r="377" customFormat="false" ht="15" hidden="false" customHeight="false" outlineLevel="0" collapsed="false">
      <c r="A377" s="13" t="s">
        <v>83</v>
      </c>
      <c r="B377" s="13" t="s">
        <v>84</v>
      </c>
      <c r="C377" s="13" t="n">
        <v>61</v>
      </c>
      <c r="D377" s="13" t="s">
        <v>23</v>
      </c>
      <c r="E377" s="13" t="s">
        <v>30</v>
      </c>
      <c r="F377" s="13" t="n">
        <v>136</v>
      </c>
      <c r="G377" s="13" t="n">
        <v>136</v>
      </c>
      <c r="H377" s="13" t="n">
        <v>61</v>
      </c>
      <c r="I377" s="13" t="n">
        <f aca="false">H377-G377</f>
        <v>-75</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65</v>
      </c>
      <c r="H378" s="13" t="n">
        <v>54</v>
      </c>
      <c r="I378" s="13" t="n">
        <f aca="false">H378-G378</f>
        <v>-11</v>
      </c>
      <c r="J378" s="13" t="n">
        <f aca="false">H378-F378</f>
        <v>-11</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33</v>
      </c>
      <c r="H393" s="13" t="n">
        <v>30</v>
      </c>
      <c r="I393" s="13" t="n">
        <f aca="false">H393-G393</f>
        <v>-3</v>
      </c>
      <c r="J393" s="13" t="n">
        <f aca="false">H393-F393</f>
        <v>-3</v>
      </c>
    </row>
    <row r="394" customFormat="false" ht="15" hidden="false" customHeight="false" outlineLevel="0" collapsed="false">
      <c r="A394" s="13" t="s">
        <v>85</v>
      </c>
      <c r="B394" s="13" t="s">
        <v>86</v>
      </c>
      <c r="C394" s="13" t="n">
        <v>58</v>
      </c>
      <c r="D394" s="13" t="s">
        <v>23</v>
      </c>
      <c r="E394" s="13" t="s">
        <v>24</v>
      </c>
      <c r="F394" s="13" t="n">
        <v>8</v>
      </c>
      <c r="G394" s="13" t="n">
        <v>8</v>
      </c>
      <c r="H394" s="13" t="n">
        <v>58</v>
      </c>
      <c r="I394" s="13" t="n">
        <f aca="false">H394-G394</f>
        <v>50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88</v>
      </c>
      <c r="H395" s="13" t="n">
        <v>58</v>
      </c>
      <c r="I395" s="13" t="n">
        <f aca="false">H395-G395</f>
        <v>-30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7</v>
      </c>
      <c r="H396" s="13" t="n">
        <v>7</v>
      </c>
      <c r="I396" s="13" t="n">
        <f aca="false">H396-G396</f>
        <v>0</v>
      </c>
      <c r="J396" s="13" t="n">
        <f aca="false">H396-F396</f>
        <v>0</v>
      </c>
    </row>
    <row r="397" customFormat="false" ht="15" hidden="false" customHeight="false" outlineLevel="0" collapsed="false">
      <c r="A397" s="13" t="s">
        <v>85</v>
      </c>
      <c r="B397" s="13" t="s">
        <v>86</v>
      </c>
      <c r="C397" s="13" t="n">
        <v>58</v>
      </c>
      <c r="D397" s="13" t="s">
        <v>23</v>
      </c>
      <c r="E397" s="13" t="s">
        <v>27</v>
      </c>
      <c r="F397" s="13" t="n">
        <v>82</v>
      </c>
      <c r="G397" s="13" t="n">
        <v>82</v>
      </c>
      <c r="H397" s="13" t="n">
        <v>54</v>
      </c>
      <c r="I397" s="13" t="n">
        <f aca="false">H397-G397</f>
        <v>-28</v>
      </c>
      <c r="J397" s="13" t="n">
        <f aca="false">H397-F397</f>
        <v>-28</v>
      </c>
    </row>
    <row r="398" customFormat="false" ht="15" hidden="false" customHeight="false" outlineLevel="0" collapsed="false">
      <c r="A398" s="13" t="s">
        <v>85</v>
      </c>
      <c r="B398" s="13" t="s">
        <v>86</v>
      </c>
      <c r="C398" s="13" t="n">
        <v>58</v>
      </c>
      <c r="D398" s="13" t="s">
        <v>23</v>
      </c>
      <c r="E398" s="13" t="s">
        <v>28</v>
      </c>
      <c r="F398" s="13" t="n">
        <v>36</v>
      </c>
      <c r="G398" s="13" t="n">
        <v>36</v>
      </c>
      <c r="H398" s="13" t="n">
        <v>38</v>
      </c>
      <c r="I398" s="13" t="n">
        <f aca="false">H398-G398</f>
        <v>2</v>
      </c>
      <c r="J398" s="13" t="n">
        <f aca="false">H398-F398</f>
        <v>2</v>
      </c>
    </row>
    <row r="399" customFormat="false" ht="15" hidden="false" customHeight="false" outlineLevel="0" collapsed="false">
      <c r="A399" s="13" t="s">
        <v>85</v>
      </c>
      <c r="B399" s="13" t="s">
        <v>86</v>
      </c>
      <c r="C399" s="13" t="n">
        <v>58</v>
      </c>
      <c r="D399" s="13" t="s">
        <v>23</v>
      </c>
      <c r="E399" s="13" t="s">
        <v>29</v>
      </c>
      <c r="F399" s="13" t="n">
        <v>36</v>
      </c>
      <c r="G399" s="13" t="n">
        <v>36</v>
      </c>
      <c r="H399" s="13" t="n">
        <v>38</v>
      </c>
      <c r="I399" s="13" t="n">
        <f aca="false">H399-G399</f>
        <v>2</v>
      </c>
      <c r="J399" s="13" t="n">
        <f aca="false">H399-F399</f>
        <v>2</v>
      </c>
    </row>
    <row r="400" customFormat="false" ht="15" hidden="false" customHeight="false" outlineLevel="0" collapsed="false">
      <c r="A400" s="13" t="s">
        <v>85</v>
      </c>
      <c r="B400" s="13" t="s">
        <v>86</v>
      </c>
      <c r="C400" s="13" t="n">
        <v>58</v>
      </c>
      <c r="D400" s="13" t="s">
        <v>23</v>
      </c>
      <c r="E400" s="13" t="s">
        <v>30</v>
      </c>
      <c r="F400" s="13" t="n">
        <v>88</v>
      </c>
      <c r="G400" s="13" t="n">
        <v>88</v>
      </c>
      <c r="H400" s="13" t="n">
        <v>58</v>
      </c>
      <c r="I400" s="13" t="n">
        <f aca="false">H400-G400</f>
        <v>-30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0</v>
      </c>
      <c r="H402" s="13" t="n">
        <v>0</v>
      </c>
      <c r="I402" s="13" t="n">
        <f aca="false">H402-G402</f>
        <v>0</v>
      </c>
      <c r="J402" s="13" t="n">
        <f aca="false">H402-F402</f>
        <v>0</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27</v>
      </c>
      <c r="H404" s="13" t="n">
        <v>27</v>
      </c>
      <c r="I404" s="13" t="n">
        <f aca="false">H404-G404</f>
        <v>0</v>
      </c>
      <c r="J404" s="13" t="n">
        <f aca="false">H404-F404</f>
        <v>0</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59</v>
      </c>
      <c r="H416" s="13" t="n">
        <v>56</v>
      </c>
      <c r="I416" s="13" t="n">
        <f aca="false">H416-G416</f>
        <v>-3</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v>
      </c>
      <c r="H417" s="13" t="n">
        <v>57</v>
      </c>
      <c r="I417" s="13" t="n">
        <f aca="false">H417-G417</f>
        <v>52</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67</v>
      </c>
      <c r="H418" s="13" t="n">
        <v>56</v>
      </c>
      <c r="I418" s="13" t="n">
        <f aca="false">H418-G418</f>
        <v>-11</v>
      </c>
      <c r="J418" s="13" t="n">
        <f aca="false">H418-F418</f>
        <v>-11</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63</v>
      </c>
      <c r="H420" s="13" t="n">
        <v>55</v>
      </c>
      <c r="I420" s="13" t="n">
        <f aca="false">H420-G420</f>
        <v>-8</v>
      </c>
      <c r="J420" s="13" t="n">
        <f aca="false">H420-F420</f>
        <v>-8</v>
      </c>
    </row>
    <row r="421" customFormat="false" ht="15" hidden="false" customHeight="false" outlineLevel="0" collapsed="false">
      <c r="A421" s="13" t="s">
        <v>87</v>
      </c>
      <c r="B421" s="13" t="s">
        <v>88</v>
      </c>
      <c r="C421" s="13" t="n">
        <v>57</v>
      </c>
      <c r="D421" s="13" t="s">
        <v>23</v>
      </c>
      <c r="E421" s="13" t="s">
        <v>28</v>
      </c>
      <c r="F421" s="13" t="n">
        <v>52</v>
      </c>
      <c r="G421" s="13" t="n">
        <v>52</v>
      </c>
      <c r="H421" s="13" t="n">
        <v>47</v>
      </c>
      <c r="I421" s="13" t="n">
        <f aca="false">H421-G421</f>
        <v>-5</v>
      </c>
      <c r="J421" s="13" t="n">
        <f aca="false">H421-F421</f>
        <v>-5</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68</v>
      </c>
      <c r="H423" s="13" t="n">
        <v>57</v>
      </c>
      <c r="I423" s="13" t="n">
        <f aca="false">H423-G423</f>
        <v>-11</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0</v>
      </c>
      <c r="H424" s="13" t="n">
        <v>0</v>
      </c>
      <c r="I424" s="13" t="n">
        <f aca="false">H424-G424</f>
        <v>0</v>
      </c>
      <c r="J424" s="13" t="n">
        <f aca="false">H424-F424</f>
        <v>0</v>
      </c>
    </row>
    <row r="425" customFormat="false" ht="15" hidden="false" customHeight="false" outlineLevel="0" collapsed="false">
      <c r="A425" s="13" t="s">
        <v>87</v>
      </c>
      <c r="B425" s="13" t="s">
        <v>88</v>
      </c>
      <c r="C425" s="13" t="n">
        <v>57</v>
      </c>
      <c r="D425" s="13" t="s">
        <v>23</v>
      </c>
      <c r="E425" s="13" t="s">
        <v>32</v>
      </c>
      <c r="F425" s="13" t="n">
        <v>53</v>
      </c>
      <c r="G425" s="13" t="n">
        <v>53</v>
      </c>
      <c r="H425" s="13" t="n">
        <v>51</v>
      </c>
      <c r="I425" s="13" t="n">
        <f aca="false">H425-G425</f>
        <v>-2</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76</v>
      </c>
      <c r="H439" s="13" t="n">
        <v>51</v>
      </c>
      <c r="I439" s="13" t="n">
        <f aca="false">H439-G439</f>
        <v>-25</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4</v>
      </c>
      <c r="H440" s="13" t="n">
        <v>52</v>
      </c>
      <c r="I440" s="13" t="n">
        <f aca="false">H440-G440</f>
        <v>48</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142</v>
      </c>
      <c r="H441" s="13" t="n">
        <v>51</v>
      </c>
      <c r="I441" s="13" t="n">
        <f aca="false">H441-G441</f>
        <v>-91</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117</v>
      </c>
      <c r="H442" s="13" t="n">
        <v>51</v>
      </c>
      <c r="I442" s="13" t="n">
        <f aca="false">H442-G442</f>
        <v>-66</v>
      </c>
      <c r="J442" s="13" t="n">
        <f aca="false">H442-F442</f>
        <v>-66</v>
      </c>
    </row>
    <row r="443" customFormat="false" ht="15" hidden="false" customHeight="false" outlineLevel="0" collapsed="false">
      <c r="A443" s="13" t="s">
        <v>89</v>
      </c>
      <c r="B443" s="13" t="s">
        <v>90</v>
      </c>
      <c r="C443" s="13" t="n">
        <v>52</v>
      </c>
      <c r="D443" s="13" t="s">
        <v>23</v>
      </c>
      <c r="E443" s="13" t="s">
        <v>27</v>
      </c>
      <c r="F443" s="13" t="n">
        <v>125</v>
      </c>
      <c r="G443" s="13" t="n">
        <v>125</v>
      </c>
      <c r="H443" s="13" t="n">
        <v>51</v>
      </c>
      <c r="I443" s="13" t="n">
        <f aca="false">H443-G443</f>
        <v>-74</v>
      </c>
      <c r="J443" s="13" t="n">
        <f aca="false">H443-F443</f>
        <v>-74</v>
      </c>
    </row>
    <row r="444" customFormat="false" ht="15" hidden="false" customHeight="false" outlineLevel="0" collapsed="false">
      <c r="A444" s="13" t="s">
        <v>89</v>
      </c>
      <c r="B444" s="13" t="s">
        <v>90</v>
      </c>
      <c r="C444" s="13" t="n">
        <v>52</v>
      </c>
      <c r="D444" s="13" t="s">
        <v>23</v>
      </c>
      <c r="E444" s="13" t="s">
        <v>28</v>
      </c>
      <c r="F444" s="13" t="n">
        <v>111</v>
      </c>
      <c r="G444" s="13" t="n">
        <v>111</v>
      </c>
      <c r="H444" s="13" t="n">
        <v>49</v>
      </c>
      <c r="I444" s="13" t="n">
        <f aca="false">H444-G444</f>
        <v>-62</v>
      </c>
      <c r="J444" s="13" t="n">
        <f aca="false">H444-F444</f>
        <v>-62</v>
      </c>
    </row>
    <row r="445" customFormat="false" ht="15" hidden="false" customHeight="false" outlineLevel="0" collapsed="false">
      <c r="A445" s="13" t="s">
        <v>89</v>
      </c>
      <c r="B445" s="13" t="s">
        <v>90</v>
      </c>
      <c r="C445" s="13" t="n">
        <v>52</v>
      </c>
      <c r="D445" s="13" t="s">
        <v>23</v>
      </c>
      <c r="E445" s="13" t="s">
        <v>29</v>
      </c>
      <c r="F445" s="13" t="n">
        <v>111</v>
      </c>
      <c r="G445" s="13" t="n">
        <v>111</v>
      </c>
      <c r="H445" s="13" t="n">
        <v>49</v>
      </c>
      <c r="I445" s="13" t="n">
        <f aca="false">H445-G445</f>
        <v>-62</v>
      </c>
      <c r="J445" s="13" t="n">
        <f aca="false">H445-F445</f>
        <v>-62</v>
      </c>
    </row>
    <row r="446" customFormat="false" ht="15" hidden="false" customHeight="false" outlineLevel="0" collapsed="false">
      <c r="A446" s="13" t="s">
        <v>89</v>
      </c>
      <c r="B446" s="13" t="s">
        <v>90</v>
      </c>
      <c r="C446" s="13" t="n">
        <v>52</v>
      </c>
      <c r="D446" s="13" t="s">
        <v>23</v>
      </c>
      <c r="E446" s="13" t="s">
        <v>30</v>
      </c>
      <c r="F446" s="13" t="n">
        <v>143</v>
      </c>
      <c r="G446" s="13" t="n">
        <v>143</v>
      </c>
      <c r="H446" s="13" t="n">
        <v>52</v>
      </c>
      <c r="I446" s="13" t="n">
        <f aca="false">H446-G446</f>
        <v>-91</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0</v>
      </c>
      <c r="H447" s="13" t="n">
        <v>0</v>
      </c>
      <c r="I447" s="13" t="n">
        <f aca="false">H447-G447</f>
        <v>0</v>
      </c>
      <c r="J447" s="13" t="n">
        <f aca="false">H447-F447</f>
        <v>0</v>
      </c>
    </row>
    <row r="448" customFormat="false" ht="15" hidden="false" customHeight="false" outlineLevel="0" collapsed="false">
      <c r="A448" s="13" t="s">
        <v>89</v>
      </c>
      <c r="B448" s="13" t="s">
        <v>90</v>
      </c>
      <c r="C448" s="13" t="n">
        <v>52</v>
      </c>
      <c r="D448" s="13" t="s">
        <v>23</v>
      </c>
      <c r="E448" s="13" t="s">
        <v>32</v>
      </c>
      <c r="F448" s="13" t="n">
        <v>0</v>
      </c>
      <c r="G448" s="13" t="n">
        <v>0</v>
      </c>
      <c r="H448" s="13" t="n">
        <v>0</v>
      </c>
      <c r="I448" s="13" t="n">
        <f aca="false">H448-G448</f>
        <v>0</v>
      </c>
      <c r="J448" s="13" t="n">
        <f aca="false">H448-F448</f>
        <v>0</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0</v>
      </c>
      <c r="H450" s="13" t="n">
        <v>0</v>
      </c>
      <c r="I450" s="13" t="n">
        <f aca="false">H450-G450</f>
        <v>0</v>
      </c>
      <c r="J450" s="13" t="n">
        <f aca="false">H450-F450</f>
        <v>0</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44</v>
      </c>
      <c r="D485" s="13" t="s">
        <v>23</v>
      </c>
      <c r="E485" s="13" t="s">
        <v>22</v>
      </c>
      <c r="F485" s="13" t="n">
        <v>43</v>
      </c>
      <c r="G485" s="13" t="n">
        <v>43</v>
      </c>
      <c r="H485" s="13" t="n">
        <v>43</v>
      </c>
      <c r="I485" s="13" t="n">
        <f aca="false">H485-G485</f>
        <v>0</v>
      </c>
      <c r="J485" s="13" t="n">
        <f aca="false">H485-F485</f>
        <v>0</v>
      </c>
    </row>
    <row r="486" customFormat="false" ht="15" hidden="false" customHeight="false" outlineLevel="0" collapsed="false">
      <c r="A486" s="13" t="s">
        <v>93</v>
      </c>
      <c r="B486" s="13" t="s">
        <v>94</v>
      </c>
      <c r="C486" s="13" t="n">
        <v>44</v>
      </c>
      <c r="D486" s="13" t="s">
        <v>23</v>
      </c>
      <c r="E486" s="13" t="s">
        <v>24</v>
      </c>
      <c r="F486" s="13" t="n">
        <v>44</v>
      </c>
      <c r="G486" s="13" t="n">
        <v>44</v>
      </c>
      <c r="H486" s="13" t="n">
        <v>44</v>
      </c>
      <c r="I486" s="13" t="n">
        <f aca="false">H486-G486</f>
        <v>0</v>
      </c>
      <c r="J486" s="13" t="n">
        <f aca="false">H486-F486</f>
        <v>0</v>
      </c>
    </row>
    <row r="487" customFormat="false" ht="15" hidden="false" customHeight="false" outlineLevel="0" collapsed="false">
      <c r="A487" s="13" t="s">
        <v>93</v>
      </c>
      <c r="B487" s="13" t="s">
        <v>94</v>
      </c>
      <c r="C487" s="13" t="n">
        <v>44</v>
      </c>
      <c r="D487" s="13" t="s">
        <v>23</v>
      </c>
      <c r="E487" s="13" t="s">
        <v>25</v>
      </c>
      <c r="F487" s="13" t="n">
        <v>41</v>
      </c>
      <c r="G487" s="13" t="n">
        <v>41</v>
      </c>
      <c r="H487" s="13" t="n">
        <v>41</v>
      </c>
      <c r="I487" s="13" t="n">
        <f aca="false">H487-G487</f>
        <v>0</v>
      </c>
      <c r="J487" s="13" t="n">
        <f aca="false">H487-F487</f>
        <v>0</v>
      </c>
    </row>
    <row r="488" customFormat="false" ht="15" hidden="false" customHeight="false" outlineLevel="0" collapsed="false">
      <c r="A488" s="13" t="s">
        <v>93</v>
      </c>
      <c r="B488" s="13" t="s">
        <v>94</v>
      </c>
      <c r="C488" s="13" t="n">
        <v>44</v>
      </c>
      <c r="D488" s="13" t="s">
        <v>23</v>
      </c>
      <c r="E488" s="13" t="s">
        <v>26</v>
      </c>
      <c r="F488" s="13" t="n">
        <v>0</v>
      </c>
      <c r="G488" s="13" t="n">
        <v>0</v>
      </c>
      <c r="H488" s="13" t="n">
        <v>0</v>
      </c>
      <c r="I488" s="13" t="n">
        <f aca="false">H488-G488</f>
        <v>0</v>
      </c>
      <c r="J488" s="13" t="n">
        <f aca="false">H488-F488</f>
        <v>0</v>
      </c>
    </row>
    <row r="489" customFormat="false" ht="15" hidden="false" customHeight="false" outlineLevel="0" collapsed="false">
      <c r="A489" s="13" t="s">
        <v>93</v>
      </c>
      <c r="B489" s="13" t="s">
        <v>94</v>
      </c>
      <c r="C489" s="13" t="n">
        <v>44</v>
      </c>
      <c r="D489" s="13" t="s">
        <v>23</v>
      </c>
      <c r="E489" s="13" t="s">
        <v>27</v>
      </c>
      <c r="F489" s="13" t="n">
        <v>29</v>
      </c>
      <c r="G489" s="13" t="n">
        <v>29</v>
      </c>
      <c r="H489" s="13" t="n">
        <v>29</v>
      </c>
      <c r="I489" s="13" t="n">
        <f aca="false">H489-G489</f>
        <v>0</v>
      </c>
      <c r="J489" s="13" t="n">
        <f aca="false">H489-F489</f>
        <v>0</v>
      </c>
    </row>
    <row r="490" customFormat="false" ht="15" hidden="false" customHeight="false" outlineLevel="0" collapsed="false">
      <c r="A490" s="13" t="s">
        <v>93</v>
      </c>
      <c r="B490" s="13" t="s">
        <v>94</v>
      </c>
      <c r="C490" s="13" t="n">
        <v>44</v>
      </c>
      <c r="D490" s="13" t="s">
        <v>23</v>
      </c>
      <c r="E490" s="13" t="s">
        <v>28</v>
      </c>
      <c r="F490" s="13" t="n">
        <v>22</v>
      </c>
      <c r="G490" s="13" t="n">
        <v>22</v>
      </c>
      <c r="H490" s="13" t="n">
        <v>23</v>
      </c>
      <c r="I490" s="13" t="n">
        <f aca="false">H490-G490</f>
        <v>1</v>
      </c>
      <c r="J490" s="13" t="n">
        <f aca="false">H490-F490</f>
        <v>1</v>
      </c>
    </row>
    <row r="491" customFormat="false" ht="15" hidden="false" customHeight="false" outlineLevel="0" collapsed="false">
      <c r="A491" s="13" t="s">
        <v>93</v>
      </c>
      <c r="B491" s="13" t="s">
        <v>94</v>
      </c>
      <c r="C491" s="13" t="n">
        <v>44</v>
      </c>
      <c r="D491" s="13" t="s">
        <v>23</v>
      </c>
      <c r="E491" s="13" t="s">
        <v>29</v>
      </c>
      <c r="F491" s="13" t="n">
        <v>22</v>
      </c>
      <c r="G491" s="13" t="n">
        <v>22</v>
      </c>
      <c r="H491" s="13" t="n">
        <v>23</v>
      </c>
      <c r="I491" s="13" t="n">
        <f aca="false">H491-G491</f>
        <v>1</v>
      </c>
      <c r="J491" s="13" t="n">
        <f aca="false">H491-F491</f>
        <v>1</v>
      </c>
    </row>
    <row r="492" customFormat="false" ht="15" hidden="false" customHeight="false" outlineLevel="0" collapsed="false">
      <c r="A492" s="13" t="s">
        <v>93</v>
      </c>
      <c r="B492" s="13" t="s">
        <v>94</v>
      </c>
      <c r="C492" s="13" t="n">
        <v>44</v>
      </c>
      <c r="D492" s="13" t="s">
        <v>23</v>
      </c>
      <c r="E492" s="13" t="s">
        <v>30</v>
      </c>
      <c r="F492" s="13" t="n">
        <v>44</v>
      </c>
      <c r="G492" s="13" t="n">
        <v>44</v>
      </c>
      <c r="H492" s="13" t="n">
        <v>44</v>
      </c>
      <c r="I492" s="13" t="n">
        <f aca="false">H492-G492</f>
        <v>0</v>
      </c>
      <c r="J492" s="13" t="n">
        <f aca="false">H492-F492</f>
        <v>0</v>
      </c>
    </row>
    <row r="493" customFormat="false" ht="15" hidden="false" customHeight="false" outlineLevel="0" collapsed="false">
      <c r="A493" s="13" t="s">
        <v>93</v>
      </c>
      <c r="B493" s="13" t="s">
        <v>94</v>
      </c>
      <c r="C493" s="13" t="n">
        <v>44</v>
      </c>
      <c r="D493" s="13" t="s">
        <v>23</v>
      </c>
      <c r="E493" s="13" t="s">
        <v>31</v>
      </c>
      <c r="F493" s="13" t="n">
        <v>0</v>
      </c>
      <c r="G493" s="13" t="n">
        <v>0</v>
      </c>
      <c r="H493" s="13" t="n">
        <v>0</v>
      </c>
      <c r="I493" s="13" t="n">
        <f aca="false">H493-G493</f>
        <v>0</v>
      </c>
      <c r="J493" s="13" t="n">
        <f aca="false">H493-F493</f>
        <v>0</v>
      </c>
    </row>
    <row r="494" customFormat="false" ht="15" hidden="false" customHeight="false" outlineLevel="0" collapsed="false">
      <c r="A494" s="13" t="s">
        <v>93</v>
      </c>
      <c r="B494" s="13" t="s">
        <v>94</v>
      </c>
      <c r="C494" s="13" t="n">
        <v>44</v>
      </c>
      <c r="D494" s="13" t="s">
        <v>23</v>
      </c>
      <c r="E494" s="13" t="s">
        <v>32</v>
      </c>
      <c r="F494" s="13" t="n">
        <v>0</v>
      </c>
      <c r="G494" s="13" t="n">
        <v>0</v>
      </c>
      <c r="H494" s="13" t="n">
        <v>0</v>
      </c>
      <c r="I494" s="13" t="n">
        <f aca="false">H494-G494</f>
        <v>0</v>
      </c>
      <c r="J494" s="13" t="n">
        <f aca="false">H494-F494</f>
        <v>0</v>
      </c>
    </row>
    <row r="495" customFormat="false" ht="15" hidden="false" customHeight="false" outlineLevel="0" collapsed="false">
      <c r="A495" s="13" t="s">
        <v>93</v>
      </c>
      <c r="B495" s="13" t="s">
        <v>94</v>
      </c>
      <c r="C495" s="13" t="n">
        <v>44</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44</v>
      </c>
      <c r="D496" s="13" t="s">
        <v>23</v>
      </c>
      <c r="E496" s="13" t="s">
        <v>34</v>
      </c>
      <c r="F496" s="13" t="n">
        <v>44</v>
      </c>
      <c r="G496" s="13" t="n">
        <v>44</v>
      </c>
      <c r="H496" s="13" t="n">
        <v>44</v>
      </c>
      <c r="I496" s="13" t="n">
        <f aca="false">H496-G496</f>
        <v>0</v>
      </c>
      <c r="J496" s="13" t="n">
        <f aca="false">H496-F496</f>
        <v>0</v>
      </c>
    </row>
    <row r="497" customFormat="false" ht="15" hidden="false" customHeight="false" outlineLevel="0" collapsed="false">
      <c r="A497" s="13" t="s">
        <v>93</v>
      </c>
      <c r="B497" s="13" t="s">
        <v>94</v>
      </c>
      <c r="C497" s="13" t="n">
        <v>44</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44</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44</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44</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44</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44</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44</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44</v>
      </c>
      <c r="D504" s="13" t="s">
        <v>155</v>
      </c>
      <c r="E504" s="13" t="s">
        <v>43</v>
      </c>
      <c r="F504" s="13" t="n">
        <v>1</v>
      </c>
      <c r="G504" s="13" t="n">
        <v>1</v>
      </c>
      <c r="H504" s="13" t="n">
        <v>1</v>
      </c>
      <c r="I504" s="13" t="n">
        <f aca="false">H504-G504</f>
        <v>0</v>
      </c>
      <c r="J504" s="13" t="n">
        <f aca="false">H504-F504</f>
        <v>0</v>
      </c>
    </row>
    <row r="505" customFormat="false" ht="15" hidden="false" customHeight="false" outlineLevel="0" collapsed="false">
      <c r="A505" s="13" t="s">
        <v>93</v>
      </c>
      <c r="B505" s="13" t="s">
        <v>94</v>
      </c>
      <c r="C505" s="13" t="n">
        <v>44</v>
      </c>
      <c r="D505" s="13" t="s">
        <v>155</v>
      </c>
      <c r="E505" s="13" t="s">
        <v>44</v>
      </c>
      <c r="F505" s="13" t="n">
        <v>1</v>
      </c>
      <c r="G505" s="13" t="n">
        <v>1</v>
      </c>
      <c r="H505" s="13" t="n">
        <v>1</v>
      </c>
      <c r="I505" s="13" t="n">
        <f aca="false">H505-G505</f>
        <v>0</v>
      </c>
      <c r="J505" s="13" t="n">
        <f aca="false">H505-F505</f>
        <v>0</v>
      </c>
    </row>
    <row r="506" customFormat="false" ht="15" hidden="false" customHeight="false" outlineLevel="0" collapsed="false">
      <c r="A506" s="13" t="s">
        <v>93</v>
      </c>
      <c r="B506" s="13" t="s">
        <v>94</v>
      </c>
      <c r="C506" s="13" t="n">
        <v>44</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44</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39</v>
      </c>
      <c r="G508" s="13" t="n">
        <v>39</v>
      </c>
      <c r="H508" s="13" t="n">
        <v>39</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43</v>
      </c>
      <c r="G510" s="13" t="n">
        <v>43</v>
      </c>
      <c r="H510" s="13" t="n">
        <v>43</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35</v>
      </c>
      <c r="G511" s="13" t="n">
        <v>35</v>
      </c>
      <c r="H511" s="13" t="n">
        <v>35</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40</v>
      </c>
      <c r="G512" s="13" t="n">
        <v>40</v>
      </c>
      <c r="H512" s="13" t="n">
        <v>40</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41</v>
      </c>
      <c r="G513" s="13" t="n">
        <v>41</v>
      </c>
      <c r="H513" s="13" t="n">
        <v>41</v>
      </c>
      <c r="I513" s="13" t="n">
        <f aca="false">H513-G513</f>
        <v>0</v>
      </c>
      <c r="J513" s="13" t="n">
        <f aca="false">H513-F513</f>
        <v>0</v>
      </c>
    </row>
    <row r="514" customFormat="false" ht="15" hidden="false" customHeight="false" outlineLevel="0" collapsed="false">
      <c r="A514" s="13" t="s">
        <v>95</v>
      </c>
      <c r="B514" s="13" t="s">
        <v>96</v>
      </c>
      <c r="C514" s="13" t="n">
        <v>44</v>
      </c>
      <c r="D514" s="13" t="s">
        <v>23</v>
      </c>
      <c r="E514" s="13" t="s">
        <v>29</v>
      </c>
      <c r="F514" s="13" t="n">
        <v>0</v>
      </c>
      <c r="G514" s="13" t="n">
        <v>0</v>
      </c>
      <c r="H514" s="13" t="n">
        <v>0</v>
      </c>
      <c r="I514" s="13" t="n">
        <f aca="false">H514-G514</f>
        <v>0</v>
      </c>
      <c r="J514" s="13" t="n">
        <f aca="false">H514-F514</f>
        <v>0</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37</v>
      </c>
      <c r="G517" s="13" t="n">
        <v>37</v>
      </c>
      <c r="H517" s="13" t="n">
        <v>37</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0</v>
      </c>
      <c r="G527" s="13" t="n">
        <v>0</v>
      </c>
      <c r="H527" s="13" t="n">
        <v>0</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1</v>
      </c>
      <c r="I529" s="13" t="n">
        <f aca="false">H529-G529</f>
        <v>1</v>
      </c>
      <c r="J529" s="13" t="n">
        <f aca="false">H529-F529</f>
        <v>1</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32</v>
      </c>
      <c r="G531" s="13" t="n">
        <v>32</v>
      </c>
      <c r="H531" s="13" t="n">
        <v>32</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44</v>
      </c>
      <c r="G533" s="13" t="n">
        <v>44</v>
      </c>
      <c r="H533" s="13" t="n">
        <v>44</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38</v>
      </c>
      <c r="G534" s="13" t="n">
        <v>38</v>
      </c>
      <c r="H534" s="13" t="n">
        <v>40</v>
      </c>
      <c r="I534" s="13" t="n">
        <f aca="false">H534-G534</f>
        <v>2</v>
      </c>
      <c r="J534" s="13" t="n">
        <f aca="false">H534-F534</f>
        <v>2</v>
      </c>
    </row>
    <row r="535" customFormat="false" ht="15" hidden="false" customHeight="false" outlineLevel="0" collapsed="false">
      <c r="A535" s="13" t="s">
        <v>97</v>
      </c>
      <c r="B535" s="13" t="s">
        <v>98</v>
      </c>
      <c r="C535" s="13" t="n">
        <v>44</v>
      </c>
      <c r="D535" s="13" t="s">
        <v>23</v>
      </c>
      <c r="E535" s="13" t="s">
        <v>27</v>
      </c>
      <c r="F535" s="13" t="n">
        <v>39</v>
      </c>
      <c r="G535" s="13" t="n">
        <v>39</v>
      </c>
      <c r="H535" s="13" t="n">
        <v>40</v>
      </c>
      <c r="I535" s="13" t="n">
        <f aca="false">H535-G535</f>
        <v>1</v>
      </c>
      <c r="J535" s="13" t="n">
        <f aca="false">H535-F535</f>
        <v>1</v>
      </c>
    </row>
    <row r="536" customFormat="false" ht="15" hidden="false" customHeight="false" outlineLevel="0" collapsed="false">
      <c r="A536" s="13" t="s">
        <v>97</v>
      </c>
      <c r="B536" s="13" t="s">
        <v>98</v>
      </c>
      <c r="C536" s="13" t="n">
        <v>44</v>
      </c>
      <c r="D536" s="13" t="s">
        <v>23</v>
      </c>
      <c r="E536" s="13" t="s">
        <v>28</v>
      </c>
      <c r="F536" s="13" t="n">
        <v>34</v>
      </c>
      <c r="G536" s="13" t="n">
        <v>34</v>
      </c>
      <c r="H536" s="13" t="n">
        <v>40</v>
      </c>
      <c r="I536" s="13" t="n">
        <f aca="false">H536-G536</f>
        <v>6</v>
      </c>
      <c r="J536" s="13" t="n">
        <f aca="false">H536-F536</f>
        <v>6</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25</v>
      </c>
      <c r="G539" s="13" t="n">
        <v>25</v>
      </c>
      <c r="H539" s="13" t="n">
        <v>25</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30</v>
      </c>
      <c r="G540" s="13" t="n">
        <v>30</v>
      </c>
      <c r="H540" s="13" t="n">
        <v>30</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43</v>
      </c>
      <c r="G542" s="13" t="n">
        <v>43</v>
      </c>
      <c r="H542" s="13" t="n">
        <v>43</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1</v>
      </c>
      <c r="G546" s="13" t="n">
        <v>1</v>
      </c>
      <c r="H546" s="13" t="n">
        <v>1</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1</v>
      </c>
      <c r="G550" s="13" t="n">
        <v>1</v>
      </c>
      <c r="H550" s="13" t="n">
        <v>1</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0</v>
      </c>
      <c r="H552" s="13" t="n">
        <v>0</v>
      </c>
      <c r="I552" s="13" t="n">
        <f aca="false">H552-G552</f>
        <v>0</v>
      </c>
      <c r="J552" s="13" t="n">
        <f aca="false">H552-F552</f>
        <v>0</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42</v>
      </c>
      <c r="D554" s="13" t="s">
        <v>23</v>
      </c>
      <c r="E554" s="13" t="s">
        <v>22</v>
      </c>
      <c r="F554" s="13" t="n">
        <v>87</v>
      </c>
      <c r="G554" s="13" t="n">
        <v>69</v>
      </c>
      <c r="H554" s="13" t="n">
        <v>33</v>
      </c>
      <c r="I554" s="13" t="n">
        <f aca="false">H554-G554</f>
        <v>-36</v>
      </c>
      <c r="J554" s="13" t="n">
        <f aca="false">H554-F554</f>
        <v>-54</v>
      </c>
    </row>
    <row r="555" customFormat="false" ht="15" hidden="false" customHeight="false" outlineLevel="0" collapsed="false">
      <c r="A555" s="13" t="s">
        <v>99</v>
      </c>
      <c r="B555" s="13" t="s">
        <v>100</v>
      </c>
      <c r="C555" s="13" t="n">
        <v>42</v>
      </c>
      <c r="D555" s="13" t="s">
        <v>23</v>
      </c>
      <c r="E555" s="13" t="s">
        <v>24</v>
      </c>
      <c r="F555" s="13" t="n">
        <v>16</v>
      </c>
      <c r="G555" s="13" t="n">
        <v>16</v>
      </c>
      <c r="H555" s="13" t="n">
        <v>42</v>
      </c>
      <c r="I555" s="13" t="n">
        <f aca="false">H555-G555</f>
        <v>26</v>
      </c>
      <c r="J555" s="13" t="n">
        <f aca="false">H555-F555</f>
        <v>26</v>
      </c>
    </row>
    <row r="556" customFormat="false" ht="15" hidden="false" customHeight="false" outlineLevel="0" collapsed="false">
      <c r="A556" s="13" t="s">
        <v>99</v>
      </c>
      <c r="B556" s="13" t="s">
        <v>100</v>
      </c>
      <c r="C556" s="13" t="n">
        <v>42</v>
      </c>
      <c r="D556" s="13" t="s">
        <v>23</v>
      </c>
      <c r="E556" s="13" t="s">
        <v>25</v>
      </c>
      <c r="F556" s="13" t="n">
        <v>210</v>
      </c>
      <c r="G556" s="13" t="n">
        <v>210</v>
      </c>
      <c r="H556" s="13" t="n">
        <v>42</v>
      </c>
      <c r="I556" s="13" t="n">
        <f aca="false">H556-G556</f>
        <v>-168</v>
      </c>
      <c r="J556" s="13" t="n">
        <f aca="false">H556-F556</f>
        <v>-168</v>
      </c>
    </row>
    <row r="557" customFormat="false" ht="15" hidden="false" customHeight="false" outlineLevel="0" collapsed="false">
      <c r="A557" s="13" t="s">
        <v>99</v>
      </c>
      <c r="B557" s="13" t="s">
        <v>100</v>
      </c>
      <c r="C557" s="13" t="n">
        <v>42</v>
      </c>
      <c r="D557" s="13" t="s">
        <v>23</v>
      </c>
      <c r="E557" s="13" t="s">
        <v>26</v>
      </c>
      <c r="F557" s="13" t="n">
        <v>74</v>
      </c>
      <c r="G557" s="13" t="n">
        <v>74</v>
      </c>
      <c r="H557" s="13" t="n">
        <v>35</v>
      </c>
      <c r="I557" s="13" t="n">
        <f aca="false">H557-G557</f>
        <v>-39</v>
      </c>
      <c r="J557" s="13" t="n">
        <f aca="false">H557-F557</f>
        <v>-39</v>
      </c>
    </row>
    <row r="558" customFormat="false" ht="15" hidden="false" customHeight="false" outlineLevel="0" collapsed="false">
      <c r="A558" s="13" t="s">
        <v>99</v>
      </c>
      <c r="B558" s="13" t="s">
        <v>100</v>
      </c>
      <c r="C558" s="13" t="n">
        <v>42</v>
      </c>
      <c r="D558" s="13" t="s">
        <v>23</v>
      </c>
      <c r="E558" s="13" t="s">
        <v>27</v>
      </c>
      <c r="F558" s="13" t="n">
        <v>119</v>
      </c>
      <c r="G558" s="13" t="n">
        <v>119</v>
      </c>
      <c r="H558" s="13" t="n">
        <v>39</v>
      </c>
      <c r="I558" s="13" t="n">
        <f aca="false">H558-G558</f>
        <v>-80</v>
      </c>
      <c r="J558" s="13" t="n">
        <f aca="false">H558-F558</f>
        <v>-80</v>
      </c>
    </row>
    <row r="559" customFormat="false" ht="15" hidden="false" customHeight="false" outlineLevel="0" collapsed="false">
      <c r="A559" s="13" t="s">
        <v>99</v>
      </c>
      <c r="B559" s="13" t="s">
        <v>100</v>
      </c>
      <c r="C559" s="13" t="n">
        <v>42</v>
      </c>
      <c r="D559" s="13" t="s">
        <v>23</v>
      </c>
      <c r="E559" s="13" t="s">
        <v>28</v>
      </c>
      <c r="F559" s="13" t="n">
        <v>69</v>
      </c>
      <c r="G559" s="13" t="n">
        <v>69</v>
      </c>
      <c r="H559" s="13" t="n">
        <v>27</v>
      </c>
      <c r="I559" s="13" t="n">
        <f aca="false">H559-G559</f>
        <v>-42</v>
      </c>
      <c r="J559" s="13" t="n">
        <f aca="false">H559-F559</f>
        <v>-42</v>
      </c>
    </row>
    <row r="560" customFormat="false" ht="15" hidden="false" customHeight="false" outlineLevel="0" collapsed="false">
      <c r="A560" s="13" t="s">
        <v>99</v>
      </c>
      <c r="B560" s="13" t="s">
        <v>100</v>
      </c>
      <c r="C560" s="13" t="n">
        <v>42</v>
      </c>
      <c r="D560" s="13" t="s">
        <v>23</v>
      </c>
      <c r="E560" s="13" t="s">
        <v>29</v>
      </c>
      <c r="F560" s="13" t="n">
        <v>69</v>
      </c>
      <c r="G560" s="13" t="n">
        <v>69</v>
      </c>
      <c r="H560" s="13" t="n">
        <v>27</v>
      </c>
      <c r="I560" s="13" t="n">
        <f aca="false">H560-G560</f>
        <v>-42</v>
      </c>
      <c r="J560" s="13" t="n">
        <f aca="false">H560-F560</f>
        <v>-42</v>
      </c>
    </row>
    <row r="561" customFormat="false" ht="15" hidden="false" customHeight="false" outlineLevel="0" collapsed="false">
      <c r="A561" s="13" t="s">
        <v>99</v>
      </c>
      <c r="B561" s="13" t="s">
        <v>100</v>
      </c>
      <c r="C561" s="13" t="n">
        <v>42</v>
      </c>
      <c r="D561" s="13" t="s">
        <v>23</v>
      </c>
      <c r="E561" s="13" t="s">
        <v>30</v>
      </c>
      <c r="F561" s="13" t="n">
        <v>214</v>
      </c>
      <c r="G561" s="13" t="n">
        <v>214</v>
      </c>
      <c r="H561" s="13" t="n">
        <v>42</v>
      </c>
      <c r="I561" s="13" t="n">
        <f aca="false">H561-G561</f>
        <v>-172</v>
      </c>
      <c r="J561" s="13" t="n">
        <f aca="false">H561-F561</f>
        <v>-172</v>
      </c>
    </row>
    <row r="562" customFormat="false" ht="15" hidden="false" customHeight="false" outlineLevel="0" collapsed="false">
      <c r="A562" s="13" t="s">
        <v>99</v>
      </c>
      <c r="B562" s="13" t="s">
        <v>100</v>
      </c>
      <c r="C562" s="13" t="n">
        <v>42</v>
      </c>
      <c r="D562" s="13" t="s">
        <v>23</v>
      </c>
      <c r="E562" s="13" t="s">
        <v>31</v>
      </c>
      <c r="F562" s="13" t="n">
        <v>0</v>
      </c>
      <c r="G562" s="13" t="n">
        <v>0</v>
      </c>
      <c r="H562" s="13" t="n">
        <v>0</v>
      </c>
      <c r="I562" s="13" t="n">
        <f aca="false">H562-G562</f>
        <v>0</v>
      </c>
      <c r="J562" s="13" t="n">
        <f aca="false">H562-F562</f>
        <v>0</v>
      </c>
    </row>
    <row r="563" customFormat="false" ht="15" hidden="false" customHeight="false" outlineLevel="0" collapsed="false">
      <c r="A563" s="13" t="s">
        <v>99</v>
      </c>
      <c r="B563" s="13" t="s">
        <v>100</v>
      </c>
      <c r="C563" s="13" t="n">
        <v>42</v>
      </c>
      <c r="D563" s="13" t="s">
        <v>23</v>
      </c>
      <c r="E563" s="13" t="s">
        <v>32</v>
      </c>
      <c r="F563" s="13" t="n">
        <v>0</v>
      </c>
      <c r="G563" s="13" t="n">
        <v>0</v>
      </c>
      <c r="H563" s="13" t="n">
        <v>0</v>
      </c>
      <c r="I563" s="13" t="n">
        <f aca="false">H563-G563</f>
        <v>0</v>
      </c>
      <c r="J563" s="13" t="n">
        <f aca="false">H563-F563</f>
        <v>0</v>
      </c>
    </row>
    <row r="564" customFormat="false" ht="15" hidden="false" customHeight="false" outlineLevel="0" collapsed="false">
      <c r="A564" s="13" t="s">
        <v>99</v>
      </c>
      <c r="B564" s="13" t="s">
        <v>100</v>
      </c>
      <c r="C564" s="13" t="n">
        <v>42</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42</v>
      </c>
      <c r="D565" s="13" t="s">
        <v>23</v>
      </c>
      <c r="E565" s="13" t="s">
        <v>34</v>
      </c>
      <c r="F565" s="13" t="n">
        <v>2</v>
      </c>
      <c r="G565" s="13" t="n">
        <v>2</v>
      </c>
      <c r="H565" s="13" t="n">
        <v>2</v>
      </c>
      <c r="I565" s="13" t="n">
        <f aca="false">H565-G565</f>
        <v>0</v>
      </c>
      <c r="J565" s="13" t="n">
        <f aca="false">H565-F565</f>
        <v>0</v>
      </c>
    </row>
    <row r="566" customFormat="false" ht="15" hidden="false" customHeight="false" outlineLevel="0" collapsed="false">
      <c r="A566" s="13" t="s">
        <v>99</v>
      </c>
      <c r="B566" s="13" t="s">
        <v>100</v>
      </c>
      <c r="C566" s="13" t="n">
        <v>42</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42</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42</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42</v>
      </c>
      <c r="D569" s="13" t="s">
        <v>155</v>
      </c>
      <c r="E569" s="13" t="s">
        <v>39</v>
      </c>
      <c r="F569" s="13" t="n">
        <v>0</v>
      </c>
      <c r="G569" s="13" t="n">
        <v>0</v>
      </c>
      <c r="H569" s="13" t="n">
        <v>0</v>
      </c>
      <c r="I569" s="13" t="n">
        <f aca="false">H569-G569</f>
        <v>0</v>
      </c>
      <c r="J569" s="13" t="n">
        <f aca="false">H569-F569</f>
        <v>0</v>
      </c>
    </row>
    <row r="570" customFormat="false" ht="15" hidden="false" customHeight="false" outlineLevel="0" collapsed="false">
      <c r="A570" s="13" t="s">
        <v>99</v>
      </c>
      <c r="B570" s="13" t="s">
        <v>100</v>
      </c>
      <c r="C570" s="13" t="n">
        <v>42</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42</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42</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42</v>
      </c>
      <c r="D573" s="13" t="s">
        <v>155</v>
      </c>
      <c r="E573" s="13" t="s">
        <v>43</v>
      </c>
      <c r="F573" s="13" t="n">
        <v>0</v>
      </c>
      <c r="G573" s="13" t="n">
        <v>0</v>
      </c>
      <c r="H573" s="13" t="n">
        <v>0</v>
      </c>
      <c r="I573" s="13" t="n">
        <f aca="false">H573-G573</f>
        <v>0</v>
      </c>
      <c r="J573" s="13" t="n">
        <f aca="false">H573-F573</f>
        <v>0</v>
      </c>
    </row>
    <row r="574" customFormat="false" ht="15" hidden="false" customHeight="false" outlineLevel="0" collapsed="false">
      <c r="A574" s="13" t="s">
        <v>99</v>
      </c>
      <c r="B574" s="13" t="s">
        <v>100</v>
      </c>
      <c r="C574" s="13" t="n">
        <v>42</v>
      </c>
      <c r="D574" s="13" t="s">
        <v>155</v>
      </c>
      <c r="E574" s="13" t="s">
        <v>44</v>
      </c>
      <c r="F574" s="13" t="n">
        <v>0</v>
      </c>
      <c r="G574" s="13" t="n">
        <v>0</v>
      </c>
      <c r="H574" s="13" t="n">
        <v>0</v>
      </c>
      <c r="I574" s="13" t="n">
        <f aca="false">H574-G574</f>
        <v>0</v>
      </c>
      <c r="J574" s="13" t="n">
        <f aca="false">H574-F574</f>
        <v>0</v>
      </c>
    </row>
    <row r="575" customFormat="false" ht="15" hidden="false" customHeight="false" outlineLevel="0" collapsed="false">
      <c r="A575" s="13" t="s">
        <v>99</v>
      </c>
      <c r="B575" s="13" t="s">
        <v>100</v>
      </c>
      <c r="C575" s="13" t="n">
        <v>42</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42</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3</v>
      </c>
      <c r="H577" s="13" t="n">
        <v>42</v>
      </c>
      <c r="I577" s="13" t="n">
        <f aca="false">H577-G577</f>
        <v>39</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3</v>
      </c>
      <c r="H578" s="13" t="n">
        <v>42</v>
      </c>
      <c r="I578" s="13" t="n">
        <f aca="false">H578-G578</f>
        <v>39</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3</v>
      </c>
      <c r="H579" s="13" t="n">
        <v>42</v>
      </c>
      <c r="I579" s="13" t="n">
        <f aca="false">H579-G579</f>
        <v>39</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3</v>
      </c>
      <c r="H580" s="13" t="n">
        <v>42</v>
      </c>
      <c r="I580" s="13" t="n">
        <f aca="false">H580-G580</f>
        <v>39</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v>
      </c>
      <c r="H581" s="13" t="n">
        <v>38</v>
      </c>
      <c r="I581" s="13" t="n">
        <f aca="false">H581-G581</f>
        <v>35</v>
      </c>
      <c r="J581" s="13" t="n">
        <f aca="false">H581-F581</f>
        <v>35</v>
      </c>
    </row>
    <row r="582" customFormat="false" ht="15" hidden="false" customHeight="false" outlineLevel="0" collapsed="false">
      <c r="A582" s="13" t="s">
        <v>101</v>
      </c>
      <c r="B582" s="13" t="s">
        <v>102</v>
      </c>
      <c r="C582" s="13" t="n">
        <v>42</v>
      </c>
      <c r="D582" s="13" t="s">
        <v>23</v>
      </c>
      <c r="E582" s="13" t="s">
        <v>28</v>
      </c>
      <c r="F582" s="13" t="n">
        <v>0</v>
      </c>
      <c r="G582" s="13" t="n">
        <v>0</v>
      </c>
      <c r="H582" s="13" t="n">
        <v>10</v>
      </c>
      <c r="I582" s="13" t="n">
        <f aca="false">H582-G582</f>
        <v>10</v>
      </c>
      <c r="J582" s="13" t="n">
        <f aca="false">H582-F582</f>
        <v>10</v>
      </c>
    </row>
    <row r="583" customFormat="false" ht="15" hidden="false" customHeight="false" outlineLevel="0" collapsed="false">
      <c r="A583" s="13" t="s">
        <v>101</v>
      </c>
      <c r="B583" s="13" t="s">
        <v>102</v>
      </c>
      <c r="C583" s="13" t="n">
        <v>42</v>
      </c>
      <c r="D583" s="13" t="s">
        <v>23</v>
      </c>
      <c r="E583" s="13" t="s">
        <v>29</v>
      </c>
      <c r="F583" s="13" t="n">
        <v>0</v>
      </c>
      <c r="G583" s="13" t="n">
        <v>0</v>
      </c>
      <c r="H583" s="13" t="n">
        <v>10</v>
      </c>
      <c r="I583" s="13" t="n">
        <f aca="false">H583-G583</f>
        <v>10</v>
      </c>
      <c r="J583" s="13" t="n">
        <f aca="false">H583-F583</f>
        <v>10</v>
      </c>
    </row>
    <row r="584" customFormat="false" ht="15" hidden="false" customHeight="false" outlineLevel="0" collapsed="false">
      <c r="A584" s="13" t="s">
        <v>101</v>
      </c>
      <c r="B584" s="13" t="s">
        <v>102</v>
      </c>
      <c r="C584" s="13" t="n">
        <v>42</v>
      </c>
      <c r="D584" s="13" t="s">
        <v>23</v>
      </c>
      <c r="E584" s="13" t="s">
        <v>30</v>
      </c>
      <c r="F584" s="13" t="n">
        <v>3</v>
      </c>
      <c r="G584" s="13" t="n">
        <v>3</v>
      </c>
      <c r="H584" s="13" t="n">
        <v>42</v>
      </c>
      <c r="I584" s="13" t="n">
        <f aca="false">H584-G584</f>
        <v>39</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3</v>
      </c>
      <c r="H586" s="13" t="n">
        <v>41</v>
      </c>
      <c r="I586" s="13" t="n">
        <f aca="false">H586-G586</f>
        <v>38</v>
      </c>
      <c r="J586" s="13" t="n">
        <f aca="false">H586-F586</f>
        <v>38</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0</v>
      </c>
      <c r="H588" s="13" t="n">
        <v>1</v>
      </c>
      <c r="I588" s="13" t="n">
        <f aca="false">H588-G588</f>
        <v>1</v>
      </c>
      <c r="J588" s="13" t="n">
        <f aca="false">H588-F588</f>
        <v>1</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0</v>
      </c>
      <c r="H593" s="13" t="n">
        <v>1</v>
      </c>
      <c r="I593" s="13" t="n">
        <f aca="false">H593-G593</f>
        <v>1</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3</v>
      </c>
      <c r="H600" s="13" t="n">
        <v>41</v>
      </c>
      <c r="I600" s="13" t="n">
        <f aca="false">H600-G600</f>
        <v>38</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3</v>
      </c>
      <c r="H601" s="13" t="n">
        <v>41</v>
      </c>
      <c r="I601" s="13" t="n">
        <f aca="false">H601-G601</f>
        <v>38</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3</v>
      </c>
      <c r="H602" s="13" t="n">
        <v>41</v>
      </c>
      <c r="I602" s="13" t="n">
        <f aca="false">H602-G602</f>
        <v>38</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0</v>
      </c>
      <c r="H603" s="13" t="n">
        <v>3</v>
      </c>
      <c r="I603" s="13" t="n">
        <f aca="false">H603-G603</f>
        <v>3</v>
      </c>
      <c r="J603" s="13" t="n">
        <f aca="false">H603-F603</f>
        <v>3</v>
      </c>
    </row>
    <row r="604" customFormat="false" ht="15" hidden="false" customHeight="false" outlineLevel="0" collapsed="false">
      <c r="A604" s="13" t="s">
        <v>103</v>
      </c>
      <c r="B604" s="13" t="s">
        <v>104</v>
      </c>
      <c r="C604" s="13" t="n">
        <v>41</v>
      </c>
      <c r="D604" s="13" t="s">
        <v>23</v>
      </c>
      <c r="E604" s="13" t="s">
        <v>27</v>
      </c>
      <c r="F604" s="13" t="n">
        <v>3</v>
      </c>
      <c r="G604" s="13" t="n">
        <v>3</v>
      </c>
      <c r="H604" s="13" t="n">
        <v>40</v>
      </c>
      <c r="I604" s="13" t="n">
        <f aca="false">H604-G604</f>
        <v>37</v>
      </c>
      <c r="J604" s="13" t="n">
        <f aca="false">H604-F604</f>
        <v>37</v>
      </c>
    </row>
    <row r="605" customFormat="false" ht="15" hidden="false" customHeight="false" outlineLevel="0" collapsed="false">
      <c r="A605" s="13" t="s">
        <v>103</v>
      </c>
      <c r="B605" s="13" t="s">
        <v>104</v>
      </c>
      <c r="C605" s="13" t="n">
        <v>41</v>
      </c>
      <c r="D605" s="13" t="s">
        <v>23</v>
      </c>
      <c r="E605" s="13" t="s">
        <v>28</v>
      </c>
      <c r="F605" s="13" t="n">
        <v>3</v>
      </c>
      <c r="G605" s="13" t="n">
        <v>3</v>
      </c>
      <c r="H605" s="13" t="n">
        <v>38</v>
      </c>
      <c r="I605" s="13" t="n">
        <f aca="false">H605-G605</f>
        <v>35</v>
      </c>
      <c r="J605" s="13" t="n">
        <f aca="false">H605-F605</f>
        <v>35</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3</v>
      </c>
      <c r="H607" s="13" t="n">
        <v>41</v>
      </c>
      <c r="I607" s="13" t="n">
        <f aca="false">H607-G607</f>
        <v>38</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0</v>
      </c>
      <c r="H608" s="13" t="n">
        <v>0</v>
      </c>
      <c r="I608" s="13" t="n">
        <f aca="false">H608-G608</f>
        <v>0</v>
      </c>
      <c r="J608" s="13" t="n">
        <f aca="false">H608-F608</f>
        <v>0</v>
      </c>
    </row>
    <row r="609" customFormat="false" ht="15" hidden="false" customHeight="false" outlineLevel="0" collapsed="false">
      <c r="A609" s="13" t="s">
        <v>103</v>
      </c>
      <c r="B609" s="13" t="s">
        <v>104</v>
      </c>
      <c r="C609" s="13" t="n">
        <v>41</v>
      </c>
      <c r="D609" s="13" t="s">
        <v>23</v>
      </c>
      <c r="E609" s="13" t="s">
        <v>32</v>
      </c>
      <c r="F609" s="13" t="n">
        <v>3</v>
      </c>
      <c r="G609" s="13" t="n">
        <v>3</v>
      </c>
      <c r="H609" s="13" t="n">
        <v>3</v>
      </c>
      <c r="I609" s="13" t="n">
        <f aca="false">H609-G609</f>
        <v>0</v>
      </c>
      <c r="J609" s="13" t="n">
        <f aca="false">H609-F609</f>
        <v>0</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2</v>
      </c>
      <c r="H623" s="13" t="n">
        <v>11</v>
      </c>
      <c r="I623" s="13" t="n">
        <f aca="false">H623-G623</f>
        <v>9</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39</v>
      </c>
      <c r="H624" s="13" t="n">
        <v>40</v>
      </c>
      <c r="I624" s="13" t="n">
        <f aca="false">H624-G624</f>
        <v>1</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271</v>
      </c>
      <c r="H625" s="13" t="n">
        <v>40</v>
      </c>
      <c r="I625" s="13" t="n">
        <f aca="false">H625-G625</f>
        <v>-231</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1</v>
      </c>
      <c r="H626" s="13" t="n">
        <v>28</v>
      </c>
      <c r="I626" s="13" t="n">
        <f aca="false">H626-G626</f>
        <v>27</v>
      </c>
      <c r="J626" s="13" t="n">
        <f aca="false">H626-F626</f>
        <v>27</v>
      </c>
    </row>
    <row r="627" customFormat="false" ht="15" hidden="false" customHeight="false" outlineLevel="0" collapsed="false">
      <c r="A627" s="13" t="s">
        <v>105</v>
      </c>
      <c r="B627" s="13" t="s">
        <v>106</v>
      </c>
      <c r="C627" s="13" t="n">
        <v>40</v>
      </c>
      <c r="D627" s="13" t="s">
        <v>23</v>
      </c>
      <c r="E627" s="13" t="s">
        <v>27</v>
      </c>
      <c r="F627" s="13" t="n">
        <v>7</v>
      </c>
      <c r="G627" s="13" t="n">
        <v>7</v>
      </c>
      <c r="H627" s="13" t="n">
        <v>32</v>
      </c>
      <c r="I627" s="13" t="n">
        <f aca="false">H627-G627</f>
        <v>25</v>
      </c>
      <c r="J627" s="13" t="n">
        <f aca="false">H627-F627</f>
        <v>25</v>
      </c>
    </row>
    <row r="628" customFormat="false" ht="15" hidden="false" customHeight="false" outlineLevel="0" collapsed="false">
      <c r="A628" s="13" t="s">
        <v>105</v>
      </c>
      <c r="B628" s="13" t="s">
        <v>106</v>
      </c>
      <c r="C628" s="13" t="n">
        <v>40</v>
      </c>
      <c r="D628" s="13" t="s">
        <v>23</v>
      </c>
      <c r="E628" s="13" t="s">
        <v>28</v>
      </c>
      <c r="F628" s="13" t="n">
        <v>20</v>
      </c>
      <c r="G628" s="13" t="n">
        <v>24</v>
      </c>
      <c r="H628" s="13" t="n">
        <v>30</v>
      </c>
      <c r="I628" s="13" t="n">
        <f aca="false">H628-G628</f>
        <v>6</v>
      </c>
      <c r="J628" s="13" t="n">
        <f aca="false">H628-F628</f>
        <v>10</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276</v>
      </c>
      <c r="H630" s="13" t="n">
        <v>40</v>
      </c>
      <c r="I630" s="13" t="n">
        <f aca="false">H630-G630</f>
        <v>-236</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0</v>
      </c>
      <c r="H632" s="13" t="n">
        <v>0</v>
      </c>
      <c r="I632" s="13" t="n">
        <f aca="false">H632-G632</f>
        <v>0</v>
      </c>
      <c r="J632" s="13" t="n">
        <f aca="false">H632-F632</f>
        <v>0</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0</v>
      </c>
      <c r="H634" s="13" t="n">
        <v>0</v>
      </c>
      <c r="I634" s="13" t="n">
        <f aca="false">H634-G634</f>
        <v>0</v>
      </c>
      <c r="J634" s="13" t="n">
        <f aca="false">H634-F634</f>
        <v>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9</v>
      </c>
      <c r="H650" s="13" t="n">
        <v>9</v>
      </c>
      <c r="I650" s="13" t="n">
        <f aca="false">H650-G650</f>
        <v>0</v>
      </c>
      <c r="J650" s="13" t="n">
        <f aca="false">H650-F650</f>
        <v>0</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14</v>
      </c>
      <c r="H655" s="13" t="n">
        <v>14</v>
      </c>
      <c r="I655" s="13" t="n">
        <f aca="false">H655-G655</f>
        <v>0</v>
      </c>
      <c r="J655" s="13" t="n">
        <f aca="false">H655-F655</f>
        <v>0</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35</v>
      </c>
      <c r="H671" s="13" t="n">
        <v>36</v>
      </c>
      <c r="I671" s="13" t="n">
        <f aca="false">H671-G671</f>
        <v>1</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15</v>
      </c>
      <c r="H673" s="13" t="n">
        <v>17</v>
      </c>
      <c r="I673" s="13" t="n">
        <f aca="false">H673-G673</f>
        <v>2</v>
      </c>
      <c r="J673" s="13" t="n">
        <f aca="false">H673-F673</f>
        <v>2</v>
      </c>
    </row>
    <row r="674" customFormat="false" ht="15" hidden="false" customHeight="false" outlineLevel="0" collapsed="false">
      <c r="A674" s="13" t="s">
        <v>109</v>
      </c>
      <c r="B674" s="13" t="s">
        <v>110</v>
      </c>
      <c r="C674" s="13" t="n">
        <v>37</v>
      </c>
      <c r="D674" s="13" t="s">
        <v>23</v>
      </c>
      <c r="E674" s="13" t="s">
        <v>28</v>
      </c>
      <c r="F674" s="13" t="n">
        <v>9</v>
      </c>
      <c r="G674" s="13" t="n">
        <v>9</v>
      </c>
      <c r="H674" s="13" t="n">
        <v>12</v>
      </c>
      <c r="I674" s="13" t="n">
        <f aca="false">H674-G674</f>
        <v>3</v>
      </c>
      <c r="J674" s="13" t="n">
        <f aca="false">H674-F674</f>
        <v>3</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16</v>
      </c>
      <c r="H678" s="13" t="n">
        <v>10</v>
      </c>
      <c r="I678" s="13" t="n">
        <f aca="false">H678-G678</f>
        <v>-6</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17</v>
      </c>
      <c r="H692" s="13" t="n">
        <v>17</v>
      </c>
      <c r="I692" s="13" t="n">
        <f aca="false">H692-G692</f>
        <v>0</v>
      </c>
      <c r="J692" s="13" t="n">
        <f aca="false">H692-F692</f>
        <v>0</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29</v>
      </c>
      <c r="H694" s="13" t="n">
        <v>29</v>
      </c>
      <c r="I694" s="13" t="n">
        <f aca="false">H694-G694</f>
        <v>0</v>
      </c>
      <c r="J694" s="13" t="n">
        <f aca="false">H694-F694</f>
        <v>0</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22</v>
      </c>
      <c r="H696" s="13" t="n">
        <v>22</v>
      </c>
      <c r="I696" s="13" t="n">
        <f aca="false">H696-G696</f>
        <v>0</v>
      </c>
      <c r="J696" s="13" t="n">
        <f aca="false">H696-F696</f>
        <v>0</v>
      </c>
    </row>
    <row r="697" customFormat="false" ht="15" hidden="false" customHeight="false" outlineLevel="0" collapsed="false">
      <c r="A697" s="13" t="s">
        <v>111</v>
      </c>
      <c r="B697" s="13" t="s">
        <v>112</v>
      </c>
      <c r="C697" s="13" t="n">
        <v>31</v>
      </c>
      <c r="D697" s="13" t="s">
        <v>23</v>
      </c>
      <c r="E697" s="13" t="s">
        <v>28</v>
      </c>
      <c r="F697" s="13" t="n">
        <v>11</v>
      </c>
      <c r="G697" s="13" t="n">
        <v>11</v>
      </c>
      <c r="H697" s="13" t="n">
        <v>12</v>
      </c>
      <c r="I697" s="13" t="n">
        <f aca="false">H697-G697</f>
        <v>1</v>
      </c>
      <c r="J697" s="13" t="n">
        <f aca="false">H697-F697</f>
        <v>1</v>
      </c>
    </row>
    <row r="698" customFormat="false" ht="15" hidden="false" customHeight="false" outlineLevel="0" collapsed="false">
      <c r="A698" s="13" t="s">
        <v>111</v>
      </c>
      <c r="B698" s="13" t="s">
        <v>112</v>
      </c>
      <c r="C698" s="13" t="n">
        <v>31</v>
      </c>
      <c r="D698" s="13" t="s">
        <v>23</v>
      </c>
      <c r="E698" s="13" t="s">
        <v>29</v>
      </c>
      <c r="F698" s="13" t="n">
        <v>11</v>
      </c>
      <c r="G698" s="13" t="n">
        <v>11</v>
      </c>
      <c r="H698" s="13" t="n">
        <v>12</v>
      </c>
      <c r="I698" s="13" t="n">
        <f aca="false">H698-G698</f>
        <v>1</v>
      </c>
      <c r="J698" s="13" t="n">
        <f aca="false">H698-F698</f>
        <v>1</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0</v>
      </c>
      <c r="H700" s="13" t="n">
        <v>0</v>
      </c>
      <c r="I700" s="13" t="n">
        <f aca="false">H700-G700</f>
        <v>0</v>
      </c>
      <c r="J700" s="13" t="n">
        <f aca="false">H700-F700</f>
        <v>0</v>
      </c>
    </row>
    <row r="701" customFormat="false" ht="15" hidden="false" customHeight="false" outlineLevel="0" collapsed="false">
      <c r="A701" s="13" t="s">
        <v>111</v>
      </c>
      <c r="B701" s="13" t="s">
        <v>112</v>
      </c>
      <c r="C701" s="13" t="n">
        <v>31</v>
      </c>
      <c r="D701" s="13" t="s">
        <v>23</v>
      </c>
      <c r="E701" s="13" t="s">
        <v>32</v>
      </c>
      <c r="F701" s="13" t="n">
        <v>14</v>
      </c>
      <c r="G701" s="13" t="n">
        <v>14</v>
      </c>
      <c r="H701" s="13" t="n">
        <v>14</v>
      </c>
      <c r="I701" s="13" t="n">
        <f aca="false">H701-G701</f>
        <v>0</v>
      </c>
      <c r="J701" s="13" t="n">
        <f aca="false">H701-F701</f>
        <v>0</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29</v>
      </c>
      <c r="H717" s="13" t="n">
        <v>30</v>
      </c>
      <c r="I717" s="13" t="n">
        <f aca="false">H717-G717</f>
        <v>1</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6</v>
      </c>
      <c r="H718" s="13" t="n">
        <v>7</v>
      </c>
      <c r="I718" s="13" t="n">
        <f aca="false">H718-G718</f>
        <v>1</v>
      </c>
      <c r="J718" s="13" t="n">
        <f aca="false">H718-F718</f>
        <v>1</v>
      </c>
    </row>
    <row r="719" customFormat="false" ht="15" hidden="false" customHeight="false" outlineLevel="0" collapsed="false">
      <c r="A719" s="13" t="s">
        <v>113</v>
      </c>
      <c r="B719" s="13" t="s">
        <v>114</v>
      </c>
      <c r="C719" s="13" t="n">
        <v>30</v>
      </c>
      <c r="D719" s="13" t="s">
        <v>23</v>
      </c>
      <c r="E719" s="13" t="s">
        <v>27</v>
      </c>
      <c r="F719" s="13" t="n">
        <v>23</v>
      </c>
      <c r="G719" s="13" t="n">
        <v>23</v>
      </c>
      <c r="H719" s="13" t="n">
        <v>29</v>
      </c>
      <c r="I719" s="13" t="n">
        <f aca="false">H719-G719</f>
        <v>6</v>
      </c>
      <c r="J719" s="13" t="n">
        <f aca="false">H719-F719</f>
        <v>6</v>
      </c>
    </row>
    <row r="720" customFormat="false" ht="15" hidden="false" customHeight="false" outlineLevel="0" collapsed="false">
      <c r="A720" s="13" t="s">
        <v>113</v>
      </c>
      <c r="B720" s="13" t="s">
        <v>114</v>
      </c>
      <c r="C720" s="13" t="n">
        <v>30</v>
      </c>
      <c r="D720" s="13" t="s">
        <v>23</v>
      </c>
      <c r="E720" s="13" t="s">
        <v>28</v>
      </c>
      <c r="F720" s="13" t="n">
        <v>7</v>
      </c>
      <c r="G720" s="13" t="n">
        <v>7</v>
      </c>
      <c r="H720" s="13" t="n">
        <v>10</v>
      </c>
      <c r="I720" s="13" t="n">
        <f aca="false">H720-G720</f>
        <v>3</v>
      </c>
      <c r="J720" s="13" t="n">
        <f aca="false">H720-F720</f>
        <v>3</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3</v>
      </c>
      <c r="I741" s="13" t="n">
        <f aca="false">H741-G741</f>
        <v>3</v>
      </c>
      <c r="J741" s="13" t="n">
        <f aca="false">H741-F741</f>
        <v>3</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0</v>
      </c>
      <c r="H749" s="13" t="n">
        <v>0</v>
      </c>
      <c r="I749" s="13" t="n">
        <f aca="false">H749-G749</f>
        <v>0</v>
      </c>
      <c r="J749" s="13" t="n">
        <f aca="false">H749-F749</f>
        <v>0</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4</v>
      </c>
      <c r="H765" s="13" t="n">
        <v>4</v>
      </c>
      <c r="I765" s="13" t="n">
        <f aca="false">H765-G765</f>
        <v>0</v>
      </c>
      <c r="J765" s="13" t="n">
        <f aca="false">H765-F765</f>
        <v>0</v>
      </c>
    </row>
    <row r="766" customFormat="false" ht="15" hidden="false" customHeight="false" outlineLevel="0" collapsed="false">
      <c r="A766" s="13" t="s">
        <v>117</v>
      </c>
      <c r="B766" s="13" t="s">
        <v>118</v>
      </c>
      <c r="C766" s="13" t="n">
        <v>27</v>
      </c>
      <c r="D766" s="13" t="s">
        <v>23</v>
      </c>
      <c r="E766" s="13" t="s">
        <v>28</v>
      </c>
      <c r="F766" s="13" t="n">
        <v>2</v>
      </c>
      <c r="G766" s="13" t="n">
        <v>2</v>
      </c>
      <c r="H766" s="13" t="n">
        <v>3</v>
      </c>
      <c r="I766" s="13" t="n">
        <f aca="false">H766-G766</f>
        <v>1</v>
      </c>
      <c r="J766" s="13" t="n">
        <f aca="false">H766-F766</f>
        <v>1</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0</v>
      </c>
      <c r="H772" s="13" t="n">
        <v>0</v>
      </c>
      <c r="I772" s="13" t="n">
        <f aca="false">H772-G772</f>
        <v>0</v>
      </c>
      <c r="J772" s="13" t="n">
        <f aca="false">H772-F772</f>
        <v>0</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59</v>
      </c>
      <c r="H784" s="13" t="n">
        <v>22</v>
      </c>
      <c r="I784" s="13" t="n">
        <f aca="false">H784-G784</f>
        <v>-37</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7</v>
      </c>
      <c r="H785" s="13" t="n">
        <v>22</v>
      </c>
      <c r="I785" s="13" t="n">
        <f aca="false">H785-G785</f>
        <v>15</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54</v>
      </c>
      <c r="H786" s="13" t="n">
        <v>17</v>
      </c>
      <c r="I786" s="13" t="n">
        <f aca="false">H786-G786</f>
        <v>-37</v>
      </c>
      <c r="J786" s="13" t="n">
        <f aca="false">H786-F786</f>
        <v>-37</v>
      </c>
    </row>
    <row r="787" customFormat="false" ht="15" hidden="false" customHeight="false" outlineLevel="0" collapsed="false">
      <c r="A787" s="13" t="s">
        <v>119</v>
      </c>
      <c r="B787" s="13" t="s">
        <v>120</v>
      </c>
      <c r="C787" s="13" t="n">
        <v>22</v>
      </c>
      <c r="D787" s="13" t="s">
        <v>23</v>
      </c>
      <c r="E787" s="13" t="s">
        <v>26</v>
      </c>
      <c r="F787" s="13" t="n">
        <v>49</v>
      </c>
      <c r="G787" s="13" t="n">
        <v>49</v>
      </c>
      <c r="H787" s="13" t="n">
        <v>19</v>
      </c>
      <c r="I787" s="13" t="n">
        <f aca="false">H787-G787</f>
        <v>-30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59</v>
      </c>
      <c r="H788" s="13" t="n">
        <v>22</v>
      </c>
      <c r="I788" s="13" t="n">
        <f aca="false">H788-G788</f>
        <v>-37</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41</v>
      </c>
      <c r="H789" s="13" t="n">
        <v>15</v>
      </c>
      <c r="I789" s="13" t="n">
        <f aca="false">H789-G789</f>
        <v>-26</v>
      </c>
      <c r="J789" s="13" t="n">
        <f aca="false">H789-F789</f>
        <v>-26</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59</v>
      </c>
      <c r="H791" s="13" t="n">
        <v>22</v>
      </c>
      <c r="I791" s="13" t="n">
        <f aca="false">H791-G791</f>
        <v>-37</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4</v>
      </c>
      <c r="H793" s="13" t="n">
        <v>3</v>
      </c>
      <c r="I793" s="13" t="n">
        <f aca="false">H793-G793</f>
        <v>-1</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38</v>
      </c>
      <c r="H795" s="13" t="n">
        <v>14</v>
      </c>
      <c r="I795" s="13" t="n">
        <f aca="false">H795-G795</f>
        <v>-24</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21</v>
      </c>
      <c r="H807" s="13" t="n">
        <v>15</v>
      </c>
      <c r="I807" s="13" t="n">
        <f aca="false">H807-G807</f>
        <v>-6</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14</v>
      </c>
      <c r="H808" s="13" t="n">
        <v>22</v>
      </c>
      <c r="I808" s="13" t="n">
        <f aca="false">H808-G808</f>
        <v>8</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215</v>
      </c>
      <c r="H809" s="13" t="n">
        <v>22</v>
      </c>
      <c r="I809" s="13" t="n">
        <f aca="false">H809-G809</f>
        <v>-193</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50</v>
      </c>
      <c r="H810" s="13" t="n">
        <v>6</v>
      </c>
      <c r="I810" s="13" t="n">
        <f aca="false">H810-G810</f>
        <v>-44</v>
      </c>
      <c r="J810" s="13" t="n">
        <f aca="false">H810-F810</f>
        <v>-44</v>
      </c>
    </row>
    <row r="811" customFormat="false" ht="15" hidden="false" customHeight="false" outlineLevel="0" collapsed="false">
      <c r="A811" s="13" t="s">
        <v>121</v>
      </c>
      <c r="B811" s="13" t="s">
        <v>122</v>
      </c>
      <c r="C811" s="13" t="n">
        <v>22</v>
      </c>
      <c r="D811" s="13" t="s">
        <v>23</v>
      </c>
      <c r="E811" s="13" t="s">
        <v>27</v>
      </c>
      <c r="F811" s="13" t="n">
        <v>86</v>
      </c>
      <c r="G811" s="13" t="n">
        <v>86</v>
      </c>
      <c r="H811" s="13" t="n">
        <v>11</v>
      </c>
      <c r="I811" s="13" t="n">
        <f aca="false">H811-G811</f>
        <v>-75</v>
      </c>
      <c r="J811" s="13" t="n">
        <f aca="false">H811-F811</f>
        <v>-75</v>
      </c>
    </row>
    <row r="812" customFormat="false" ht="15" hidden="false" customHeight="false" outlineLevel="0" collapsed="false">
      <c r="A812" s="13" t="s">
        <v>121</v>
      </c>
      <c r="B812" s="13" t="s">
        <v>122</v>
      </c>
      <c r="C812" s="13" t="n">
        <v>22</v>
      </c>
      <c r="D812" s="13" t="s">
        <v>23</v>
      </c>
      <c r="E812" s="13" t="s">
        <v>28</v>
      </c>
      <c r="F812" s="13" t="n">
        <v>90</v>
      </c>
      <c r="G812" s="13" t="n">
        <v>90</v>
      </c>
      <c r="H812" s="13" t="n">
        <v>9</v>
      </c>
      <c r="I812" s="13" t="n">
        <f aca="false">H812-G812</f>
        <v>-81</v>
      </c>
      <c r="J812" s="13" t="n">
        <f aca="false">H812-F812</f>
        <v>-81</v>
      </c>
    </row>
    <row r="813" customFormat="false" ht="15" hidden="false" customHeight="false" outlineLevel="0" collapsed="false">
      <c r="A813" s="13" t="s">
        <v>121</v>
      </c>
      <c r="B813" s="13" t="s">
        <v>122</v>
      </c>
      <c r="C813" s="13" t="n">
        <v>22</v>
      </c>
      <c r="D813" s="13" t="s">
        <v>23</v>
      </c>
      <c r="E813" s="13" t="s">
        <v>29</v>
      </c>
      <c r="F813" s="13" t="n">
        <v>18</v>
      </c>
      <c r="G813" s="13" t="n">
        <v>18</v>
      </c>
      <c r="H813" s="13" t="n">
        <v>0</v>
      </c>
      <c r="I813" s="13" t="n">
        <f aca="false">H813-G813</f>
        <v>-18</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215</v>
      </c>
      <c r="H814" s="13" t="n">
        <v>22</v>
      </c>
      <c r="I814" s="13" t="n">
        <f aca="false">H814-G814</f>
        <v>-193</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74</v>
      </c>
      <c r="H830" s="13" t="n">
        <v>18</v>
      </c>
      <c r="I830" s="13" t="n">
        <f aca="false">H830-G830</f>
        <v>-56</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5</v>
      </c>
      <c r="H831" s="13" t="n">
        <v>20</v>
      </c>
      <c r="I831" s="13" t="n">
        <f aca="false">H831-G831</f>
        <v>15</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110</v>
      </c>
      <c r="H832" s="13" t="n">
        <v>18</v>
      </c>
      <c r="I832" s="13" t="n">
        <f aca="false">H832-G832</f>
        <v>-92</v>
      </c>
      <c r="J832" s="13" t="n">
        <f aca="false">H832-F832</f>
        <v>-92</v>
      </c>
    </row>
    <row r="833" customFormat="false" ht="15" hidden="false" customHeight="false" outlineLevel="0" collapsed="false">
      <c r="A833" s="13" t="s">
        <v>123</v>
      </c>
      <c r="B833" s="13" t="s">
        <v>124</v>
      </c>
      <c r="C833" s="13" t="n">
        <v>20</v>
      </c>
      <c r="D833" s="13" t="s">
        <v>23</v>
      </c>
      <c r="E833" s="13" t="s">
        <v>26</v>
      </c>
      <c r="F833" s="13" t="n">
        <v>81</v>
      </c>
      <c r="G833" s="13" t="n">
        <v>81</v>
      </c>
      <c r="H833" s="13" t="n">
        <v>11</v>
      </c>
      <c r="I833" s="13" t="n">
        <f aca="false">H833-G833</f>
        <v>-70</v>
      </c>
      <c r="J833" s="13" t="n">
        <f aca="false">H833-F833</f>
        <v>-70</v>
      </c>
    </row>
    <row r="834" customFormat="false" ht="15" hidden="false" customHeight="false" outlineLevel="0" collapsed="false">
      <c r="A834" s="13" t="s">
        <v>123</v>
      </c>
      <c r="B834" s="13" t="s">
        <v>124</v>
      </c>
      <c r="C834" s="13" t="n">
        <v>20</v>
      </c>
      <c r="D834" s="13" t="s">
        <v>23</v>
      </c>
      <c r="E834" s="13" t="s">
        <v>27</v>
      </c>
      <c r="F834" s="13" t="n">
        <v>85</v>
      </c>
      <c r="G834" s="13" t="n">
        <v>86</v>
      </c>
      <c r="H834" s="13" t="n">
        <v>17</v>
      </c>
      <c r="I834" s="13" t="n">
        <f aca="false">H834-G834</f>
        <v>-69</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82</v>
      </c>
      <c r="H835" s="13" t="n">
        <v>17</v>
      </c>
      <c r="I835" s="13" t="n">
        <f aca="false">H835-G835</f>
        <v>-65</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117</v>
      </c>
      <c r="H837" s="13" t="n">
        <v>20</v>
      </c>
      <c r="I837" s="13" t="n">
        <f aca="false">H837-G837</f>
        <v>-97</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0</v>
      </c>
      <c r="H838" s="13" t="n">
        <v>0</v>
      </c>
      <c r="I838" s="13" t="n">
        <f aca="false">H838-G838</f>
        <v>0</v>
      </c>
      <c r="J838" s="13" t="n">
        <f aca="false">H838-F838</f>
        <v>0</v>
      </c>
    </row>
    <row r="839" customFormat="false" ht="15" hidden="false" customHeight="false" outlineLevel="0" collapsed="false">
      <c r="A839" s="13" t="s">
        <v>123</v>
      </c>
      <c r="B839" s="13" t="s">
        <v>124</v>
      </c>
      <c r="C839" s="13" t="n">
        <v>20</v>
      </c>
      <c r="D839" s="13" t="s">
        <v>23</v>
      </c>
      <c r="E839" s="13" t="s">
        <v>32</v>
      </c>
      <c r="F839" s="13" t="n">
        <v>0</v>
      </c>
      <c r="G839" s="13" t="n">
        <v>0</v>
      </c>
      <c r="H839" s="13" t="n">
        <v>0</v>
      </c>
      <c r="I839" s="13" t="n">
        <f aca="false">H839-G839</f>
        <v>0</v>
      </c>
      <c r="J839" s="13" t="n">
        <f aca="false">H839-F839</f>
        <v>0</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1</v>
      </c>
      <c r="H841" s="13" t="n">
        <v>0</v>
      </c>
      <c r="I841" s="13" t="n">
        <f aca="false">H841-G841</f>
        <v>-1</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v>
      </c>
      <c r="H876" s="13" t="n">
        <v>13</v>
      </c>
      <c r="I876" s="13" t="n">
        <f aca="false">H876-G876</f>
        <v>12</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2</v>
      </c>
      <c r="H877" s="13" t="n">
        <v>14</v>
      </c>
      <c r="I877" s="13" t="n">
        <f aca="false">H877-G877</f>
        <v>12</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2</v>
      </c>
      <c r="H878" s="13" t="n">
        <v>14</v>
      </c>
      <c r="I878" s="13" t="n">
        <f aca="false">H878-G878</f>
        <v>12</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v>
      </c>
      <c r="H879" s="13" t="n">
        <v>11</v>
      </c>
      <c r="I879" s="13" t="n">
        <f aca="false">H879-G879</f>
        <v>10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v>
      </c>
      <c r="H880" s="13" t="n">
        <v>13</v>
      </c>
      <c r="I880" s="13" t="n">
        <f aca="false">H880-G880</f>
        <v>12</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0</v>
      </c>
      <c r="H881" s="13" t="n">
        <v>9</v>
      </c>
      <c r="I881" s="13" t="n">
        <f aca="false">H881-G881</f>
        <v>9</v>
      </c>
      <c r="J881" s="13" t="n">
        <f aca="false">H881-F881</f>
        <v>9</v>
      </c>
    </row>
    <row r="882" customFormat="false" ht="15" hidden="false" customHeight="false" outlineLevel="0" collapsed="false">
      <c r="A882" s="13" t="s">
        <v>127</v>
      </c>
      <c r="B882" s="13" t="s">
        <v>128</v>
      </c>
      <c r="C882" s="13" t="n">
        <v>14</v>
      </c>
      <c r="D882" s="13" t="s">
        <v>23</v>
      </c>
      <c r="E882" s="13" t="s">
        <v>29</v>
      </c>
      <c r="F882" s="13" t="n">
        <v>0</v>
      </c>
      <c r="G882" s="13" t="n">
        <v>0</v>
      </c>
      <c r="H882" s="13" t="n">
        <v>9</v>
      </c>
      <c r="I882" s="13" t="n">
        <f aca="false">H882-G882</f>
        <v>9</v>
      </c>
      <c r="J882" s="13" t="n">
        <f aca="false">H882-F882</f>
        <v>9</v>
      </c>
    </row>
    <row r="883" customFormat="false" ht="15" hidden="false" customHeight="false" outlineLevel="0" collapsed="false">
      <c r="A883" s="13" t="s">
        <v>127</v>
      </c>
      <c r="B883" s="13" t="s">
        <v>128</v>
      </c>
      <c r="C883" s="13" t="n">
        <v>14</v>
      </c>
      <c r="D883" s="13" t="s">
        <v>23</v>
      </c>
      <c r="E883" s="13" t="s">
        <v>30</v>
      </c>
      <c r="F883" s="13" t="n">
        <v>2</v>
      </c>
      <c r="G883" s="13" t="n">
        <v>2</v>
      </c>
      <c r="H883" s="13" t="n">
        <v>14</v>
      </c>
      <c r="I883" s="13" t="n">
        <f aca="false">H883-G883</f>
        <v>12</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0</v>
      </c>
      <c r="H884" s="13" t="n">
        <v>0</v>
      </c>
      <c r="I884" s="13" t="n">
        <f aca="false">H884-G884</f>
        <v>0</v>
      </c>
      <c r="J884" s="13" t="n">
        <f aca="false">H884-F884</f>
        <v>0</v>
      </c>
    </row>
    <row r="885" customFormat="false" ht="15" hidden="false" customHeight="false" outlineLevel="0" collapsed="false">
      <c r="A885" s="13" t="s">
        <v>127</v>
      </c>
      <c r="B885" s="13" t="s">
        <v>128</v>
      </c>
      <c r="C885" s="13" t="n">
        <v>14</v>
      </c>
      <c r="D885" s="13" t="s">
        <v>23</v>
      </c>
      <c r="E885" s="13" t="s">
        <v>32</v>
      </c>
      <c r="F885" s="13" t="n">
        <v>0</v>
      </c>
      <c r="G885" s="13" t="n">
        <v>0</v>
      </c>
      <c r="H885" s="13" t="n">
        <v>0</v>
      </c>
      <c r="I885" s="13" t="n">
        <f aca="false">H885-G885</f>
        <v>0</v>
      </c>
      <c r="J885" s="13" t="n">
        <f aca="false">H885-F885</f>
        <v>0</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0</v>
      </c>
      <c r="H887" s="13" t="n">
        <v>3</v>
      </c>
      <c r="I887" s="13" t="n">
        <f aca="false">H887-G887</f>
        <v>3</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0</v>
      </c>
      <c r="H892" s="13" t="n">
        <v>1</v>
      </c>
      <c r="I892" s="13" t="n">
        <f aca="false">H892-G892</f>
        <v>1</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10</v>
      </c>
      <c r="H903" s="13" t="n">
        <v>10</v>
      </c>
      <c r="I903" s="13" t="n">
        <f aca="false">H903-G903</f>
        <v>0</v>
      </c>
      <c r="J903" s="13" t="n">
        <f aca="false">H903-F903</f>
        <v>0</v>
      </c>
    </row>
    <row r="904" customFormat="false" ht="15" hidden="false" customHeight="false" outlineLevel="0" collapsed="false">
      <c r="A904" s="13" t="s">
        <v>129</v>
      </c>
      <c r="B904" s="13" t="s">
        <v>130</v>
      </c>
      <c r="C904" s="13" t="n">
        <v>13</v>
      </c>
      <c r="D904" s="13" t="s">
        <v>23</v>
      </c>
      <c r="E904" s="13" t="s">
        <v>28</v>
      </c>
      <c r="F904" s="13" t="n">
        <v>10</v>
      </c>
      <c r="G904" s="13" t="n">
        <v>10</v>
      </c>
      <c r="H904" s="13" t="n">
        <v>10</v>
      </c>
      <c r="I904" s="13" t="n">
        <f aca="false">H904-G904</f>
        <v>0</v>
      </c>
      <c r="J904" s="13" t="n">
        <f aca="false">H904-F904</f>
        <v>0</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36</v>
      </c>
      <c r="H945" s="13" t="n">
        <v>11</v>
      </c>
      <c r="I945" s="13" t="n">
        <f aca="false">H945-G945</f>
        <v>-25</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4</v>
      </c>
      <c r="H946" s="13" t="n">
        <v>11</v>
      </c>
      <c r="I946" s="13" t="n">
        <f aca="false">H946-G946</f>
        <v>7</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29</v>
      </c>
      <c r="H947" s="13" t="n">
        <v>10</v>
      </c>
      <c r="I947" s="13" t="n">
        <f aca="false">H947-G947</f>
        <v>-19</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20</v>
      </c>
      <c r="H948" s="13" t="n">
        <v>7</v>
      </c>
      <c r="I948" s="13" t="n">
        <f aca="false">H948-G948</f>
        <v>-13</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34</v>
      </c>
      <c r="H949" s="13" t="n">
        <v>11</v>
      </c>
      <c r="I949" s="13" t="n">
        <f aca="false">H949-G949</f>
        <v>-23</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32</v>
      </c>
      <c r="H950" s="13" t="n">
        <v>11</v>
      </c>
      <c r="I950" s="13" t="n">
        <f aca="false">H950-G950</f>
        <v>-21</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32</v>
      </c>
      <c r="H951" s="13" t="n">
        <v>11</v>
      </c>
      <c r="I951" s="13" t="n">
        <f aca="false">H951-G951</f>
        <v>-21</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36</v>
      </c>
      <c r="H952" s="13" t="n">
        <v>11</v>
      </c>
      <c r="I952" s="13" t="n">
        <f aca="false">H952-G952</f>
        <v>-25</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0</v>
      </c>
      <c r="H954" s="13" t="n">
        <v>0</v>
      </c>
      <c r="I954" s="13" t="n">
        <f aca="false">H954-G954</f>
        <v>0</v>
      </c>
      <c r="J954" s="13" t="n">
        <f aca="false">H954-F954</f>
        <v>0</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2</v>
      </c>
      <c r="H968" s="13" t="n">
        <v>6</v>
      </c>
      <c r="I968" s="13" t="n">
        <f aca="false">H968-G968</f>
        <v>4</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4</v>
      </c>
      <c r="H969" s="13" t="n">
        <v>8</v>
      </c>
      <c r="I969" s="13" t="n">
        <f aca="false">H969-G969</f>
        <v>4</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4</v>
      </c>
      <c r="H970" s="13" t="n">
        <v>8</v>
      </c>
      <c r="I970" s="13" t="n">
        <f aca="false">H970-G970</f>
        <v>4</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2</v>
      </c>
      <c r="H971" s="13" t="n">
        <v>5</v>
      </c>
      <c r="I971" s="13" t="n">
        <f aca="false">H971-G971</f>
        <v>3</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1</v>
      </c>
      <c r="H972" s="13" t="n">
        <v>5</v>
      </c>
      <c r="I972" s="13" t="n">
        <f aca="false">H972-G972</f>
        <v>4</v>
      </c>
      <c r="J972" s="13" t="n">
        <f aca="false">H972-F972</f>
        <v>4</v>
      </c>
    </row>
    <row r="973" customFormat="false" ht="15" hidden="false" customHeight="false" outlineLevel="0" collapsed="false">
      <c r="A973" s="13" t="s">
        <v>135</v>
      </c>
      <c r="B973" s="13" t="s">
        <v>136</v>
      </c>
      <c r="C973" s="13" t="n">
        <v>8</v>
      </c>
      <c r="D973" s="13" t="s">
        <v>23</v>
      </c>
      <c r="E973" s="13" t="s">
        <v>28</v>
      </c>
      <c r="F973" s="13" t="n">
        <v>2</v>
      </c>
      <c r="G973" s="13" t="n">
        <v>2</v>
      </c>
      <c r="H973" s="13" t="n">
        <v>5</v>
      </c>
      <c r="I973" s="13" t="n">
        <f aca="false">H973-G973</f>
        <v>3</v>
      </c>
      <c r="J973" s="13" t="n">
        <f aca="false">H973-F973</f>
        <v>3</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4</v>
      </c>
      <c r="H975" s="13" t="n">
        <v>8</v>
      </c>
      <c r="I975" s="13" t="n">
        <f aca="false">H975-G975</f>
        <v>4</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2</v>
      </c>
      <c r="H977" s="13" t="n">
        <v>6</v>
      </c>
      <c r="I977" s="13" t="n">
        <f aca="false">H977-G977</f>
        <v>4</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1</v>
      </c>
      <c r="I994" s="13" t="n">
        <f aca="false">H994-G994</f>
        <v>1</v>
      </c>
      <c r="J994" s="13" t="n">
        <f aca="false">H994-F994</f>
        <v>1</v>
      </c>
    </row>
    <row r="995" customFormat="false" ht="15" hidden="false" customHeight="false" outlineLevel="0" collapsed="false">
      <c r="A995" s="13" t="s">
        <v>137</v>
      </c>
      <c r="B995" s="13" t="s">
        <v>138</v>
      </c>
      <c r="C995" s="13" t="n">
        <v>5</v>
      </c>
      <c r="D995" s="13" t="s">
        <v>23</v>
      </c>
      <c r="E995" s="13" t="s">
        <v>27</v>
      </c>
      <c r="F995" s="13" t="n">
        <v>1</v>
      </c>
      <c r="G995" s="13" t="n">
        <v>1</v>
      </c>
      <c r="H995" s="13" t="n">
        <v>2</v>
      </c>
      <c r="I995" s="13" t="n">
        <f aca="false">H995-G995</f>
        <v>1</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1</v>
      </c>
      <c r="H1064" s="13" t="n">
        <v>1</v>
      </c>
      <c r="I1064" s="13" t="n">
        <f aca="false">H1064-G1064</f>
        <v>0</v>
      </c>
      <c r="J1064" s="13" t="n">
        <f aca="false">H1064-F1064</f>
        <v>0</v>
      </c>
    </row>
    <row r="1065" customFormat="false" ht="15" hidden="false" customHeight="false" outlineLevel="0" collapsed="false">
      <c r="A1065" s="13" t="s">
        <v>143</v>
      </c>
      <c r="B1065" s="13" t="s">
        <v>144</v>
      </c>
      <c r="C1065" s="13" t="n">
        <v>2</v>
      </c>
      <c r="D1065" s="13" t="s">
        <v>23</v>
      </c>
      <c r="E1065" s="13" t="s">
        <v>28</v>
      </c>
      <c r="F1065" s="13" t="n">
        <v>2</v>
      </c>
      <c r="G1065" s="13" t="n">
        <v>2</v>
      </c>
      <c r="H1065" s="13" t="n">
        <v>2</v>
      </c>
      <c r="I1065" s="13" t="n">
        <f aca="false">H1065-G1065</f>
        <v>0</v>
      </c>
      <c r="J1065" s="13" t="n">
        <f aca="false">H1065-F1065</f>
        <v>0</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0</v>
      </c>
      <c r="H1071" s="13" t="n">
        <v>0</v>
      </c>
      <c r="I1071" s="13" t="n">
        <f aca="false">H1071-G1071</f>
        <v>0</v>
      </c>
      <c r="J1071" s="13" t="n">
        <f aca="false">H1071-F1071</f>
        <v>0</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0</v>
      </c>
      <c r="H1083" s="13" t="n">
        <v>0</v>
      </c>
      <c r="I1083" s="13" t="n">
        <f aca="false">H1083-G1083</f>
        <v>0</v>
      </c>
      <c r="J1083" s="13" t="n">
        <f aca="false">H1083-F1083</f>
        <v>0</v>
      </c>
    </row>
    <row r="1084" customFormat="false" ht="15" hidden="false" customHeight="false" outlineLevel="0" collapsed="false">
      <c r="A1084" s="13" t="s">
        <v>145</v>
      </c>
      <c r="B1084" s="13" t="s">
        <v>146</v>
      </c>
      <c r="C1084" s="13" t="n">
        <v>2</v>
      </c>
      <c r="D1084" s="13" t="s">
        <v>23</v>
      </c>
      <c r="E1084" s="13" t="s">
        <v>24</v>
      </c>
      <c r="F1084" s="13" t="n">
        <v>1</v>
      </c>
      <c r="G1084" s="13" t="n">
        <v>1</v>
      </c>
      <c r="H1084" s="13" t="n">
        <v>2</v>
      </c>
      <c r="I1084" s="13" t="n">
        <f aca="false">H1084-G1084</f>
        <v>1</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7</v>
      </c>
      <c r="H1085" s="13" t="n">
        <v>2</v>
      </c>
      <c r="I1085" s="13" t="n">
        <f aca="false">H1085-G1085</f>
        <v>-5</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4</v>
      </c>
      <c r="H1086" s="13" t="n">
        <v>2</v>
      </c>
      <c r="I1086" s="13" t="n">
        <f aca="false">H1086-G1086</f>
        <v>-2</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6</v>
      </c>
      <c r="H1087" s="13" t="n">
        <v>2</v>
      </c>
      <c r="I1087" s="13" t="n">
        <f aca="false">H1087-G1087</f>
        <v>-4</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4</v>
      </c>
      <c r="H1088" s="13" t="n">
        <v>1</v>
      </c>
      <c r="I1088" s="13" t="n">
        <f aca="false">H1088-G1088</f>
        <v>-3</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7</v>
      </c>
      <c r="H1090" s="13" t="n">
        <v>2</v>
      </c>
      <c r="I1090" s="13" t="n">
        <f aca="false">H1090-G1090</f>
        <v>-5</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0</v>
      </c>
      <c r="H1091" s="13" t="n">
        <v>0</v>
      </c>
      <c r="I1091" s="13" t="n">
        <f aca="false">H1091-G1091</f>
        <v>0</v>
      </c>
      <c r="J1091" s="13" t="n">
        <f aca="false">H1091-F1091</f>
        <v>0</v>
      </c>
    </row>
    <row r="1092" customFormat="false" ht="15" hidden="false" customHeight="false" outlineLevel="0" collapsed="false">
      <c r="A1092" s="13" t="s">
        <v>145</v>
      </c>
      <c r="B1092" s="13" t="s">
        <v>146</v>
      </c>
      <c r="C1092" s="13" t="n">
        <v>2</v>
      </c>
      <c r="D1092" s="13" t="s">
        <v>23</v>
      </c>
      <c r="E1092" s="13" t="s">
        <v>32</v>
      </c>
      <c r="F1092" s="13" t="n">
        <v>0</v>
      </c>
      <c r="G1092" s="13" t="n">
        <v>0</v>
      </c>
      <c r="H1092" s="13" t="n">
        <v>0</v>
      </c>
      <c r="I1092" s="13" t="n">
        <f aca="false">H1092-G1092</f>
        <v>0</v>
      </c>
      <c r="J1092" s="13" t="n">
        <f aca="false">H1092-F1092</f>
        <v>0</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0</v>
      </c>
      <c r="H1094" s="13" t="n">
        <v>0</v>
      </c>
      <c r="I1094" s="13" t="n">
        <f aca="false">H1094-G1094</f>
        <v>0</v>
      </c>
      <c r="J1094" s="13" t="n">
        <f aca="false">H1094-F1094</f>
        <v>0</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52</v>
      </c>
      <c r="H1106" s="13" t="n">
        <v>2</v>
      </c>
      <c r="I1106" s="13" t="n">
        <f aca="false">H1106-G1106</f>
        <v>-50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47</v>
      </c>
      <c r="H1108" s="13" t="n">
        <v>2</v>
      </c>
      <c r="I1108" s="13" t="n">
        <f aca="false">H1108-G1108</f>
        <v>-45</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2</v>
      </c>
      <c r="H1109" s="13" t="n">
        <v>0</v>
      </c>
      <c r="I1109" s="13" t="n">
        <f aca="false">H1109-G1109</f>
        <v>-2</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35</v>
      </c>
      <c r="H1110" s="13" t="n">
        <v>1</v>
      </c>
      <c r="I1110" s="13" t="n">
        <f aca="false">H1110-G1110</f>
        <v>-34</v>
      </c>
      <c r="J1110" s="13" t="n">
        <f aca="false">H1110-F1110</f>
        <v>-34</v>
      </c>
    </row>
    <row r="1111" customFormat="false" ht="15" hidden="false" customHeight="false" outlineLevel="0" collapsed="false">
      <c r="A1111" s="13" t="s">
        <v>147</v>
      </c>
      <c r="B1111" s="13" t="s">
        <v>148</v>
      </c>
      <c r="C1111" s="13" t="n">
        <v>2</v>
      </c>
      <c r="D1111" s="13" t="s">
        <v>23</v>
      </c>
      <c r="E1111" s="13" t="s">
        <v>28</v>
      </c>
      <c r="F1111" s="13" t="n">
        <v>16</v>
      </c>
      <c r="G1111" s="13" t="n">
        <v>16</v>
      </c>
      <c r="H1111" s="13" t="n">
        <v>0</v>
      </c>
      <c r="I1111" s="13" t="n">
        <f aca="false">H1111-G1111</f>
        <v>-16</v>
      </c>
      <c r="J1111" s="13" t="n">
        <f aca="false">H1111-F1111</f>
        <v>-16</v>
      </c>
    </row>
    <row r="1112" customFormat="false" ht="15" hidden="false" customHeight="false" outlineLevel="0" collapsed="false">
      <c r="A1112" s="13" t="s">
        <v>147</v>
      </c>
      <c r="B1112" s="13" t="s">
        <v>148</v>
      </c>
      <c r="C1112" s="13" t="n">
        <v>2</v>
      </c>
      <c r="D1112" s="13" t="s">
        <v>23</v>
      </c>
      <c r="E1112" s="13" t="s">
        <v>29</v>
      </c>
      <c r="F1112" s="13" t="n">
        <v>16</v>
      </c>
      <c r="G1112" s="13" t="n">
        <v>16</v>
      </c>
      <c r="H1112" s="13" t="n">
        <v>0</v>
      </c>
      <c r="I1112" s="13" t="n">
        <f aca="false">H1112-G1112</f>
        <v>-16</v>
      </c>
      <c r="J1112" s="13" t="n">
        <f aca="false">H1112-F1112</f>
        <v>-16</v>
      </c>
    </row>
    <row r="1113" customFormat="false" ht="15" hidden="false" customHeight="false" outlineLevel="0" collapsed="false">
      <c r="A1113" s="13" t="s">
        <v>147</v>
      </c>
      <c r="B1113" s="13" t="s">
        <v>148</v>
      </c>
      <c r="C1113" s="13" t="n">
        <v>2</v>
      </c>
      <c r="D1113" s="13" t="s">
        <v>23</v>
      </c>
      <c r="E1113" s="13" t="s">
        <v>30</v>
      </c>
      <c r="F1113" s="13" t="n">
        <v>54</v>
      </c>
      <c r="G1113" s="13" t="n">
        <v>54</v>
      </c>
      <c r="H1113" s="13" t="n">
        <v>2</v>
      </c>
      <c r="I1113" s="13" t="n">
        <f aca="false">H1113-G1113</f>
        <v>-52</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6</v>
      </c>
      <c r="H1115" s="13" t="n">
        <v>0</v>
      </c>
      <c r="I1115" s="13" t="n">
        <f aca="false">H1115-G1115</f>
        <v>-6</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0</v>
      </c>
      <c r="H1145" s="13" t="n">
        <v>0</v>
      </c>
      <c r="I1145" s="13" t="n">
        <f aca="false">H1145-G1145</f>
        <v>0</v>
      </c>
      <c r="J1145" s="13" t="n">
        <f aca="false">H1145-F1145</f>
        <v>0</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0</v>
      </c>
      <c r="H1183" s="13" t="n">
        <v>0</v>
      </c>
      <c r="I1183" s="13" t="n">
        <f aca="false">H1183-G1183</f>
        <v>0</v>
      </c>
      <c r="J1183" s="13" t="n">
        <f aca="false">H1183-F1183</f>
        <v>0</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SUMIF($B$15:$B$552,$A4,C$15:C$552)</f>
        <v>277</v>
      </c>
      <c r="C4" s="4" t="n">
        <f aca="false">SUMIF($B$15:$B$552,$A4,D$15:D$552)</f>
        <v>16</v>
      </c>
      <c r="D4" s="4" t="n">
        <f aca="false">SUMIF($B$15:$B$552,$A4,E$15:E$552)</f>
        <v>224</v>
      </c>
      <c r="E4" s="4" t="n">
        <f aca="false">SUMIF($B$15:$B$552,$A4,F$15:F$552)</f>
        <v>554</v>
      </c>
      <c r="F4" s="15" t="n">
        <f aca="false">SUMIF($B$15:$B$552,$A4,G$15:G$552)</f>
        <v>0</v>
      </c>
      <c r="G4" s="4" t="n">
        <f aca="false">SUMIF($B$15:$B$552,$A4,H$15:H$552)</f>
        <v>2166</v>
      </c>
      <c r="H4" s="4" t="n">
        <f aca="false">SUMIF($B$15:$B$552,$A4,I$15:I$552)</f>
        <v>35</v>
      </c>
      <c r="I4" s="4" t="n">
        <f aca="false">SUMIF($B$15:$B$552,$A4,J$15:J$552)</f>
        <v>1003</v>
      </c>
      <c r="J4" s="4" t="n">
        <f aca="false">SUMIF($B$15:$B$552,$A4,K$15:K$552)</f>
        <v>4332</v>
      </c>
      <c r="K4" s="15" t="n">
        <f aca="false">SUMIF($B$15:$B$552,$A4,L$15:L$552)</f>
        <v>0</v>
      </c>
      <c r="L4" s="16" t="n">
        <f aca="false">IF(G4=0,"",H4/G4)</f>
        <v>0.0161588180978763</v>
      </c>
    </row>
    <row r="5" customFormat="false" ht="15" hidden="false" customHeight="false" outlineLevel="0" collapsed="false">
      <c r="A5" s="4" t="s">
        <v>170</v>
      </c>
      <c r="B5" s="4" t="n">
        <f aca="false">SUMIF($B$15:$B$552,$A5,C$15:C$552)</f>
        <v>484</v>
      </c>
      <c r="C5" s="4" t="n">
        <f aca="false">SUMIF($B$15:$B$552,$A5,D$15:D$552)</f>
        <v>26</v>
      </c>
      <c r="D5" s="4" t="n">
        <f aca="false">SUMIF($B$15:$B$552,$A5,E$15:E$552)</f>
        <v>41</v>
      </c>
      <c r="E5" s="4" t="n">
        <f aca="false">SUMIF($B$15:$B$552,$A5,F$15:F$552)</f>
        <v>250</v>
      </c>
      <c r="F5" s="15" t="n">
        <f aca="false">SUMIF($B$15:$B$552,$A5,G$15:G$552)</f>
        <v>0</v>
      </c>
      <c r="G5" s="4" t="n">
        <f aca="false">SUMIF($B$15:$B$552,$A5,H$15:H$552)</f>
        <v>1676</v>
      </c>
      <c r="H5" s="4" t="n">
        <f aca="false">SUMIF($B$15:$B$552,$A5,I$15:I$552)</f>
        <v>55</v>
      </c>
      <c r="I5" s="4" t="n">
        <f aca="false">SUMIF($B$15:$B$552,$A5,J$15:J$552)</f>
        <v>409</v>
      </c>
      <c r="J5" s="4" t="n">
        <f aca="false">SUMIF($B$15:$B$552,$A5,K$15:K$552)</f>
        <v>250</v>
      </c>
      <c r="K5" s="15" t="n">
        <f aca="false">SUMIF($B$15:$B$552,$A5,L$15:L$552)</f>
        <v>0</v>
      </c>
      <c r="L5" s="16" t="n">
        <f aca="false">IF(G5=0,"",H5/G5)</f>
        <v>0.0328162291169451</v>
      </c>
    </row>
    <row r="6" customFormat="false" ht="15" hidden="false" customHeight="false" outlineLevel="0" collapsed="false">
      <c r="A6" s="4" t="s">
        <v>171</v>
      </c>
      <c r="B6" s="4" t="n">
        <f aca="false">SUMIF($B$15:$B$552,$A6,C$15:C$552)</f>
        <v>471</v>
      </c>
      <c r="C6" s="4" t="n">
        <f aca="false">SUMIF($B$15:$B$552,$A6,D$15:D$552)</f>
        <v>8</v>
      </c>
      <c r="D6" s="4" t="n">
        <f aca="false">SUMIF($B$15:$B$552,$A6,E$15:E$552)</f>
        <v>244</v>
      </c>
      <c r="E6" s="4" t="n">
        <f aca="false">SUMIF($B$15:$B$552,$A6,F$15:F$552)</f>
        <v>0</v>
      </c>
      <c r="F6" s="15" t="n">
        <f aca="false">SUMIF($B$15:$B$552,$A6,G$15:G$552)</f>
        <v>0.06116208</v>
      </c>
      <c r="G6" s="4" t="n">
        <f aca="false">SUMIF($B$15:$B$552,$A6,H$15:H$552)</f>
        <v>471</v>
      </c>
      <c r="H6" s="4" t="n">
        <f aca="false">SUMIF($B$15:$B$552,$A6,I$15:I$552)</f>
        <v>8</v>
      </c>
      <c r="I6" s="4" t="n">
        <f aca="false">SUMIF($B$15:$B$552,$A6,J$15:J$552)</f>
        <v>244</v>
      </c>
      <c r="J6" s="4" t="n">
        <f aca="false">SUMIF($B$15:$B$552,$A6,K$15:K$552)</f>
        <v>0</v>
      </c>
      <c r="K6" s="15" t="n">
        <f aca="false">SUMIF($B$15:$B$552,$A6,L$15:L$552)</f>
        <v>0.06116208</v>
      </c>
      <c r="L6" s="16" t="n">
        <f aca="false">IF(G6=0,"",H6/G6)</f>
        <v>0.0169851380042463</v>
      </c>
    </row>
    <row r="7" customFormat="false" ht="15" hidden="false" customHeight="false" outlineLevel="0" collapsed="false">
      <c r="A7" s="4" t="s">
        <v>172</v>
      </c>
      <c r="B7" s="4" t="n">
        <f aca="false">SUMIF($B$15:$B$552,$A7,C$15:C$552)</f>
        <v>1640</v>
      </c>
      <c r="C7" s="4" t="n">
        <f aca="false">SUMIF($B$15:$B$552,$A7,D$15:D$552)</f>
        <v>1213</v>
      </c>
      <c r="D7" s="4" t="n">
        <f aca="false">SUMIF($B$15:$B$552,$A7,E$15:E$552)</f>
        <v>376</v>
      </c>
      <c r="E7" s="4" t="n">
        <f aca="false">SUMIF($B$15:$B$552,$A7,F$15:F$552)</f>
        <v>0</v>
      </c>
      <c r="F7" s="15" t="n">
        <f aca="false">SUMIF($B$15:$B$552,$A7,G$15:G$552)</f>
        <v>0.526095866666667</v>
      </c>
      <c r="G7" s="4" t="n">
        <f aca="false">SUMIF($B$15:$B$552,$A7,H$15:H$552)</f>
        <v>3979</v>
      </c>
      <c r="H7" s="4" t="n">
        <f aca="false">SUMIF($B$15:$B$552,$A7,I$15:I$552)</f>
        <v>1510</v>
      </c>
      <c r="I7" s="4" t="n">
        <f aca="false">SUMIF($B$15:$B$552,$A7,J$15:J$552)</f>
        <v>2387</v>
      </c>
      <c r="J7" s="4" t="n">
        <f aca="false">SUMIF($B$15:$B$552,$A7,K$15:K$552)</f>
        <v>0</v>
      </c>
      <c r="K7" s="15" t="n">
        <f aca="false">SUMIF($B$15:$B$552,$A7,L$15:L$552)</f>
        <v>1.3492727</v>
      </c>
      <c r="L7" s="16" t="n">
        <f aca="false">IF(G7=0,"",H7/G7)</f>
        <v>0.379492334757477</v>
      </c>
    </row>
    <row r="8" customFormat="false" ht="15" hidden="false" customHeight="false" outlineLevel="0" collapsed="false">
      <c r="A8" s="4" t="s">
        <v>173</v>
      </c>
      <c r="B8" s="4" t="n">
        <f aca="false">SUMIF($B$15:$B$552,$A8,C$15:C$552)</f>
        <v>0</v>
      </c>
      <c r="C8" s="4" t="n">
        <f aca="false">SUMIF($B$15:$B$552,$A8,D$15:D$552)</f>
        <v>0</v>
      </c>
      <c r="D8" s="4" t="n">
        <f aca="false">SUMIF($B$15:$B$552,$A8,E$15:E$552)</f>
        <v>0</v>
      </c>
      <c r="E8" s="4" t="n">
        <f aca="false">SUMIF($B$15:$B$552,$A8,F$15:F$552)</f>
        <v>0</v>
      </c>
      <c r="F8" s="15" t="n">
        <f aca="false">SUMIF($B$15:$B$552,$A8,G$15:G$552)</f>
        <v>0</v>
      </c>
      <c r="G8" s="4" t="n">
        <f aca="false">SUMIF($B$15:$B$552,$A8,H$15:H$552)</f>
        <v>0</v>
      </c>
      <c r="H8" s="4" t="n">
        <f aca="false">SUMIF($B$15:$B$552,$A8,I$15:I$552)</f>
        <v>0</v>
      </c>
      <c r="I8" s="4" t="n">
        <f aca="false">SUMIF($B$15:$B$552,$A8,J$15:J$552)</f>
        <v>0</v>
      </c>
      <c r="J8" s="4" t="n">
        <f aca="false">SUMIF($B$15:$B$552,$A8,K$15:K$552)</f>
        <v>0</v>
      </c>
      <c r="K8" s="15" t="n">
        <f aca="false">SUMIF($B$15:$B$552,$A8,L$15:L$552)</f>
        <v>0</v>
      </c>
      <c r="L8" s="16" t="str">
        <f aca="false">IF(G8=0,"",H8/G8)</f>
        <v/>
      </c>
    </row>
    <row r="9" customFormat="false" ht="15" hidden="false" customHeight="false" outlineLevel="0" collapsed="false">
      <c r="A9" s="4" t="s">
        <v>174</v>
      </c>
      <c r="B9" s="4" t="n">
        <f aca="false">SUMIF($B$15:$B$552,$A9,C$15:C$552)</f>
        <v>338</v>
      </c>
      <c r="C9" s="4" t="n">
        <f aca="false">SUMIF($B$15:$B$552,$A9,D$15:D$552)</f>
        <v>291</v>
      </c>
      <c r="D9" s="4" t="n">
        <f aca="false">SUMIF($B$15:$B$552,$A9,E$15:E$552)</f>
        <v>1</v>
      </c>
      <c r="E9" s="4" t="n">
        <f aca="false">SUMIF($B$15:$B$552,$A9,F$15:F$552)</f>
        <v>0</v>
      </c>
      <c r="F9" s="15" t="n">
        <f aca="false">SUMIF($B$15:$B$552,$A9,G$15:G$552)</f>
        <v>0.11423496</v>
      </c>
      <c r="G9" s="4" t="n">
        <f aca="false">SUMIF($B$15:$B$552,$A9,H$15:H$552)</f>
        <v>578</v>
      </c>
      <c r="H9" s="4" t="n">
        <f aca="false">SUMIF($B$15:$B$552,$A9,I$15:I$552)</f>
        <v>451</v>
      </c>
      <c r="I9" s="4" t="n">
        <f aca="false">SUMIF($B$15:$B$552,$A9,J$15:J$552)</f>
        <v>3</v>
      </c>
      <c r="J9" s="4" t="n">
        <f aca="false">SUMIF($B$15:$B$552,$A9,K$15:K$552)</f>
        <v>0</v>
      </c>
      <c r="K9" s="15" t="n">
        <f aca="false">SUMIF($B$15:$B$552,$A9,L$15:L$552)</f>
        <v>0.22461171</v>
      </c>
      <c r="L9" s="16" t="n">
        <f aca="false">IF(G9=0,"",H9/G9)</f>
        <v>0.780276816608997</v>
      </c>
    </row>
    <row r="10" customFormat="false" ht="15" hidden="false" customHeight="false" outlineLevel="0" collapsed="false">
      <c r="A10" s="4" t="s">
        <v>175</v>
      </c>
      <c r="B10" s="4" t="n">
        <f aca="false">SUMIF($B$15:$B$552,$A10,C$15:C$552)</f>
        <v>465</v>
      </c>
      <c r="C10" s="4" t="n">
        <f aca="false">SUMIF($B$15:$B$552,$A10,D$15:D$552)</f>
        <v>0</v>
      </c>
      <c r="D10" s="4" t="n">
        <f aca="false">SUMIF($B$15:$B$552,$A10,E$15:E$552)</f>
        <v>0</v>
      </c>
      <c r="E10" s="4" t="n">
        <f aca="false">SUMIF($B$15:$B$552,$A10,F$15:F$552)</f>
        <v>585</v>
      </c>
      <c r="F10" s="15" t="n">
        <f aca="false">SUMIF($B$15:$B$552,$A10,G$15:G$552)</f>
        <v>0</v>
      </c>
      <c r="G10" s="4" t="n">
        <f aca="false">SUMIF($B$15:$B$552,$A10,H$15:H$552)</f>
        <v>695</v>
      </c>
      <c r="H10" s="4" t="n">
        <f aca="false">SUMIF($B$15:$B$552,$A10,I$15:I$552)</f>
        <v>0</v>
      </c>
      <c r="I10" s="4" t="n">
        <f aca="false">SUMIF($B$15:$B$552,$A10,J$15:J$552)</f>
        <v>0</v>
      </c>
      <c r="J10" s="4" t="n">
        <f aca="false">SUMIF($B$15:$B$552,$A10,K$15:K$552)</f>
        <v>815</v>
      </c>
      <c r="K10" s="15" t="n">
        <f aca="false">SUMIF($B$15:$B$552,$A10,L$15:L$552)</f>
        <v>0</v>
      </c>
      <c r="L10" s="16" t="n">
        <f aca="false">IF(G10=0,"",H10/G10)</f>
        <v>0</v>
      </c>
    </row>
    <row r="11" customFormat="false" ht="15" hidden="false" customHeight="false" outlineLevel="0" collapsed="false">
      <c r="A11" s="4" t="s">
        <v>176</v>
      </c>
      <c r="B11" s="4" t="n">
        <f aca="false">SUMIF($B$15:$B$552,$A11,C$15:C$552)</f>
        <v>650</v>
      </c>
      <c r="C11" s="4" t="n">
        <f aca="false">SUMIF($B$15:$B$552,$A11,D$15:D$552)</f>
        <v>0</v>
      </c>
      <c r="D11" s="4" t="n">
        <f aca="false">SUMIF($B$15:$B$552,$A11,E$15:E$552)</f>
        <v>0</v>
      </c>
      <c r="E11" s="4" t="n">
        <f aca="false">SUMIF($B$15:$B$552,$A11,F$15:F$552)</f>
        <v>0</v>
      </c>
      <c r="F11" s="15" t="n">
        <f aca="false">SUMIF($B$15:$B$552,$A11,G$15:G$552)</f>
        <v>0</v>
      </c>
      <c r="G11" s="4" t="n">
        <f aca="false">SUMIF($B$15:$B$552,$A11,H$15:H$552)</f>
        <v>2420</v>
      </c>
      <c r="H11" s="4" t="n">
        <f aca="false">SUMIF($B$15:$B$552,$A11,I$15:I$552)</f>
        <v>0</v>
      </c>
      <c r="I11" s="4" t="n">
        <f aca="false">SUMIF($B$15:$B$552,$A11,J$15:J$552)</f>
        <v>0</v>
      </c>
      <c r="J11" s="4" t="n">
        <f aca="false">SUMIF($B$15:$B$552,$A11,K$15:K$552)</f>
        <v>0</v>
      </c>
      <c r="K11" s="15" t="n">
        <f aca="false">SUMIF($B$15:$B$552,$A11,L$15:L$552)</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1</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1</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1</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1</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1</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1</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1</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1</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1</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1</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1</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1</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1</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15</v>
      </c>
      <c r="D28" s="13" t="n">
        <v>0</v>
      </c>
      <c r="E28" s="13" t="n">
        <v>5</v>
      </c>
      <c r="F28" s="13" t="n">
        <v>30</v>
      </c>
      <c r="G28" s="17" t="n">
        <v>0</v>
      </c>
      <c r="H28" s="13" t="n">
        <v>20</v>
      </c>
      <c r="I28" s="13" t="n">
        <v>0</v>
      </c>
      <c r="J28" s="13" t="n">
        <v>10</v>
      </c>
      <c r="K28" s="13" t="n">
        <v>40</v>
      </c>
      <c r="L28" s="17" t="n">
        <v>0</v>
      </c>
      <c r="M28" s="18" t="n">
        <f aca="false">IF(H28=0,"",I28/H28)</f>
        <v>0</v>
      </c>
    </row>
    <row r="29" customFormat="false" ht="15" hidden="false" customHeight="false" outlineLevel="0" collapsed="false">
      <c r="A29" s="13" t="s">
        <v>137</v>
      </c>
      <c r="B29" s="13" t="s">
        <v>170</v>
      </c>
      <c r="C29" s="13" t="n">
        <v>5</v>
      </c>
      <c r="D29" s="13" t="n">
        <v>0</v>
      </c>
      <c r="E29" s="13" t="n">
        <v>0</v>
      </c>
      <c r="F29" s="13" t="n">
        <v>0</v>
      </c>
      <c r="G29" s="17" t="n">
        <v>0</v>
      </c>
      <c r="H29" s="13" t="n">
        <v>10</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22</v>
      </c>
      <c r="D30" s="13" t="n">
        <v>2</v>
      </c>
      <c r="E30" s="13" t="n">
        <v>20</v>
      </c>
      <c r="F30" s="13" t="n">
        <v>0</v>
      </c>
      <c r="G30" s="17" t="n">
        <v>0.0089768</v>
      </c>
      <c r="H30" s="13" t="n">
        <v>38</v>
      </c>
      <c r="I30" s="13" t="n">
        <v>3</v>
      </c>
      <c r="J30" s="13" t="n">
        <v>35</v>
      </c>
      <c r="K30" s="13" t="n">
        <v>0</v>
      </c>
      <c r="L30" s="17" t="n">
        <v>0.0151236</v>
      </c>
      <c r="M30" s="18" t="n">
        <f aca="false">IF(H30=0,"",I30/H30)</f>
        <v>0.0789473684210526</v>
      </c>
    </row>
    <row r="31" customFormat="false" ht="15" hidden="false" customHeight="false" outlineLevel="0" collapsed="false">
      <c r="A31" s="13" t="s">
        <v>137</v>
      </c>
      <c r="B31" s="13" t="s">
        <v>174</v>
      </c>
      <c r="C31" s="13" t="n">
        <v>29</v>
      </c>
      <c r="D31" s="13" t="n">
        <v>23</v>
      </c>
      <c r="E31" s="13" t="n">
        <v>0</v>
      </c>
      <c r="F31" s="13" t="n">
        <v>0</v>
      </c>
      <c r="G31" s="17" t="n">
        <v>0.00938451</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24</v>
      </c>
      <c r="D32" s="13" t="n">
        <v>0</v>
      </c>
      <c r="E32" s="13" t="n">
        <v>0</v>
      </c>
      <c r="F32" s="13" t="n">
        <v>24</v>
      </c>
      <c r="G32" s="17" t="n">
        <v>0</v>
      </c>
      <c r="H32" s="13" t="n">
        <v>24</v>
      </c>
      <c r="I32" s="13" t="n">
        <v>0</v>
      </c>
      <c r="J32" s="13" t="n">
        <v>0</v>
      </c>
      <c r="K32" s="13" t="n">
        <v>24</v>
      </c>
      <c r="L32" s="17" t="n">
        <v>0</v>
      </c>
      <c r="M32" s="18" t="n">
        <f aca="false">IF(H32=0,"",I32/H32)</f>
        <v>0</v>
      </c>
    </row>
    <row r="33" customFormat="false" ht="15" hidden="false" customHeight="false" outlineLevel="0" collapsed="false">
      <c r="A33" s="13" t="s">
        <v>137</v>
      </c>
      <c r="B33" s="13" t="s">
        <v>176</v>
      </c>
      <c r="C33" s="13" t="n">
        <v>12</v>
      </c>
      <c r="D33" s="13" t="n">
        <v>0</v>
      </c>
      <c r="E33" s="13" t="n">
        <v>0</v>
      </c>
      <c r="F33" s="13" t="n">
        <v>0</v>
      </c>
      <c r="G33" s="17" t="n">
        <v>0</v>
      </c>
      <c r="H33" s="13" t="n">
        <v>27</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1</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1</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0</v>
      </c>
      <c r="D36" s="13" t="n">
        <v>0</v>
      </c>
      <c r="E36" s="13" t="n">
        <v>0</v>
      </c>
      <c r="F36" s="13" t="n">
        <v>0</v>
      </c>
      <c r="G36" s="17" t="n">
        <v>0</v>
      </c>
      <c r="H36" s="13" t="n">
        <v>3</v>
      </c>
      <c r="I36" s="13" t="n">
        <v>3</v>
      </c>
      <c r="J36" s="13" t="n">
        <v>0</v>
      </c>
      <c r="K36" s="13" t="n">
        <v>0</v>
      </c>
      <c r="L36" s="17" t="n">
        <v>0</v>
      </c>
      <c r="M36" s="18" t="n">
        <f aca="false">IF(H36=0,"",I36/H36)</f>
        <v>1</v>
      </c>
    </row>
    <row r="37" customFormat="false" ht="15" hidden="false" customHeight="false" outlineLevel="0" collapsed="false">
      <c r="A37" s="13" t="s">
        <v>85</v>
      </c>
      <c r="B37" s="13" t="s">
        <v>172</v>
      </c>
      <c r="C37" s="13" t="n">
        <v>7</v>
      </c>
      <c r="D37" s="13" t="n">
        <v>4</v>
      </c>
      <c r="E37" s="13" t="n">
        <v>0</v>
      </c>
      <c r="F37" s="13" t="n">
        <v>0</v>
      </c>
      <c r="G37" s="17" t="n">
        <v>0.0112928</v>
      </c>
      <c r="H37" s="13" t="n">
        <v>17</v>
      </c>
      <c r="I37" s="13" t="n">
        <v>5</v>
      </c>
      <c r="J37" s="13" t="n">
        <v>8</v>
      </c>
      <c r="K37" s="13" t="n">
        <v>0</v>
      </c>
      <c r="L37" s="17" t="n">
        <v>0.01862116</v>
      </c>
      <c r="M37" s="18" t="n">
        <f aca="false">IF(H37=0,"",I37/H37)</f>
        <v>0.294117647058824</v>
      </c>
    </row>
    <row r="38" customFormat="false" ht="15" hidden="false" customHeight="false" outlineLevel="0" collapsed="false">
      <c r="A38" s="13" t="s">
        <v>85</v>
      </c>
      <c r="B38" s="13" t="s">
        <v>175</v>
      </c>
      <c r="C38" s="13" t="n">
        <v>0</v>
      </c>
      <c r="D38" s="13" t="n">
        <v>0</v>
      </c>
      <c r="E38" s="13" t="n">
        <v>0</v>
      </c>
      <c r="F38" s="13" t="n">
        <v>0</v>
      </c>
      <c r="G38" s="17" t="n">
        <v>0</v>
      </c>
      <c r="H38" s="13" t="n">
        <v>3</v>
      </c>
      <c r="I38" s="13" t="n">
        <v>0</v>
      </c>
      <c r="J38" s="13" t="n">
        <v>0</v>
      </c>
      <c r="K38" s="13" t="n">
        <v>3</v>
      </c>
      <c r="L38" s="17" t="n">
        <v>0</v>
      </c>
      <c r="M38" s="18" t="n">
        <f aca="false">IF(H38=0,"",I38/H38)</f>
        <v>0</v>
      </c>
    </row>
    <row r="39" customFormat="false" ht="15" hidden="false" customHeight="false" outlineLevel="0" collapsed="false">
      <c r="A39" s="13" t="s">
        <v>85</v>
      </c>
      <c r="B39" s="13" t="s">
        <v>176</v>
      </c>
      <c r="C39" s="13" t="n">
        <v>0</v>
      </c>
      <c r="D39" s="13" t="n">
        <v>0</v>
      </c>
      <c r="E39" s="13" t="n">
        <v>0</v>
      </c>
      <c r="F39" s="13" t="n">
        <v>0</v>
      </c>
      <c r="G39" s="17" t="n">
        <v>0</v>
      </c>
      <c r="H39" s="13" t="n">
        <v>6</v>
      </c>
      <c r="I39" s="13" t="n">
        <v>0</v>
      </c>
      <c r="J39" s="13" t="n">
        <v>0</v>
      </c>
      <c r="K39" s="13" t="n">
        <v>0</v>
      </c>
      <c r="L39" s="17" t="n">
        <v>0</v>
      </c>
      <c r="M39" s="18" t="n">
        <f aca="false">IF(H39=0,"",I39/H39)</f>
        <v>0</v>
      </c>
    </row>
    <row r="40" customFormat="false" ht="15" hidden="false" customHeight="false" outlineLevel="0" collapsed="false">
      <c r="A40" s="13" t="s">
        <v>191</v>
      </c>
      <c r="B40" s="13" t="s">
        <v>176</v>
      </c>
      <c r="C40" s="13" t="n">
        <v>1</v>
      </c>
      <c r="D40" s="13" t="n">
        <v>0</v>
      </c>
      <c r="E40" s="13" t="n">
        <v>0</v>
      </c>
      <c r="F40" s="13" t="n">
        <v>0</v>
      </c>
      <c r="G40" s="17" t="n">
        <v>0</v>
      </c>
      <c r="H40" s="13" t="n">
        <v>1</v>
      </c>
      <c r="I40" s="13" t="n">
        <v>0</v>
      </c>
      <c r="J40" s="13" t="n">
        <v>0</v>
      </c>
      <c r="K40" s="13" t="n">
        <v>0</v>
      </c>
      <c r="L40" s="17" t="n">
        <v>0</v>
      </c>
      <c r="M40" s="18" t="n">
        <f aca="false">IF(H40=0,"",I40/H40)</f>
        <v>0</v>
      </c>
    </row>
    <row r="41" customFormat="false" ht="15" hidden="false" customHeight="false" outlineLevel="0" collapsed="false">
      <c r="A41" s="13" t="s">
        <v>191</v>
      </c>
      <c r="B41" s="13" t="s">
        <v>176</v>
      </c>
      <c r="C41" s="13" t="n">
        <v>1</v>
      </c>
      <c r="D41" s="13" t="n">
        <v>0</v>
      </c>
      <c r="E41" s="13" t="n">
        <v>0</v>
      </c>
      <c r="F41" s="13" t="n">
        <v>0</v>
      </c>
      <c r="G41" s="17" t="n">
        <v>0</v>
      </c>
      <c r="H41" s="13" t="n">
        <v>1</v>
      </c>
      <c r="I41" s="13" t="n">
        <v>0</v>
      </c>
      <c r="J41" s="13" t="n">
        <v>0</v>
      </c>
      <c r="K41" s="13" t="n">
        <v>0</v>
      </c>
      <c r="L41" s="17" t="n">
        <v>0</v>
      </c>
      <c r="M41" s="18" t="n">
        <f aca="false">IF(H41=0,"",I41/H41)</f>
        <v>0</v>
      </c>
    </row>
    <row r="42" customFormat="false" ht="15" hidden="false" customHeight="false" outlineLevel="0" collapsed="false">
      <c r="A42" s="13" t="s">
        <v>192</v>
      </c>
      <c r="B42" s="13" t="s">
        <v>176</v>
      </c>
      <c r="C42" s="13" t="n">
        <v>1</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193</v>
      </c>
      <c r="B43" s="13" t="s">
        <v>176</v>
      </c>
      <c r="C43" s="13" t="n">
        <v>1</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194</v>
      </c>
      <c r="B44" s="13" t="s">
        <v>176</v>
      </c>
      <c r="C44" s="13" t="n">
        <v>1</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195</v>
      </c>
      <c r="B45" s="13" t="s">
        <v>176</v>
      </c>
      <c r="C45" s="13" t="n">
        <v>1</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91</v>
      </c>
      <c r="B46" s="13" t="s">
        <v>172</v>
      </c>
      <c r="C46" s="13" t="n">
        <v>2</v>
      </c>
      <c r="D46" s="13" t="n">
        <v>0</v>
      </c>
      <c r="E46" s="13" t="n">
        <v>1</v>
      </c>
      <c r="F46" s="13" t="n">
        <v>0</v>
      </c>
      <c r="G46" s="17" t="n">
        <v>0.0029748</v>
      </c>
      <c r="H46" s="13" t="n">
        <v>5</v>
      </c>
      <c r="I46" s="13" t="n">
        <v>3</v>
      </c>
      <c r="J46" s="13" t="n">
        <v>1</v>
      </c>
      <c r="K46" s="13" t="n">
        <v>0</v>
      </c>
      <c r="L46" s="17" t="n">
        <v>0.0029748</v>
      </c>
      <c r="M46" s="18" t="n">
        <f aca="false">IF(H46=0,"",I46/H46)</f>
        <v>0.6</v>
      </c>
    </row>
    <row r="47" customFormat="false" ht="15" hidden="false" customHeight="false" outlineLevel="0" collapsed="false">
      <c r="A47" s="13" t="s">
        <v>91</v>
      </c>
      <c r="B47" s="13" t="s">
        <v>174</v>
      </c>
      <c r="C47" s="13" t="n">
        <v>4</v>
      </c>
      <c r="D47" s="13" t="n">
        <v>4</v>
      </c>
      <c r="E47" s="13" t="n">
        <v>0</v>
      </c>
      <c r="F47" s="13" t="n">
        <v>0</v>
      </c>
      <c r="G47" s="17" t="n">
        <v>0.00092112</v>
      </c>
      <c r="H47" s="13" t="n">
        <v>4</v>
      </c>
      <c r="I47" s="13" t="n">
        <v>4</v>
      </c>
      <c r="J47" s="13" t="n">
        <v>0</v>
      </c>
      <c r="K47" s="13" t="n">
        <v>0</v>
      </c>
      <c r="L47" s="17" t="n">
        <v>0.00092112</v>
      </c>
      <c r="M47" s="18" t="n">
        <f aca="false">IF(H47=0,"",I47/H47)</f>
        <v>1</v>
      </c>
    </row>
    <row r="48" customFormat="false" ht="15" hidden="false" customHeight="false" outlineLevel="0" collapsed="false">
      <c r="A48" s="13" t="s">
        <v>91</v>
      </c>
      <c r="B48" s="13" t="s">
        <v>175</v>
      </c>
      <c r="C48" s="13" t="n">
        <v>5</v>
      </c>
      <c r="D48" s="13" t="n">
        <v>0</v>
      </c>
      <c r="E48" s="13" t="n">
        <v>0</v>
      </c>
      <c r="F48" s="13" t="n">
        <v>5</v>
      </c>
      <c r="G48" s="17" t="n">
        <v>0</v>
      </c>
      <c r="H48" s="13" t="n">
        <v>5</v>
      </c>
      <c r="I48" s="13" t="n">
        <v>0</v>
      </c>
      <c r="J48" s="13" t="n">
        <v>0</v>
      </c>
      <c r="K48" s="13" t="n">
        <v>5</v>
      </c>
      <c r="L48" s="17" t="n">
        <v>0</v>
      </c>
      <c r="M48" s="18" t="n">
        <f aca="false">IF(H48=0,"",I48/H48)</f>
        <v>0</v>
      </c>
    </row>
    <row r="49" customFormat="false" ht="15" hidden="false" customHeight="false" outlineLevel="0" collapsed="false">
      <c r="A49" s="13" t="s">
        <v>91</v>
      </c>
      <c r="B49" s="13" t="s">
        <v>176</v>
      </c>
      <c r="C49" s="13" t="n">
        <v>1</v>
      </c>
      <c r="D49" s="13" t="n">
        <v>0</v>
      </c>
      <c r="E49" s="13" t="n">
        <v>0</v>
      </c>
      <c r="F49" s="13" t="n">
        <v>0</v>
      </c>
      <c r="G49" s="17" t="n">
        <v>0</v>
      </c>
      <c r="H49" s="13" t="n">
        <v>1</v>
      </c>
      <c r="I49" s="13" t="n">
        <v>0</v>
      </c>
      <c r="J49" s="13" t="n">
        <v>0</v>
      </c>
      <c r="K49" s="13" t="n">
        <v>0</v>
      </c>
      <c r="L49" s="17" t="n">
        <v>0</v>
      </c>
      <c r="M49" s="18" t="n">
        <f aca="false">IF(H49=0,"",I49/H49)</f>
        <v>0</v>
      </c>
    </row>
    <row r="50" customFormat="false" ht="15" hidden="false" customHeight="false" outlineLevel="0" collapsed="false">
      <c r="A50" s="13" t="s">
        <v>196</v>
      </c>
      <c r="B50" s="13" t="s">
        <v>176</v>
      </c>
      <c r="C50" s="13" t="n">
        <v>1</v>
      </c>
      <c r="D50" s="13" t="n">
        <v>0</v>
      </c>
      <c r="E50" s="13" t="n">
        <v>0</v>
      </c>
      <c r="F50" s="13" t="n">
        <v>0</v>
      </c>
      <c r="G50" s="17" t="n">
        <v>0</v>
      </c>
      <c r="H50" s="13" t="n">
        <v>1</v>
      </c>
      <c r="I50" s="13" t="n">
        <v>0</v>
      </c>
      <c r="J50" s="13" t="n">
        <v>0</v>
      </c>
      <c r="K50" s="13" t="n">
        <v>0</v>
      </c>
      <c r="L50" s="17" t="n">
        <v>0</v>
      </c>
      <c r="M50" s="18" t="n">
        <f aca="false">IF(H50=0,"",I50/H50)</f>
        <v>0</v>
      </c>
    </row>
    <row r="51" customFormat="false" ht="15" hidden="false" customHeight="false" outlineLevel="0" collapsed="false">
      <c r="A51" s="13" t="s">
        <v>197</v>
      </c>
      <c r="B51" s="13" t="s">
        <v>176</v>
      </c>
      <c r="C51" s="13" t="n">
        <v>1</v>
      </c>
      <c r="D51" s="13" t="n">
        <v>0</v>
      </c>
      <c r="E51" s="13" t="n">
        <v>0</v>
      </c>
      <c r="F51" s="13" t="n">
        <v>0</v>
      </c>
      <c r="G51" s="17" t="n">
        <v>0</v>
      </c>
      <c r="H51" s="13" t="n">
        <v>1</v>
      </c>
      <c r="I51" s="13" t="n">
        <v>0</v>
      </c>
      <c r="J51" s="13" t="n">
        <v>0</v>
      </c>
      <c r="K51" s="13" t="n">
        <v>0</v>
      </c>
      <c r="L51" s="17" t="n">
        <v>0</v>
      </c>
      <c r="M51" s="18" t="n">
        <f aca="false">IF(H51=0,"",I51/H51)</f>
        <v>0</v>
      </c>
    </row>
    <row r="52" customFormat="false" ht="15" hidden="false" customHeight="false" outlineLevel="0" collapsed="false">
      <c r="A52" s="13" t="s">
        <v>198</v>
      </c>
      <c r="B52" s="13" t="s">
        <v>176</v>
      </c>
      <c r="C52" s="13" t="n">
        <v>1</v>
      </c>
      <c r="D52" s="13" t="n">
        <v>0</v>
      </c>
      <c r="E52" s="13" t="n">
        <v>0</v>
      </c>
      <c r="F52" s="13" t="n">
        <v>0</v>
      </c>
      <c r="G52" s="17" t="n">
        <v>0</v>
      </c>
      <c r="H52" s="13" t="n">
        <v>1</v>
      </c>
      <c r="I52" s="13" t="n">
        <v>0</v>
      </c>
      <c r="J52" s="13" t="n">
        <v>0</v>
      </c>
      <c r="K52" s="13" t="n">
        <v>0</v>
      </c>
      <c r="L52" s="17" t="n">
        <v>0</v>
      </c>
      <c r="M52" s="18" t="n">
        <f aca="false">IF(H52=0,"",I52/H52)</f>
        <v>0</v>
      </c>
    </row>
    <row r="53" customFormat="false" ht="15" hidden="false" customHeight="false" outlineLevel="0" collapsed="false">
      <c r="A53" s="13" t="s">
        <v>199</v>
      </c>
      <c r="B53" s="13" t="s">
        <v>176</v>
      </c>
      <c r="C53" s="13" t="n">
        <v>1</v>
      </c>
      <c r="D53" s="13" t="n">
        <v>0</v>
      </c>
      <c r="E53" s="13" t="n">
        <v>0</v>
      </c>
      <c r="F53" s="13" t="n">
        <v>0</v>
      </c>
      <c r="G53" s="17" t="n">
        <v>0</v>
      </c>
      <c r="H53" s="13" t="n">
        <v>1</v>
      </c>
      <c r="I53" s="13" t="n">
        <v>0</v>
      </c>
      <c r="J53" s="13" t="n">
        <v>0</v>
      </c>
      <c r="K53" s="13" t="n">
        <v>0</v>
      </c>
      <c r="L53" s="17" t="n">
        <v>0</v>
      </c>
      <c r="M53" s="18" t="n">
        <f aca="false">IF(H53=0,"",I53/H53)</f>
        <v>0</v>
      </c>
    </row>
    <row r="54" customFormat="false" ht="15" hidden="false" customHeight="false" outlineLevel="0" collapsed="false">
      <c r="A54" s="13" t="s">
        <v>200</v>
      </c>
      <c r="B54" s="13" t="s">
        <v>176</v>
      </c>
      <c r="C54" s="13" t="n">
        <v>1</v>
      </c>
      <c r="D54" s="13" t="n">
        <v>0</v>
      </c>
      <c r="E54" s="13" t="n">
        <v>0</v>
      </c>
      <c r="F54" s="13" t="n">
        <v>0</v>
      </c>
      <c r="G54" s="17" t="n">
        <v>0</v>
      </c>
      <c r="H54" s="13" t="n">
        <v>2</v>
      </c>
      <c r="I54" s="13" t="n">
        <v>0</v>
      </c>
      <c r="J54" s="13" t="n">
        <v>0</v>
      </c>
      <c r="K54" s="13" t="n">
        <v>0</v>
      </c>
      <c r="L54" s="17" t="n">
        <v>0</v>
      </c>
      <c r="M54" s="18" t="n">
        <f aca="false">IF(H54=0,"",I54/H54)</f>
        <v>0</v>
      </c>
    </row>
    <row r="55" customFormat="false" ht="15" hidden="false" customHeight="false" outlineLevel="0" collapsed="false">
      <c r="A55" s="13" t="s">
        <v>201</v>
      </c>
      <c r="B55" s="13" t="s">
        <v>176</v>
      </c>
      <c r="C55" s="13" t="n">
        <v>1</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202</v>
      </c>
      <c r="B56" s="13" t="s">
        <v>176</v>
      </c>
      <c r="C56" s="13" t="n">
        <v>1</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203</v>
      </c>
      <c r="B57" s="13" t="s">
        <v>176</v>
      </c>
      <c r="C57" s="13" t="n">
        <v>1</v>
      </c>
      <c r="D57" s="13" t="n">
        <v>0</v>
      </c>
      <c r="E57" s="13" t="n">
        <v>0</v>
      </c>
      <c r="F57" s="13" t="n">
        <v>0</v>
      </c>
      <c r="G57" s="17" t="n">
        <v>0</v>
      </c>
      <c r="H57" s="13" t="n">
        <v>1</v>
      </c>
      <c r="I57" s="13" t="n">
        <v>0</v>
      </c>
      <c r="J57" s="13" t="n">
        <v>0</v>
      </c>
      <c r="K57" s="13" t="n">
        <v>0</v>
      </c>
      <c r="L57" s="17" t="n">
        <v>0</v>
      </c>
      <c r="M57" s="18" t="n">
        <f aca="false">IF(H57=0,"",I57/H57)</f>
        <v>0</v>
      </c>
    </row>
    <row r="58" customFormat="false" ht="15" hidden="false" customHeight="false" outlineLevel="0" collapsed="false">
      <c r="A58" s="13" t="s">
        <v>204</v>
      </c>
      <c r="B58" s="13" t="s">
        <v>176</v>
      </c>
      <c r="C58" s="13" t="n">
        <v>0</v>
      </c>
      <c r="D58" s="13" t="n">
        <v>0</v>
      </c>
      <c r="E58" s="13" t="n">
        <v>0</v>
      </c>
      <c r="F58" s="13" t="n">
        <v>0</v>
      </c>
      <c r="G58" s="17" t="n">
        <v>0</v>
      </c>
      <c r="H58" s="13" t="n">
        <v>1</v>
      </c>
      <c r="I58" s="13" t="n">
        <v>0</v>
      </c>
      <c r="J58" s="13" t="n">
        <v>0</v>
      </c>
      <c r="K58" s="13" t="n">
        <v>0</v>
      </c>
      <c r="L58" s="17" t="n">
        <v>0</v>
      </c>
      <c r="M58" s="18" t="n">
        <f aca="false">IF(H58=0,"",I58/H58)</f>
        <v>0</v>
      </c>
    </row>
    <row r="59" customFormat="false" ht="15" hidden="false" customHeight="false" outlineLevel="0" collapsed="false">
      <c r="A59" s="13" t="s">
        <v>205</v>
      </c>
      <c r="B59" s="13" t="s">
        <v>176</v>
      </c>
      <c r="C59" s="13" t="n">
        <v>1</v>
      </c>
      <c r="D59" s="13" t="n">
        <v>0</v>
      </c>
      <c r="E59" s="13" t="n">
        <v>0</v>
      </c>
      <c r="F59" s="13" t="n">
        <v>0</v>
      </c>
      <c r="G59" s="17" t="n">
        <v>0</v>
      </c>
      <c r="H59" s="13" t="n">
        <v>1</v>
      </c>
      <c r="I59" s="13" t="n">
        <v>0</v>
      </c>
      <c r="J59" s="13" t="n">
        <v>0</v>
      </c>
      <c r="K59" s="13" t="n">
        <v>0</v>
      </c>
      <c r="L59" s="17" t="n">
        <v>0</v>
      </c>
      <c r="M59" s="18" t="n">
        <f aca="false">IF(H59=0,"",I59/H59)</f>
        <v>0</v>
      </c>
    </row>
    <row r="60" customFormat="false" ht="15" hidden="false" customHeight="false" outlineLevel="0" collapsed="false">
      <c r="A60" s="13" t="s">
        <v>113</v>
      </c>
      <c r="B60" s="13" t="s">
        <v>169</v>
      </c>
      <c r="C60" s="13" t="n">
        <v>23</v>
      </c>
      <c r="D60" s="13" t="n">
        <v>0</v>
      </c>
      <c r="E60" s="13" t="n">
        <v>17</v>
      </c>
      <c r="F60" s="13" t="n">
        <v>46</v>
      </c>
      <c r="G60" s="17" t="n">
        <v>0</v>
      </c>
      <c r="H60" s="13" t="n">
        <v>23</v>
      </c>
      <c r="I60" s="13" t="n">
        <v>0</v>
      </c>
      <c r="J60" s="13" t="n">
        <v>17</v>
      </c>
      <c r="K60" s="13" t="n">
        <v>46</v>
      </c>
      <c r="L60" s="17" t="n">
        <v>0</v>
      </c>
      <c r="M60" s="18" t="n">
        <f aca="false">IF(H60=0,"",I60/H60)</f>
        <v>0</v>
      </c>
    </row>
    <row r="61" customFormat="false" ht="15" hidden="false" customHeight="false" outlineLevel="0" collapsed="false">
      <c r="A61" s="13" t="s">
        <v>113</v>
      </c>
      <c r="B61" s="13" t="s">
        <v>170</v>
      </c>
      <c r="C61" s="13" t="n">
        <v>14</v>
      </c>
      <c r="D61" s="13" t="n">
        <v>0</v>
      </c>
      <c r="E61" s="13" t="n">
        <v>0</v>
      </c>
      <c r="F61" s="13" t="n">
        <v>0</v>
      </c>
      <c r="G61" s="17" t="n">
        <v>0</v>
      </c>
      <c r="H61" s="13" t="n">
        <v>14</v>
      </c>
      <c r="I61" s="13" t="n">
        <v>0</v>
      </c>
      <c r="J61" s="13" t="n">
        <v>0</v>
      </c>
      <c r="K61" s="13" t="n">
        <v>0</v>
      </c>
      <c r="L61" s="17" t="n">
        <v>0</v>
      </c>
      <c r="M61" s="18" t="n">
        <f aca="false">IF(H61=0,"",I61/H61)</f>
        <v>0</v>
      </c>
    </row>
    <row r="62" customFormat="false" ht="15" hidden="false" customHeight="false" outlineLevel="0" collapsed="false">
      <c r="A62" s="13" t="s">
        <v>113</v>
      </c>
      <c r="B62" s="13" t="s">
        <v>172</v>
      </c>
      <c r="C62" s="13" t="n">
        <v>33</v>
      </c>
      <c r="D62" s="13" t="n">
        <v>8</v>
      </c>
      <c r="E62" s="13" t="n">
        <v>23</v>
      </c>
      <c r="F62" s="13" t="n">
        <v>0</v>
      </c>
      <c r="G62" s="17" t="n">
        <v>0.0384956</v>
      </c>
      <c r="H62" s="13" t="n">
        <v>33</v>
      </c>
      <c r="I62" s="13" t="n">
        <v>8</v>
      </c>
      <c r="J62" s="13" t="n">
        <v>23</v>
      </c>
      <c r="K62" s="13" t="n">
        <v>0</v>
      </c>
      <c r="L62" s="17" t="n">
        <v>0.0384956</v>
      </c>
      <c r="M62" s="18" t="n">
        <f aca="false">IF(H62=0,"",I62/H62)</f>
        <v>0.242424242424242</v>
      </c>
    </row>
    <row r="63" customFormat="false" ht="15" hidden="false" customHeight="false" outlineLevel="0" collapsed="false">
      <c r="A63" s="13" t="s">
        <v>113</v>
      </c>
      <c r="B63" s="13" t="s">
        <v>175</v>
      </c>
      <c r="C63" s="13" t="n">
        <v>13</v>
      </c>
      <c r="D63" s="13" t="n">
        <v>0</v>
      </c>
      <c r="E63" s="13" t="n">
        <v>0</v>
      </c>
      <c r="F63" s="13" t="n">
        <v>13</v>
      </c>
      <c r="G63" s="17" t="n">
        <v>0</v>
      </c>
      <c r="H63" s="13" t="n">
        <v>13</v>
      </c>
      <c r="I63" s="13" t="n">
        <v>0</v>
      </c>
      <c r="J63" s="13" t="n">
        <v>0</v>
      </c>
      <c r="K63" s="13" t="n">
        <v>13</v>
      </c>
      <c r="L63" s="17" t="n">
        <v>0</v>
      </c>
      <c r="M63" s="18" t="n">
        <f aca="false">IF(H63=0,"",I63/H63)</f>
        <v>0</v>
      </c>
    </row>
    <row r="64" customFormat="false" ht="15" hidden="false" customHeight="false" outlineLevel="0" collapsed="false">
      <c r="A64" s="13" t="s">
        <v>113</v>
      </c>
      <c r="B64" s="13" t="s">
        <v>176</v>
      </c>
      <c r="C64" s="13" t="n">
        <v>20</v>
      </c>
      <c r="D64" s="13" t="n">
        <v>0</v>
      </c>
      <c r="E64" s="13" t="n">
        <v>0</v>
      </c>
      <c r="F64" s="13" t="n">
        <v>0</v>
      </c>
      <c r="G64" s="17" t="n">
        <v>0</v>
      </c>
      <c r="H64" s="13" t="n">
        <v>20</v>
      </c>
      <c r="I64" s="13" t="n">
        <v>0</v>
      </c>
      <c r="J64" s="13" t="n">
        <v>0</v>
      </c>
      <c r="K64" s="13" t="n">
        <v>0</v>
      </c>
      <c r="L64" s="17" t="n">
        <v>0</v>
      </c>
      <c r="M64" s="18" t="n">
        <f aca="false">IF(H64=0,"",I64/H64)</f>
        <v>0</v>
      </c>
    </row>
    <row r="65" customFormat="false" ht="15" hidden="false" customHeight="false" outlineLevel="0" collapsed="false">
      <c r="A65" s="13" t="s">
        <v>206</v>
      </c>
      <c r="B65" s="13" t="s">
        <v>176</v>
      </c>
      <c r="C65" s="13" t="n">
        <v>1</v>
      </c>
      <c r="D65" s="13" t="n">
        <v>0</v>
      </c>
      <c r="E65" s="13" t="n">
        <v>0</v>
      </c>
      <c r="F65" s="13" t="n">
        <v>0</v>
      </c>
      <c r="G65" s="17" t="n">
        <v>0</v>
      </c>
      <c r="H65" s="13" t="n">
        <v>2</v>
      </c>
      <c r="I65" s="13" t="n">
        <v>0</v>
      </c>
      <c r="J65" s="13" t="n">
        <v>0</v>
      </c>
      <c r="K65" s="13" t="n">
        <v>0</v>
      </c>
      <c r="L65" s="17" t="n">
        <v>0</v>
      </c>
      <c r="M65" s="18" t="n">
        <f aca="false">IF(H65=0,"",I65/H65)</f>
        <v>0</v>
      </c>
    </row>
    <row r="66" customFormat="false" ht="15" hidden="false" customHeight="false" outlineLevel="0" collapsed="false">
      <c r="A66" s="13" t="s">
        <v>207</v>
      </c>
      <c r="B66" s="13" t="s">
        <v>176</v>
      </c>
      <c r="C66" s="13" t="n">
        <v>1</v>
      </c>
      <c r="D66" s="13" t="n">
        <v>0</v>
      </c>
      <c r="E66" s="13" t="n">
        <v>0</v>
      </c>
      <c r="F66" s="13" t="n">
        <v>0</v>
      </c>
      <c r="G66" s="17" t="n">
        <v>0</v>
      </c>
      <c r="H66" s="13" t="n">
        <v>1</v>
      </c>
      <c r="I66" s="13" t="n">
        <v>0</v>
      </c>
      <c r="J66" s="13" t="n">
        <v>0</v>
      </c>
      <c r="K66" s="13" t="n">
        <v>0</v>
      </c>
      <c r="L66" s="17" t="n">
        <v>0</v>
      </c>
      <c r="M66" s="18" t="n">
        <f aca="false">IF(H66=0,"",I66/H66)</f>
        <v>0</v>
      </c>
    </row>
    <row r="67" customFormat="false" ht="15" hidden="false" customHeight="false" outlineLevel="0" collapsed="false">
      <c r="A67" s="13" t="s">
        <v>117</v>
      </c>
      <c r="B67" s="13" t="s">
        <v>169</v>
      </c>
      <c r="C67" s="13" t="n">
        <v>0</v>
      </c>
      <c r="D67" s="13" t="n">
        <v>0</v>
      </c>
      <c r="E67" s="13" t="n">
        <v>0</v>
      </c>
      <c r="F67" s="13" t="n">
        <v>0</v>
      </c>
      <c r="G67" s="17" t="n">
        <v>0</v>
      </c>
      <c r="H67" s="13" t="n">
        <v>27</v>
      </c>
      <c r="I67" s="13" t="n">
        <v>0</v>
      </c>
      <c r="J67" s="13" t="n">
        <v>27</v>
      </c>
      <c r="K67" s="13" t="n">
        <v>54</v>
      </c>
      <c r="L67" s="17" t="n">
        <v>0</v>
      </c>
      <c r="M67" s="18" t="n">
        <f aca="false">IF(H67=0,"",I67/H67)</f>
        <v>0</v>
      </c>
    </row>
    <row r="68" customFormat="false" ht="15" hidden="false" customHeight="false" outlineLevel="0" collapsed="false">
      <c r="A68" s="13" t="s">
        <v>117</v>
      </c>
      <c r="B68" s="13" t="s">
        <v>170</v>
      </c>
      <c r="C68" s="13" t="n">
        <v>0</v>
      </c>
      <c r="D68" s="13" t="n">
        <v>0</v>
      </c>
      <c r="E68" s="13" t="n">
        <v>0</v>
      </c>
      <c r="F68" s="13" t="n">
        <v>0</v>
      </c>
      <c r="G68" s="17" t="n">
        <v>0</v>
      </c>
      <c r="H68" s="13" t="n">
        <v>27</v>
      </c>
      <c r="I68" s="13" t="n">
        <v>0</v>
      </c>
      <c r="J68" s="13" t="n">
        <v>0</v>
      </c>
      <c r="K68" s="13" t="n">
        <v>0</v>
      </c>
      <c r="L68" s="17" t="n">
        <v>0</v>
      </c>
      <c r="M68" s="18" t="n">
        <f aca="false">IF(H68=0,"",I68/H68)</f>
        <v>0</v>
      </c>
    </row>
    <row r="69" customFormat="false" ht="15" hidden="false" customHeight="false" outlineLevel="0" collapsed="false">
      <c r="A69" s="13" t="s">
        <v>117</v>
      </c>
      <c r="B69" s="13" t="s">
        <v>172</v>
      </c>
      <c r="C69" s="13" t="n">
        <v>2</v>
      </c>
      <c r="D69" s="13" t="n">
        <v>1</v>
      </c>
      <c r="E69" s="13" t="n">
        <v>1</v>
      </c>
      <c r="F69" s="13" t="n">
        <v>0</v>
      </c>
      <c r="G69" s="17" t="n">
        <v>0.0031124</v>
      </c>
      <c r="H69" s="13" t="n">
        <v>78</v>
      </c>
      <c r="I69" s="13" t="n">
        <v>1</v>
      </c>
      <c r="J69" s="13" t="n">
        <v>76</v>
      </c>
      <c r="K69" s="13" t="n">
        <v>0</v>
      </c>
      <c r="L69" s="17" t="n">
        <v>0.021994</v>
      </c>
      <c r="M69" s="18" t="n">
        <f aca="false">IF(H69=0,"",I69/H69)</f>
        <v>0.0128205128205128</v>
      </c>
    </row>
    <row r="70" customFormat="false" ht="15" hidden="false" customHeight="false" outlineLevel="0" collapsed="false">
      <c r="A70" s="13" t="s">
        <v>117</v>
      </c>
      <c r="B70" s="13" t="s">
        <v>176</v>
      </c>
      <c r="C70" s="13" t="n">
        <v>0</v>
      </c>
      <c r="D70" s="13" t="n">
        <v>0</v>
      </c>
      <c r="E70" s="13" t="n">
        <v>0</v>
      </c>
      <c r="F70" s="13" t="n">
        <v>0</v>
      </c>
      <c r="G70" s="17" t="n">
        <v>0</v>
      </c>
      <c r="H70" s="13" t="n">
        <v>75</v>
      </c>
      <c r="I70" s="13" t="n">
        <v>0</v>
      </c>
      <c r="J70" s="13" t="n">
        <v>0</v>
      </c>
      <c r="K70" s="13" t="n">
        <v>0</v>
      </c>
      <c r="L70" s="17" t="n">
        <v>0</v>
      </c>
      <c r="M70" s="18" t="n">
        <f aca="false">IF(H70=0,"",I70/H70)</f>
        <v>0</v>
      </c>
    </row>
    <row r="71" customFormat="false" ht="15" hidden="false" customHeight="false" outlineLevel="0" collapsed="false">
      <c r="A71" s="13" t="s">
        <v>208</v>
      </c>
      <c r="B71" s="13" t="s">
        <v>176</v>
      </c>
      <c r="C71" s="13" t="n">
        <v>1</v>
      </c>
      <c r="D71" s="13" t="n">
        <v>0</v>
      </c>
      <c r="E71" s="13" t="n">
        <v>0</v>
      </c>
      <c r="F71" s="13" t="n">
        <v>0</v>
      </c>
      <c r="G71" s="17" t="n">
        <v>0</v>
      </c>
      <c r="H71" s="13" t="n">
        <v>1</v>
      </c>
      <c r="I71" s="13" t="n">
        <v>0</v>
      </c>
      <c r="J71" s="13" t="n">
        <v>0</v>
      </c>
      <c r="K71" s="13" t="n">
        <v>0</v>
      </c>
      <c r="L71" s="17" t="n">
        <v>0</v>
      </c>
      <c r="M71" s="18" t="n">
        <f aca="false">IF(H71=0,"",I71/H71)</f>
        <v>0</v>
      </c>
    </row>
    <row r="72" customFormat="false" ht="15" hidden="false" customHeight="false" outlineLevel="0" collapsed="false">
      <c r="A72" s="13" t="s">
        <v>81</v>
      </c>
      <c r="B72" s="13" t="s">
        <v>169</v>
      </c>
      <c r="C72" s="13" t="n">
        <v>9</v>
      </c>
      <c r="D72" s="13" t="n">
        <v>0</v>
      </c>
      <c r="E72" s="13" t="n">
        <v>0</v>
      </c>
      <c r="F72" s="13" t="n">
        <v>18</v>
      </c>
      <c r="G72" s="17" t="n">
        <v>0</v>
      </c>
      <c r="H72" s="13" t="n">
        <v>9</v>
      </c>
      <c r="I72" s="13" t="n">
        <v>0</v>
      </c>
      <c r="J72" s="13" t="n">
        <v>0</v>
      </c>
      <c r="K72" s="13" t="n">
        <v>18</v>
      </c>
      <c r="L72" s="17" t="n">
        <v>0</v>
      </c>
      <c r="M72" s="18" t="n">
        <f aca="false">IF(H72=0,"",I72/H72)</f>
        <v>0</v>
      </c>
    </row>
    <row r="73" customFormat="false" ht="15" hidden="false" customHeight="false" outlineLevel="0" collapsed="false">
      <c r="A73" s="13" t="s">
        <v>81</v>
      </c>
      <c r="B73" s="13" t="s">
        <v>170</v>
      </c>
      <c r="C73" s="13" t="n">
        <v>0</v>
      </c>
      <c r="D73" s="13" t="n">
        <v>0</v>
      </c>
      <c r="E73" s="13" t="n">
        <v>0</v>
      </c>
      <c r="F73" s="13" t="n">
        <v>0</v>
      </c>
      <c r="G73" s="17" t="n">
        <v>0</v>
      </c>
      <c r="H73" s="13" t="n">
        <v>9</v>
      </c>
      <c r="I73" s="13" t="n">
        <v>0</v>
      </c>
      <c r="J73" s="13" t="n">
        <v>9</v>
      </c>
      <c r="K73" s="13" t="n">
        <v>0</v>
      </c>
      <c r="L73" s="17" t="n">
        <v>0</v>
      </c>
      <c r="M73" s="18" t="n">
        <f aca="false">IF(H73=0,"",I73/H73)</f>
        <v>0</v>
      </c>
    </row>
    <row r="74" customFormat="false" ht="15" hidden="false" customHeight="false" outlineLevel="0" collapsed="false">
      <c r="A74" s="13" t="s">
        <v>81</v>
      </c>
      <c r="B74" s="13" t="s">
        <v>172</v>
      </c>
      <c r="C74" s="13" t="n">
        <v>7</v>
      </c>
      <c r="D74" s="13" t="n">
        <v>6</v>
      </c>
      <c r="E74" s="13" t="n">
        <v>1</v>
      </c>
      <c r="F74" s="13" t="n">
        <v>0</v>
      </c>
      <c r="G74" s="17" t="n">
        <v>0.0025472</v>
      </c>
      <c r="H74" s="13" t="n">
        <v>7</v>
      </c>
      <c r="I74" s="13" t="n">
        <v>6</v>
      </c>
      <c r="J74" s="13" t="n">
        <v>1</v>
      </c>
      <c r="K74" s="13" t="n">
        <v>0</v>
      </c>
      <c r="L74" s="17" t="n">
        <v>0.0025472</v>
      </c>
      <c r="M74" s="18" t="n">
        <f aca="false">IF(H74=0,"",I74/H74)</f>
        <v>0.857142857142857</v>
      </c>
    </row>
    <row r="75" customFormat="false" ht="15" hidden="false" customHeight="false" outlineLevel="0" collapsed="false">
      <c r="A75" s="13" t="s">
        <v>81</v>
      </c>
      <c r="B75" s="13" t="s">
        <v>174</v>
      </c>
      <c r="C75" s="13" t="n">
        <v>8</v>
      </c>
      <c r="D75" s="13" t="n">
        <v>5</v>
      </c>
      <c r="E75" s="13" t="n">
        <v>0</v>
      </c>
      <c r="F75" s="13" t="n">
        <v>0</v>
      </c>
      <c r="G75" s="17" t="n">
        <v>0.00279223</v>
      </c>
      <c r="H75" s="13" t="n">
        <v>8</v>
      </c>
      <c r="I75" s="13" t="n">
        <v>5</v>
      </c>
      <c r="J75" s="13" t="n">
        <v>0</v>
      </c>
      <c r="K75" s="13" t="n">
        <v>0</v>
      </c>
      <c r="L75" s="17" t="n">
        <v>0.00279223</v>
      </c>
      <c r="M75" s="18" t="n">
        <f aca="false">IF(H75=0,"",I75/H75)</f>
        <v>0.625</v>
      </c>
    </row>
    <row r="76" customFormat="false" ht="15" hidden="false" customHeight="false" outlineLevel="0" collapsed="false">
      <c r="A76" s="13" t="s">
        <v>81</v>
      </c>
      <c r="B76" s="13" t="s">
        <v>175</v>
      </c>
      <c r="C76" s="13" t="n">
        <v>7</v>
      </c>
      <c r="D76" s="13" t="n">
        <v>0</v>
      </c>
      <c r="E76" s="13" t="n">
        <v>0</v>
      </c>
      <c r="F76" s="13" t="n">
        <v>7</v>
      </c>
      <c r="G76" s="17" t="n">
        <v>0</v>
      </c>
      <c r="H76" s="13" t="n">
        <v>7</v>
      </c>
      <c r="I76" s="13" t="n">
        <v>0</v>
      </c>
      <c r="J76" s="13" t="n">
        <v>0</v>
      </c>
      <c r="K76" s="13" t="n">
        <v>7</v>
      </c>
      <c r="L76" s="17" t="n">
        <v>0</v>
      </c>
      <c r="M76" s="18" t="n">
        <f aca="false">IF(H76=0,"",I76/H76)</f>
        <v>0</v>
      </c>
    </row>
    <row r="77" customFormat="false" ht="15" hidden="false" customHeight="false" outlineLevel="0" collapsed="false">
      <c r="A77" s="13" t="s">
        <v>81</v>
      </c>
      <c r="B77" s="13" t="s">
        <v>176</v>
      </c>
      <c r="C77" s="13" t="n">
        <v>1</v>
      </c>
      <c r="D77" s="13" t="n">
        <v>0</v>
      </c>
      <c r="E77" s="13" t="n">
        <v>0</v>
      </c>
      <c r="F77" s="13" t="n">
        <v>0</v>
      </c>
      <c r="G77" s="17" t="n">
        <v>0</v>
      </c>
      <c r="H77" s="13" t="n">
        <v>2</v>
      </c>
      <c r="I77" s="13" t="n">
        <v>0</v>
      </c>
      <c r="J77" s="13" t="n">
        <v>0</v>
      </c>
      <c r="K77" s="13" t="n">
        <v>0</v>
      </c>
      <c r="L77" s="17" t="n">
        <v>0</v>
      </c>
      <c r="M77" s="18" t="n">
        <f aca="false">IF(H77=0,"",I77/H77)</f>
        <v>0</v>
      </c>
    </row>
    <row r="78" customFormat="false" ht="15" hidden="false" customHeight="false" outlineLevel="0" collapsed="false">
      <c r="A78" s="13" t="s">
        <v>209</v>
      </c>
      <c r="B78" s="13" t="s">
        <v>176</v>
      </c>
      <c r="C78" s="13" t="n">
        <v>1</v>
      </c>
      <c r="D78" s="13" t="n">
        <v>0</v>
      </c>
      <c r="E78" s="13" t="n">
        <v>0</v>
      </c>
      <c r="F78" s="13" t="n">
        <v>0</v>
      </c>
      <c r="G78" s="17" t="n">
        <v>0</v>
      </c>
      <c r="H78" s="13" t="n">
        <v>1</v>
      </c>
      <c r="I78" s="13" t="n">
        <v>0</v>
      </c>
      <c r="J78" s="13" t="n">
        <v>0</v>
      </c>
      <c r="K78" s="13" t="n">
        <v>0</v>
      </c>
      <c r="L78" s="17" t="n">
        <v>0</v>
      </c>
      <c r="M78" s="18" t="n">
        <f aca="false">IF(H78=0,"",I78/H78)</f>
        <v>0</v>
      </c>
    </row>
    <row r="79" customFormat="false" ht="15" hidden="false" customHeight="false" outlineLevel="0" collapsed="false">
      <c r="A79" s="13" t="s">
        <v>71</v>
      </c>
      <c r="B79" s="13" t="s">
        <v>172</v>
      </c>
      <c r="C79" s="13" t="n">
        <v>416</v>
      </c>
      <c r="D79" s="13" t="n">
        <v>397</v>
      </c>
      <c r="E79" s="13" t="n">
        <v>10</v>
      </c>
      <c r="F79" s="13" t="n">
        <v>0</v>
      </c>
      <c r="G79" s="17" t="n">
        <v>0.0979772</v>
      </c>
      <c r="H79" s="13" t="n">
        <v>416</v>
      </c>
      <c r="I79" s="13" t="n">
        <v>397</v>
      </c>
      <c r="J79" s="13" t="n">
        <v>10</v>
      </c>
      <c r="K79" s="13" t="n">
        <v>0</v>
      </c>
      <c r="L79" s="17" t="n">
        <v>0.0979772</v>
      </c>
      <c r="M79" s="18" t="n">
        <f aca="false">IF(H79=0,"",I79/H79)</f>
        <v>0.954326923076923</v>
      </c>
    </row>
    <row r="80" customFormat="false" ht="15" hidden="false" customHeight="false" outlineLevel="0" collapsed="false">
      <c r="A80" s="13" t="s">
        <v>71</v>
      </c>
      <c r="B80" s="13" t="s">
        <v>174</v>
      </c>
      <c r="C80" s="13" t="n">
        <v>19</v>
      </c>
      <c r="D80" s="13" t="n">
        <v>17</v>
      </c>
      <c r="E80" s="13" t="n">
        <v>0</v>
      </c>
      <c r="F80" s="13" t="n">
        <v>0</v>
      </c>
      <c r="G80" s="17" t="n">
        <v>0.00578265</v>
      </c>
      <c r="H80" s="13" t="n">
        <v>19</v>
      </c>
      <c r="I80" s="13" t="n">
        <v>17</v>
      </c>
      <c r="J80" s="13" t="n">
        <v>0</v>
      </c>
      <c r="K80" s="13" t="n">
        <v>0</v>
      </c>
      <c r="L80" s="17" t="n">
        <v>0.00578265</v>
      </c>
      <c r="M80" s="18" t="n">
        <f aca="false">IF(H80=0,"",I80/H80)</f>
        <v>0.894736842105263</v>
      </c>
    </row>
    <row r="81" customFormat="false" ht="15" hidden="false" customHeight="false" outlineLevel="0" collapsed="false">
      <c r="A81" s="13" t="s">
        <v>71</v>
      </c>
      <c r="B81" s="13" t="s">
        <v>175</v>
      </c>
      <c r="C81" s="13" t="n">
        <v>18</v>
      </c>
      <c r="D81" s="13" t="n">
        <v>0</v>
      </c>
      <c r="E81" s="13" t="n">
        <v>0</v>
      </c>
      <c r="F81" s="13" t="n">
        <v>18</v>
      </c>
      <c r="G81" s="17" t="n">
        <v>0</v>
      </c>
      <c r="H81" s="13" t="n">
        <v>18</v>
      </c>
      <c r="I81" s="13" t="n">
        <v>0</v>
      </c>
      <c r="J81" s="13" t="n">
        <v>0</v>
      </c>
      <c r="K81" s="13" t="n">
        <v>18</v>
      </c>
      <c r="L81" s="17" t="n">
        <v>0</v>
      </c>
      <c r="M81" s="18" t="n">
        <f aca="false">IF(H81=0,"",I81/H81)</f>
        <v>0</v>
      </c>
    </row>
    <row r="82" customFormat="false" ht="15" hidden="false" customHeight="false" outlineLevel="0" collapsed="false">
      <c r="A82" s="13" t="s">
        <v>71</v>
      </c>
      <c r="B82" s="13" t="s">
        <v>176</v>
      </c>
      <c r="C82" s="13" t="n">
        <v>10</v>
      </c>
      <c r="D82" s="13" t="n">
        <v>0</v>
      </c>
      <c r="E82" s="13" t="n">
        <v>0</v>
      </c>
      <c r="F82" s="13" t="n">
        <v>0</v>
      </c>
      <c r="G82" s="17" t="n">
        <v>0</v>
      </c>
      <c r="H82" s="13" t="n">
        <v>10</v>
      </c>
      <c r="I82" s="13" t="n">
        <v>0</v>
      </c>
      <c r="J82" s="13" t="n">
        <v>0</v>
      </c>
      <c r="K82" s="13" t="n">
        <v>0</v>
      </c>
      <c r="L82" s="17" t="n">
        <v>0</v>
      </c>
      <c r="M82" s="18" t="n">
        <f aca="false">IF(H82=0,"",I82/H82)</f>
        <v>0</v>
      </c>
    </row>
    <row r="83" customFormat="false" ht="15" hidden="false" customHeight="false" outlineLevel="0" collapsed="false">
      <c r="A83" s="13" t="s">
        <v>210</v>
      </c>
      <c r="B83" s="13" t="s">
        <v>176</v>
      </c>
      <c r="C83" s="13" t="n">
        <v>1</v>
      </c>
      <c r="D83" s="13" t="n">
        <v>0</v>
      </c>
      <c r="E83" s="13" t="n">
        <v>0</v>
      </c>
      <c r="F83" s="13" t="n">
        <v>0</v>
      </c>
      <c r="G83" s="17" t="n">
        <v>0</v>
      </c>
      <c r="H83" s="13" t="n">
        <v>1</v>
      </c>
      <c r="I83" s="13" t="n">
        <v>0</v>
      </c>
      <c r="J83" s="13" t="n">
        <v>0</v>
      </c>
      <c r="K83" s="13" t="n">
        <v>0</v>
      </c>
      <c r="L83" s="17" t="n">
        <v>0</v>
      </c>
      <c r="M83" s="18" t="n">
        <f aca="false">IF(H83=0,"",I83/H83)</f>
        <v>0</v>
      </c>
    </row>
    <row r="84" customFormat="false" ht="15" hidden="false" customHeight="false" outlineLevel="0" collapsed="false">
      <c r="A84" s="13" t="s">
        <v>211</v>
      </c>
      <c r="B84" s="13" t="s">
        <v>176</v>
      </c>
      <c r="C84" s="13" t="n">
        <v>0</v>
      </c>
      <c r="D84" s="13" t="n">
        <v>0</v>
      </c>
      <c r="E84" s="13" t="n">
        <v>0</v>
      </c>
      <c r="F84" s="13" t="n">
        <v>0</v>
      </c>
      <c r="G84" s="17" t="n">
        <v>0</v>
      </c>
      <c r="H84" s="13" t="n">
        <v>1</v>
      </c>
      <c r="I84" s="13" t="n">
        <v>0</v>
      </c>
      <c r="J84" s="13" t="n">
        <v>0</v>
      </c>
      <c r="K84" s="13" t="n">
        <v>0</v>
      </c>
      <c r="L84" s="17" t="n">
        <v>0</v>
      </c>
      <c r="M84" s="18" t="n">
        <f aca="false">IF(H84=0,"",I84/H84)</f>
        <v>0</v>
      </c>
    </row>
    <row r="85" customFormat="false" ht="15" hidden="false" customHeight="false" outlineLevel="0" collapsed="false">
      <c r="A85" s="13" t="s">
        <v>212</v>
      </c>
      <c r="B85" s="13" t="s">
        <v>176</v>
      </c>
      <c r="C85" s="13" t="n">
        <v>1</v>
      </c>
      <c r="D85" s="13" t="n">
        <v>0</v>
      </c>
      <c r="E85" s="13" t="n">
        <v>0</v>
      </c>
      <c r="F85" s="13" t="n">
        <v>0</v>
      </c>
      <c r="G85" s="17" t="n">
        <v>0</v>
      </c>
      <c r="H85" s="13" t="n">
        <v>1</v>
      </c>
      <c r="I85" s="13" t="n">
        <v>0</v>
      </c>
      <c r="J85" s="13" t="n">
        <v>0</v>
      </c>
      <c r="K85" s="13" t="n">
        <v>0</v>
      </c>
      <c r="L85" s="17" t="n">
        <v>0</v>
      </c>
      <c r="M85" s="18" t="n">
        <f aca="false">IF(H85=0,"",I85/H85)</f>
        <v>0</v>
      </c>
    </row>
    <row r="86" customFormat="false" ht="15" hidden="false" customHeight="false" outlineLevel="0" collapsed="false">
      <c r="A86" s="13" t="s">
        <v>213</v>
      </c>
      <c r="B86" s="13" t="s">
        <v>176</v>
      </c>
      <c r="C86" s="13" t="n">
        <v>0</v>
      </c>
      <c r="D86" s="13" t="n">
        <v>0</v>
      </c>
      <c r="E86" s="13" t="n">
        <v>0</v>
      </c>
      <c r="F86" s="13" t="n">
        <v>0</v>
      </c>
      <c r="G86" s="17" t="n">
        <v>0</v>
      </c>
      <c r="H86" s="13" t="n">
        <v>1</v>
      </c>
      <c r="I86" s="13" t="n">
        <v>0</v>
      </c>
      <c r="J86" s="13" t="n">
        <v>0</v>
      </c>
      <c r="K86" s="13" t="n">
        <v>0</v>
      </c>
      <c r="L86" s="17" t="n">
        <v>0</v>
      </c>
      <c r="M86" s="18" t="n">
        <f aca="false">IF(H86=0,"",I86/H86)</f>
        <v>0</v>
      </c>
    </row>
    <row r="87" customFormat="false" ht="15" hidden="false" customHeight="false" outlineLevel="0" collapsed="false">
      <c r="A87" s="13" t="s">
        <v>214</v>
      </c>
      <c r="B87" s="13" t="s">
        <v>176</v>
      </c>
      <c r="C87" s="13" t="n">
        <v>1</v>
      </c>
      <c r="D87" s="13" t="n">
        <v>0</v>
      </c>
      <c r="E87" s="13" t="n">
        <v>0</v>
      </c>
      <c r="F87" s="13" t="n">
        <v>0</v>
      </c>
      <c r="G87" s="17" t="n">
        <v>0</v>
      </c>
      <c r="H87" s="13" t="n">
        <v>1</v>
      </c>
      <c r="I87" s="13" t="n">
        <v>0</v>
      </c>
      <c r="J87" s="13" t="n">
        <v>0</v>
      </c>
      <c r="K87" s="13" t="n">
        <v>0</v>
      </c>
      <c r="L87" s="17" t="n">
        <v>0</v>
      </c>
      <c r="M87" s="18" t="n">
        <f aca="false">IF(H87=0,"",I87/H87)</f>
        <v>0</v>
      </c>
    </row>
    <row r="88" customFormat="false" ht="15" hidden="false" customHeight="false" outlineLevel="0" collapsed="false">
      <c r="A88" s="13" t="s">
        <v>215</v>
      </c>
      <c r="B88" s="13" t="s">
        <v>176</v>
      </c>
      <c r="C88" s="13" t="n">
        <v>1</v>
      </c>
      <c r="D88" s="13" t="n">
        <v>0</v>
      </c>
      <c r="E88" s="13" t="n">
        <v>0</v>
      </c>
      <c r="F88" s="13" t="n">
        <v>0</v>
      </c>
      <c r="G88" s="17" t="n">
        <v>0</v>
      </c>
      <c r="H88" s="13" t="n">
        <v>1</v>
      </c>
      <c r="I88" s="13" t="n">
        <v>0</v>
      </c>
      <c r="J88" s="13" t="n">
        <v>0</v>
      </c>
      <c r="K88" s="13" t="n">
        <v>0</v>
      </c>
      <c r="L88" s="17" t="n">
        <v>0</v>
      </c>
      <c r="M88" s="18" t="n">
        <f aca="false">IF(H88=0,"",I88/H88)</f>
        <v>0</v>
      </c>
    </row>
    <row r="89" customFormat="false" ht="15" hidden="false" customHeight="false" outlineLevel="0" collapsed="false">
      <c r="A89" s="13" t="s">
        <v>216</v>
      </c>
      <c r="B89" s="13" t="s">
        <v>176</v>
      </c>
      <c r="C89" s="13" t="n">
        <v>1</v>
      </c>
      <c r="D89" s="13" t="n">
        <v>0</v>
      </c>
      <c r="E89" s="13" t="n">
        <v>0</v>
      </c>
      <c r="F89" s="13" t="n">
        <v>0</v>
      </c>
      <c r="G89" s="17" t="n">
        <v>0</v>
      </c>
      <c r="H89" s="13" t="n">
        <v>1</v>
      </c>
      <c r="I89" s="13" t="n">
        <v>0</v>
      </c>
      <c r="J89" s="13" t="n">
        <v>0</v>
      </c>
      <c r="K89" s="13" t="n">
        <v>0</v>
      </c>
      <c r="L89" s="17" t="n">
        <v>0</v>
      </c>
      <c r="M89" s="18" t="n">
        <f aca="false">IF(H89=0,"",I89/H89)</f>
        <v>0</v>
      </c>
    </row>
    <row r="90" customFormat="false" ht="15" hidden="false" customHeight="false" outlineLevel="0" collapsed="false">
      <c r="A90" s="13" t="s">
        <v>217</v>
      </c>
      <c r="B90" s="13" t="s">
        <v>176</v>
      </c>
      <c r="C90" s="13" t="n">
        <v>0</v>
      </c>
      <c r="D90" s="13" t="n">
        <v>0</v>
      </c>
      <c r="E90" s="13" t="n">
        <v>0</v>
      </c>
      <c r="F90" s="13" t="n">
        <v>0</v>
      </c>
      <c r="G90" s="17" t="n">
        <v>0</v>
      </c>
      <c r="H90" s="13" t="n">
        <v>1</v>
      </c>
      <c r="I90" s="13" t="n">
        <v>0</v>
      </c>
      <c r="J90" s="13" t="n">
        <v>0</v>
      </c>
      <c r="K90" s="13" t="n">
        <v>0</v>
      </c>
      <c r="L90" s="17" t="n">
        <v>0</v>
      </c>
      <c r="M90" s="18" t="n">
        <f aca="false">IF(H90=0,"",I90/H90)</f>
        <v>0</v>
      </c>
    </row>
    <row r="91" customFormat="false" ht="15" hidden="false" customHeight="false" outlineLevel="0" collapsed="false">
      <c r="A91" s="13" t="s">
        <v>218</v>
      </c>
      <c r="B91" s="13" t="s">
        <v>176</v>
      </c>
      <c r="C91" s="13" t="n">
        <v>1</v>
      </c>
      <c r="D91" s="13" t="n">
        <v>0</v>
      </c>
      <c r="E91" s="13" t="n">
        <v>0</v>
      </c>
      <c r="F91" s="13" t="n">
        <v>0</v>
      </c>
      <c r="G91" s="17" t="n">
        <v>0</v>
      </c>
      <c r="H91" s="13" t="n">
        <v>1</v>
      </c>
      <c r="I91" s="13" t="n">
        <v>0</v>
      </c>
      <c r="J91" s="13" t="n">
        <v>0</v>
      </c>
      <c r="K91" s="13" t="n">
        <v>0</v>
      </c>
      <c r="L91" s="17" t="n">
        <v>0</v>
      </c>
      <c r="M91" s="18" t="n">
        <f aca="false">IF(H91=0,"",I91/H91)</f>
        <v>0</v>
      </c>
    </row>
    <row r="92" customFormat="false" ht="15" hidden="false" customHeight="false" outlineLevel="0" collapsed="false">
      <c r="A92" s="13" t="s">
        <v>219</v>
      </c>
      <c r="B92" s="13" t="s">
        <v>176</v>
      </c>
      <c r="C92" s="13" t="n">
        <v>1</v>
      </c>
      <c r="D92" s="13" t="n">
        <v>0</v>
      </c>
      <c r="E92" s="13" t="n">
        <v>0</v>
      </c>
      <c r="F92" s="13" t="n">
        <v>0</v>
      </c>
      <c r="G92" s="17" t="n">
        <v>0</v>
      </c>
      <c r="H92" s="13" t="n">
        <v>1</v>
      </c>
      <c r="I92" s="13" t="n">
        <v>0</v>
      </c>
      <c r="J92" s="13" t="n">
        <v>0</v>
      </c>
      <c r="K92" s="13" t="n">
        <v>0</v>
      </c>
      <c r="L92" s="17" t="n">
        <v>0</v>
      </c>
      <c r="M92" s="18" t="n">
        <f aca="false">IF(H92=0,"",I92/H92)</f>
        <v>0</v>
      </c>
    </row>
    <row r="93" customFormat="false" ht="15" hidden="false" customHeight="false" outlineLevel="0" collapsed="false">
      <c r="A93" s="13" t="s">
        <v>220</v>
      </c>
      <c r="B93" s="13" t="s">
        <v>176</v>
      </c>
      <c r="C93" s="13" t="n">
        <v>1</v>
      </c>
      <c r="D93" s="13" t="n">
        <v>0</v>
      </c>
      <c r="E93" s="13" t="n">
        <v>0</v>
      </c>
      <c r="F93" s="13" t="n">
        <v>0</v>
      </c>
      <c r="G93" s="17" t="n">
        <v>0</v>
      </c>
      <c r="H93" s="13" t="n">
        <v>2</v>
      </c>
      <c r="I93" s="13" t="n">
        <v>0</v>
      </c>
      <c r="J93" s="13" t="n">
        <v>0</v>
      </c>
      <c r="K93" s="13" t="n">
        <v>0</v>
      </c>
      <c r="L93" s="17" t="n">
        <v>0</v>
      </c>
      <c r="M93" s="18" t="n">
        <f aca="false">IF(H93=0,"",I93/H93)</f>
        <v>0</v>
      </c>
    </row>
    <row r="94" customFormat="false" ht="15" hidden="false" customHeight="false" outlineLevel="0" collapsed="false">
      <c r="A94" s="13" t="s">
        <v>221</v>
      </c>
      <c r="B94" s="13" t="s">
        <v>176</v>
      </c>
      <c r="C94" s="13" t="n">
        <v>1</v>
      </c>
      <c r="D94" s="13" t="n">
        <v>0</v>
      </c>
      <c r="E94" s="13" t="n">
        <v>0</v>
      </c>
      <c r="F94" s="13" t="n">
        <v>0</v>
      </c>
      <c r="G94" s="17" t="n">
        <v>0</v>
      </c>
      <c r="H94" s="13" t="n">
        <v>1</v>
      </c>
      <c r="I94" s="13" t="n">
        <v>0</v>
      </c>
      <c r="J94" s="13" t="n">
        <v>0</v>
      </c>
      <c r="K94" s="13" t="n">
        <v>0</v>
      </c>
      <c r="L94" s="17" t="n">
        <v>0</v>
      </c>
      <c r="M94" s="18" t="n">
        <f aca="false">IF(H94=0,"",I94/H94)</f>
        <v>0</v>
      </c>
    </row>
    <row r="95" customFormat="false" ht="15" hidden="false" customHeight="false" outlineLevel="0" collapsed="false">
      <c r="A95" s="13" t="s">
        <v>222</v>
      </c>
      <c r="B95" s="13" t="s">
        <v>176</v>
      </c>
      <c r="C95" s="13" t="n">
        <v>1</v>
      </c>
      <c r="D95" s="13" t="n">
        <v>0</v>
      </c>
      <c r="E95" s="13" t="n">
        <v>0</v>
      </c>
      <c r="F95" s="13" t="n">
        <v>0</v>
      </c>
      <c r="G95" s="17" t="n">
        <v>0</v>
      </c>
      <c r="H95" s="13" t="n">
        <v>1</v>
      </c>
      <c r="I95" s="13" t="n">
        <v>0</v>
      </c>
      <c r="J95" s="13" t="n">
        <v>0</v>
      </c>
      <c r="K95" s="13" t="n">
        <v>0</v>
      </c>
      <c r="L95" s="17" t="n">
        <v>0</v>
      </c>
      <c r="M95" s="18" t="n">
        <f aca="false">IF(H95=0,"",I95/H95)</f>
        <v>0</v>
      </c>
    </row>
    <row r="96" customFormat="false" ht="15" hidden="false" customHeight="false" outlineLevel="0" collapsed="false">
      <c r="A96" s="13" t="s">
        <v>223</v>
      </c>
      <c r="B96" s="13" t="s">
        <v>176</v>
      </c>
      <c r="C96" s="13" t="n">
        <v>1</v>
      </c>
      <c r="D96" s="13" t="n">
        <v>0</v>
      </c>
      <c r="E96" s="13" t="n">
        <v>0</v>
      </c>
      <c r="F96" s="13" t="n">
        <v>0</v>
      </c>
      <c r="G96" s="17" t="n">
        <v>0</v>
      </c>
      <c r="H96" s="13" t="n">
        <v>1</v>
      </c>
      <c r="I96" s="13" t="n">
        <v>0</v>
      </c>
      <c r="J96" s="13" t="n">
        <v>0</v>
      </c>
      <c r="K96" s="13" t="n">
        <v>0</v>
      </c>
      <c r="L96" s="17" t="n">
        <v>0</v>
      </c>
      <c r="M96" s="18" t="n">
        <f aca="false">IF(H96=0,"",I96/H96)</f>
        <v>0</v>
      </c>
    </row>
    <row r="97" customFormat="false" ht="15" hidden="false" customHeight="false" outlineLevel="0" collapsed="false">
      <c r="A97" s="13" t="s">
        <v>224</v>
      </c>
      <c r="B97" s="13" t="s">
        <v>176</v>
      </c>
      <c r="C97" s="13" t="n">
        <v>1</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225</v>
      </c>
      <c r="B98" s="13" t="s">
        <v>176</v>
      </c>
      <c r="C98" s="13" t="n">
        <v>1</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226</v>
      </c>
      <c r="B99" s="13" t="s">
        <v>176</v>
      </c>
      <c r="C99" s="13" t="n">
        <v>1</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227</v>
      </c>
      <c r="B100" s="13" t="s">
        <v>176</v>
      </c>
      <c r="C100" s="13" t="n">
        <v>1</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228</v>
      </c>
      <c r="B101" s="13" t="s">
        <v>176</v>
      </c>
      <c r="C101" s="13" t="n">
        <v>1</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229</v>
      </c>
      <c r="B102" s="13" t="s">
        <v>176</v>
      </c>
      <c r="C102" s="13" t="n">
        <v>1</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230</v>
      </c>
      <c r="B103" s="13" t="s">
        <v>176</v>
      </c>
      <c r="C103" s="13" t="n">
        <v>1</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231</v>
      </c>
      <c r="B104" s="13" t="s">
        <v>176</v>
      </c>
      <c r="C104" s="13" t="n">
        <v>1</v>
      </c>
      <c r="D104" s="13" t="n">
        <v>0</v>
      </c>
      <c r="E104" s="13" t="n">
        <v>0</v>
      </c>
      <c r="F104" s="13" t="n">
        <v>0</v>
      </c>
      <c r="G104" s="17" t="n">
        <v>0</v>
      </c>
      <c r="H104" s="13" t="n">
        <v>2</v>
      </c>
      <c r="I104" s="13" t="n">
        <v>0</v>
      </c>
      <c r="J104" s="13" t="n">
        <v>0</v>
      </c>
      <c r="K104" s="13" t="n">
        <v>0</v>
      </c>
      <c r="L104" s="17" t="n">
        <v>0</v>
      </c>
      <c r="M104" s="18" t="n">
        <f aca="false">IF(H104=0,"",I104/H104)</f>
        <v>0</v>
      </c>
    </row>
    <row r="105" customFormat="false" ht="15" hidden="false" customHeight="false" outlineLevel="0" collapsed="false">
      <c r="A105" s="13" t="s">
        <v>232</v>
      </c>
      <c r="B105" s="13" t="s">
        <v>176</v>
      </c>
      <c r="C105" s="13" t="n">
        <v>1</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89</v>
      </c>
      <c r="B106" s="13" t="s">
        <v>169</v>
      </c>
      <c r="C106" s="13" t="n">
        <v>0</v>
      </c>
      <c r="D106" s="13" t="n">
        <v>0</v>
      </c>
      <c r="E106" s="13" t="n">
        <v>0</v>
      </c>
      <c r="F106" s="13" t="n">
        <v>0</v>
      </c>
      <c r="G106" s="17" t="n">
        <v>0</v>
      </c>
      <c r="H106" s="13" t="n">
        <v>67</v>
      </c>
      <c r="I106" s="13" t="n">
        <v>0</v>
      </c>
      <c r="J106" s="13" t="n">
        <v>0</v>
      </c>
      <c r="K106" s="13" t="n">
        <v>134</v>
      </c>
      <c r="L106" s="17" t="n">
        <v>0</v>
      </c>
      <c r="M106" s="18" t="n">
        <f aca="false">IF(H106=0,"",I106/H106)</f>
        <v>0</v>
      </c>
    </row>
    <row r="107" customFormat="false" ht="15" hidden="false" customHeight="false" outlineLevel="0" collapsed="false">
      <c r="A107" s="13" t="s">
        <v>89</v>
      </c>
      <c r="B107" s="13" t="s">
        <v>170</v>
      </c>
      <c r="C107" s="13" t="n">
        <v>0</v>
      </c>
      <c r="D107" s="13" t="n">
        <v>0</v>
      </c>
      <c r="E107" s="13" t="n">
        <v>0</v>
      </c>
      <c r="F107" s="13" t="n">
        <v>0</v>
      </c>
      <c r="G107" s="17" t="n">
        <v>0</v>
      </c>
      <c r="H107" s="13" t="n">
        <v>66</v>
      </c>
      <c r="I107" s="13" t="n">
        <v>0</v>
      </c>
      <c r="J107" s="13" t="n">
        <v>66</v>
      </c>
      <c r="K107" s="13" t="n">
        <v>0</v>
      </c>
      <c r="L107" s="17" t="n">
        <v>0</v>
      </c>
      <c r="M107" s="18" t="n">
        <f aca="false">IF(H107=0,"",I107/H107)</f>
        <v>0</v>
      </c>
    </row>
    <row r="108" customFormat="false" ht="15" hidden="false" customHeight="false" outlineLevel="0" collapsed="false">
      <c r="A108" s="13" t="s">
        <v>89</v>
      </c>
      <c r="B108" s="13" t="s">
        <v>172</v>
      </c>
      <c r="C108" s="13" t="n">
        <v>0</v>
      </c>
      <c r="D108" s="13" t="n">
        <v>0</v>
      </c>
      <c r="E108" s="13" t="n">
        <v>0</v>
      </c>
      <c r="F108" s="13" t="n">
        <v>0</v>
      </c>
      <c r="G108" s="17" t="n">
        <v>0</v>
      </c>
      <c r="H108" s="13" t="n">
        <v>20</v>
      </c>
      <c r="I108" s="13" t="n">
        <v>6</v>
      </c>
      <c r="J108" s="13" t="n">
        <v>14</v>
      </c>
      <c r="K108" s="13" t="n">
        <v>0</v>
      </c>
      <c r="L108" s="17" t="n">
        <v>0.0036292</v>
      </c>
      <c r="M108" s="18" t="n">
        <f aca="false">IF(H108=0,"",I108/H108)</f>
        <v>0.3</v>
      </c>
    </row>
    <row r="109" customFormat="false" ht="15" hidden="false" customHeight="false" outlineLevel="0" collapsed="false">
      <c r="A109" s="13" t="s">
        <v>89</v>
      </c>
      <c r="B109" s="13" t="s">
        <v>176</v>
      </c>
      <c r="C109" s="13" t="n">
        <v>0</v>
      </c>
      <c r="D109" s="13" t="n">
        <v>0</v>
      </c>
      <c r="E109" s="13" t="n">
        <v>0</v>
      </c>
      <c r="F109" s="13" t="n">
        <v>0</v>
      </c>
      <c r="G109" s="17" t="n">
        <v>0</v>
      </c>
      <c r="H109" s="13" t="n">
        <v>11</v>
      </c>
      <c r="I109" s="13" t="n">
        <v>0</v>
      </c>
      <c r="J109" s="13" t="n">
        <v>0</v>
      </c>
      <c r="K109" s="13" t="n">
        <v>0</v>
      </c>
      <c r="L109" s="17" t="n">
        <v>0</v>
      </c>
      <c r="M109" s="18" t="n">
        <f aca="false">IF(H109=0,"",I109/H109)</f>
        <v>0</v>
      </c>
    </row>
    <row r="110" customFormat="false" ht="15" hidden="false" customHeight="false" outlineLevel="0" collapsed="false">
      <c r="A110" s="13" t="s">
        <v>233</v>
      </c>
      <c r="B110" s="13" t="s">
        <v>176</v>
      </c>
      <c r="C110" s="13" t="n">
        <v>1</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234</v>
      </c>
      <c r="B111" s="13" t="s">
        <v>176</v>
      </c>
      <c r="C111" s="13" t="n">
        <v>1</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125</v>
      </c>
      <c r="B112" s="13" t="s">
        <v>175</v>
      </c>
      <c r="C112" s="13" t="n">
        <v>16</v>
      </c>
      <c r="D112" s="13" t="n">
        <v>0</v>
      </c>
      <c r="E112" s="13" t="n">
        <v>0</v>
      </c>
      <c r="F112" s="13" t="n">
        <v>16</v>
      </c>
      <c r="G112" s="17" t="n">
        <v>0</v>
      </c>
      <c r="H112" s="13" t="n">
        <v>16</v>
      </c>
      <c r="I112" s="13" t="n">
        <v>0</v>
      </c>
      <c r="J112" s="13" t="n">
        <v>0</v>
      </c>
      <c r="K112" s="13" t="n">
        <v>16</v>
      </c>
      <c r="L112" s="17" t="n">
        <v>0</v>
      </c>
      <c r="M112" s="18" t="n">
        <f aca="false">IF(H112=0,"",I112/H112)</f>
        <v>0</v>
      </c>
    </row>
    <row r="113" customFormat="false" ht="15" hidden="false" customHeight="false" outlineLevel="0" collapsed="false">
      <c r="A113" s="13" t="s">
        <v>235</v>
      </c>
      <c r="B113" s="13" t="s">
        <v>176</v>
      </c>
      <c r="C113" s="13" t="n">
        <v>1</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236</v>
      </c>
      <c r="B114" s="13" t="s">
        <v>176</v>
      </c>
      <c r="C114" s="13" t="n">
        <v>1</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237</v>
      </c>
      <c r="B115" s="13" t="s">
        <v>176</v>
      </c>
      <c r="C115" s="13" t="n">
        <v>1</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238</v>
      </c>
      <c r="B116" s="13" t="s">
        <v>176</v>
      </c>
      <c r="C116" s="13" t="n">
        <v>1</v>
      </c>
      <c r="D116" s="13" t="n">
        <v>0</v>
      </c>
      <c r="E116" s="13" t="n">
        <v>0</v>
      </c>
      <c r="F116" s="13" t="n">
        <v>0</v>
      </c>
      <c r="G116" s="17" t="n">
        <v>0</v>
      </c>
      <c r="H116" s="13" t="n">
        <v>1</v>
      </c>
      <c r="I116" s="13" t="n">
        <v>0</v>
      </c>
      <c r="J116" s="13" t="n">
        <v>0</v>
      </c>
      <c r="K116" s="13" t="n">
        <v>0</v>
      </c>
      <c r="L116" s="17" t="n">
        <v>0</v>
      </c>
      <c r="M116" s="18" t="n">
        <f aca="false">IF(H116=0,"",I116/H116)</f>
        <v>0</v>
      </c>
    </row>
    <row r="117" customFormat="false" ht="15" hidden="false" customHeight="false" outlineLevel="0" collapsed="false">
      <c r="A117" s="13" t="s">
        <v>239</v>
      </c>
      <c r="B117" s="13" t="s">
        <v>176</v>
      </c>
      <c r="C117" s="13" t="n">
        <v>1</v>
      </c>
      <c r="D117" s="13" t="n">
        <v>0</v>
      </c>
      <c r="E117" s="13" t="n">
        <v>0</v>
      </c>
      <c r="F117" s="13" t="n">
        <v>0</v>
      </c>
      <c r="G117" s="17" t="n">
        <v>0</v>
      </c>
      <c r="H117" s="13" t="n">
        <v>2</v>
      </c>
      <c r="I117" s="13" t="n">
        <v>0</v>
      </c>
      <c r="J117" s="13" t="n">
        <v>0</v>
      </c>
      <c r="K117" s="13" t="n">
        <v>0</v>
      </c>
      <c r="L117" s="17" t="n">
        <v>0</v>
      </c>
      <c r="M117" s="18" t="n">
        <f aca="false">IF(H117=0,"",I117/H117)</f>
        <v>0</v>
      </c>
    </row>
    <row r="118" customFormat="false" ht="15" hidden="false" customHeight="false" outlineLevel="0" collapsed="false">
      <c r="A118" s="13" t="s">
        <v>240</v>
      </c>
      <c r="B118" s="13" t="s">
        <v>176</v>
      </c>
      <c r="C118" s="13" t="n">
        <v>1</v>
      </c>
      <c r="D118" s="13" t="n">
        <v>0</v>
      </c>
      <c r="E118" s="13" t="n">
        <v>0</v>
      </c>
      <c r="F118" s="13" t="n">
        <v>0</v>
      </c>
      <c r="G118" s="17" t="n">
        <v>0</v>
      </c>
      <c r="H118" s="13" t="n">
        <v>2</v>
      </c>
      <c r="I118" s="13" t="n">
        <v>0</v>
      </c>
      <c r="J118" s="13" t="n">
        <v>0</v>
      </c>
      <c r="K118" s="13" t="n">
        <v>0</v>
      </c>
      <c r="L118" s="17" t="n">
        <v>0</v>
      </c>
      <c r="M118" s="18" t="n">
        <f aca="false">IF(H118=0,"",I118/H118)</f>
        <v>0</v>
      </c>
    </row>
    <row r="119" customFormat="false" ht="15" hidden="false" customHeight="false" outlineLevel="0" collapsed="false">
      <c r="A119" s="13" t="s">
        <v>241</v>
      </c>
      <c r="B119" s="13" t="s">
        <v>176</v>
      </c>
      <c r="C119" s="13" t="n">
        <v>1</v>
      </c>
      <c r="D119" s="13" t="n">
        <v>0</v>
      </c>
      <c r="E119" s="13" t="n">
        <v>0</v>
      </c>
      <c r="F119" s="13" t="n">
        <v>0</v>
      </c>
      <c r="G119" s="17" t="n">
        <v>0</v>
      </c>
      <c r="H119" s="13" t="n">
        <v>2</v>
      </c>
      <c r="I119" s="13" t="n">
        <v>0</v>
      </c>
      <c r="J119" s="13" t="n">
        <v>0</v>
      </c>
      <c r="K119" s="13" t="n">
        <v>0</v>
      </c>
      <c r="L119" s="17" t="n">
        <v>0</v>
      </c>
      <c r="M119" s="18" t="n">
        <f aca="false">IF(H119=0,"",I119/H119)</f>
        <v>0</v>
      </c>
    </row>
    <row r="120" customFormat="false" ht="15" hidden="false" customHeight="false" outlineLevel="0" collapsed="false">
      <c r="A120" s="13" t="s">
        <v>242</v>
      </c>
      <c r="B120" s="13" t="s">
        <v>176</v>
      </c>
      <c r="C120" s="13" t="n">
        <v>1</v>
      </c>
      <c r="D120" s="13" t="n">
        <v>0</v>
      </c>
      <c r="E120" s="13" t="n">
        <v>0</v>
      </c>
      <c r="F120" s="13" t="n">
        <v>0</v>
      </c>
      <c r="G120" s="17" t="n">
        <v>0</v>
      </c>
      <c r="H120" s="13" t="n">
        <v>2</v>
      </c>
      <c r="I120" s="13" t="n">
        <v>0</v>
      </c>
      <c r="J120" s="13" t="n">
        <v>0</v>
      </c>
      <c r="K120" s="13" t="n">
        <v>0</v>
      </c>
      <c r="L120" s="17" t="n">
        <v>0</v>
      </c>
      <c r="M120" s="18" t="n">
        <f aca="false">IF(H120=0,"",I120/H120)</f>
        <v>0</v>
      </c>
    </row>
    <row r="121" customFormat="false" ht="15" hidden="false" customHeight="false" outlineLevel="0" collapsed="false">
      <c r="A121" s="13" t="s">
        <v>243</v>
      </c>
      <c r="B121" s="13" t="s">
        <v>176</v>
      </c>
      <c r="C121" s="13" t="n">
        <v>1</v>
      </c>
      <c r="D121" s="13" t="n">
        <v>0</v>
      </c>
      <c r="E121" s="13" t="n">
        <v>0</v>
      </c>
      <c r="F121" s="13" t="n">
        <v>0</v>
      </c>
      <c r="G121" s="17" t="n">
        <v>0</v>
      </c>
      <c r="H121" s="13" t="n">
        <v>1</v>
      </c>
      <c r="I121" s="13" t="n">
        <v>0</v>
      </c>
      <c r="J121" s="13" t="n">
        <v>0</v>
      </c>
      <c r="K121" s="13" t="n">
        <v>0</v>
      </c>
      <c r="L121" s="17" t="n">
        <v>0</v>
      </c>
      <c r="M121" s="18" t="n">
        <f aca="false">IF(H121=0,"",I121/H121)</f>
        <v>0</v>
      </c>
    </row>
    <row r="122" customFormat="false" ht="15" hidden="false" customHeight="false" outlineLevel="0" collapsed="false">
      <c r="A122" s="13" t="s">
        <v>244</v>
      </c>
      <c r="B122" s="13" t="s">
        <v>176</v>
      </c>
      <c r="C122" s="13" t="n">
        <v>1</v>
      </c>
      <c r="D122" s="13" t="n">
        <v>0</v>
      </c>
      <c r="E122" s="13" t="n">
        <v>0</v>
      </c>
      <c r="F122" s="13" t="n">
        <v>0</v>
      </c>
      <c r="G122" s="17" t="n">
        <v>0</v>
      </c>
      <c r="H122" s="13" t="n">
        <v>1</v>
      </c>
      <c r="I122" s="13" t="n">
        <v>0</v>
      </c>
      <c r="J122" s="13" t="n">
        <v>0</v>
      </c>
      <c r="K122" s="13" t="n">
        <v>0</v>
      </c>
      <c r="L122" s="17" t="n">
        <v>0</v>
      </c>
      <c r="M122" s="18" t="n">
        <f aca="false">IF(H122=0,"",I122/H122)</f>
        <v>0</v>
      </c>
    </row>
    <row r="123" customFormat="false" ht="15" hidden="false" customHeight="false" outlineLevel="0" collapsed="false">
      <c r="A123" s="13" t="s">
        <v>245</v>
      </c>
      <c r="B123" s="13" t="s">
        <v>176</v>
      </c>
      <c r="C123" s="13" t="n">
        <v>1</v>
      </c>
      <c r="D123" s="13" t="n">
        <v>0</v>
      </c>
      <c r="E123" s="13" t="n">
        <v>0</v>
      </c>
      <c r="F123" s="13" t="n">
        <v>0</v>
      </c>
      <c r="G123" s="17" t="n">
        <v>0</v>
      </c>
      <c r="H123" s="13" t="n">
        <v>1</v>
      </c>
      <c r="I123" s="13" t="n">
        <v>0</v>
      </c>
      <c r="J123" s="13" t="n">
        <v>0</v>
      </c>
      <c r="K123" s="13" t="n">
        <v>0</v>
      </c>
      <c r="L123" s="17" t="n">
        <v>0</v>
      </c>
      <c r="M123" s="18" t="n">
        <f aca="false">IF(H123=0,"",I123/H123)</f>
        <v>0</v>
      </c>
    </row>
    <row r="124" customFormat="false" ht="15" hidden="false" customHeight="false" outlineLevel="0" collapsed="false">
      <c r="A124" s="13" t="s">
        <v>246</v>
      </c>
      <c r="B124" s="13" t="s">
        <v>176</v>
      </c>
      <c r="C124" s="13" t="n">
        <v>1</v>
      </c>
      <c r="D124" s="13" t="n">
        <v>0</v>
      </c>
      <c r="E124" s="13" t="n">
        <v>0</v>
      </c>
      <c r="F124" s="13" t="n">
        <v>0</v>
      </c>
      <c r="G124" s="17" t="n">
        <v>0</v>
      </c>
      <c r="H124" s="13" t="n">
        <v>2</v>
      </c>
      <c r="I124" s="13" t="n">
        <v>0</v>
      </c>
      <c r="J124" s="13" t="n">
        <v>0</v>
      </c>
      <c r="K124" s="13" t="n">
        <v>0</v>
      </c>
      <c r="L124" s="17" t="n">
        <v>0</v>
      </c>
      <c r="M124" s="18" t="n">
        <f aca="false">IF(H124=0,"",I124/H124)</f>
        <v>0</v>
      </c>
    </row>
    <row r="125" customFormat="false" ht="15" hidden="false" customHeight="false" outlineLevel="0" collapsed="false">
      <c r="A125" s="13" t="s">
        <v>247</v>
      </c>
      <c r="B125" s="13" t="s">
        <v>176</v>
      </c>
      <c r="C125" s="13" t="n">
        <v>1</v>
      </c>
      <c r="D125" s="13" t="n">
        <v>0</v>
      </c>
      <c r="E125" s="13" t="n">
        <v>0</v>
      </c>
      <c r="F125" s="13" t="n">
        <v>0</v>
      </c>
      <c r="G125" s="17" t="n">
        <v>0</v>
      </c>
      <c r="H125" s="13" t="n">
        <v>1</v>
      </c>
      <c r="I125" s="13" t="n">
        <v>0</v>
      </c>
      <c r="J125" s="13" t="n">
        <v>0</v>
      </c>
      <c r="K125" s="13" t="n">
        <v>0</v>
      </c>
      <c r="L125" s="17" t="n">
        <v>0</v>
      </c>
      <c r="M125" s="18" t="n">
        <f aca="false">IF(H125=0,"",I125/H125)</f>
        <v>0</v>
      </c>
    </row>
    <row r="126" customFormat="false" ht="15" hidden="false" customHeight="false" outlineLevel="0" collapsed="false">
      <c r="A126" s="13" t="s">
        <v>248</v>
      </c>
      <c r="B126" s="13" t="s">
        <v>176</v>
      </c>
      <c r="C126" s="13" t="n">
        <v>1</v>
      </c>
      <c r="D126" s="13" t="n">
        <v>0</v>
      </c>
      <c r="E126" s="13" t="n">
        <v>0</v>
      </c>
      <c r="F126" s="13" t="n">
        <v>0</v>
      </c>
      <c r="G126" s="17" t="n">
        <v>0</v>
      </c>
      <c r="H126" s="13" t="n">
        <v>1</v>
      </c>
      <c r="I126" s="13" t="n">
        <v>0</v>
      </c>
      <c r="J126" s="13" t="n">
        <v>0</v>
      </c>
      <c r="K126" s="13" t="n">
        <v>0</v>
      </c>
      <c r="L126" s="17" t="n">
        <v>0</v>
      </c>
      <c r="M126" s="18" t="n">
        <f aca="false">IF(H126=0,"",I126/H126)</f>
        <v>0</v>
      </c>
    </row>
    <row r="127" customFormat="false" ht="15" hidden="false" customHeight="false" outlineLevel="0" collapsed="false">
      <c r="A127" s="13" t="s">
        <v>249</v>
      </c>
      <c r="B127" s="13" t="s">
        <v>176</v>
      </c>
      <c r="C127" s="13" t="n">
        <v>1</v>
      </c>
      <c r="D127" s="13" t="n">
        <v>0</v>
      </c>
      <c r="E127" s="13" t="n">
        <v>0</v>
      </c>
      <c r="F127" s="13" t="n">
        <v>0</v>
      </c>
      <c r="G127" s="17" t="n">
        <v>0</v>
      </c>
      <c r="H127" s="13" t="n">
        <v>1</v>
      </c>
      <c r="I127" s="13" t="n">
        <v>0</v>
      </c>
      <c r="J127" s="13" t="n">
        <v>0</v>
      </c>
      <c r="K127" s="13" t="n">
        <v>0</v>
      </c>
      <c r="L127" s="17" t="n">
        <v>0</v>
      </c>
      <c r="M127" s="18" t="n">
        <f aca="false">IF(H127=0,"",I127/H127)</f>
        <v>0</v>
      </c>
    </row>
    <row r="128" customFormat="false" ht="15" hidden="false" customHeight="false" outlineLevel="0" collapsed="false">
      <c r="A128" s="13" t="s">
        <v>250</v>
      </c>
      <c r="B128" s="13" t="s">
        <v>176</v>
      </c>
      <c r="C128" s="13" t="n">
        <v>1</v>
      </c>
      <c r="D128" s="13" t="n">
        <v>0</v>
      </c>
      <c r="E128" s="13" t="n">
        <v>0</v>
      </c>
      <c r="F128" s="13" t="n">
        <v>0</v>
      </c>
      <c r="G128" s="17" t="n">
        <v>0</v>
      </c>
      <c r="H128" s="13" t="n">
        <v>1</v>
      </c>
      <c r="I128" s="13" t="n">
        <v>0</v>
      </c>
      <c r="J128" s="13" t="n">
        <v>0</v>
      </c>
      <c r="K128" s="13" t="n">
        <v>0</v>
      </c>
      <c r="L128" s="17" t="n">
        <v>0</v>
      </c>
      <c r="M128" s="18" t="n">
        <f aca="false">IF(H128=0,"",I128/H128)</f>
        <v>0</v>
      </c>
    </row>
    <row r="129" customFormat="false" ht="15" hidden="false" customHeight="false" outlineLevel="0" collapsed="false">
      <c r="A129" s="13" t="s">
        <v>251</v>
      </c>
      <c r="B129" s="13" t="s">
        <v>176</v>
      </c>
      <c r="C129" s="13" t="n">
        <v>1</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252</v>
      </c>
      <c r="B130" s="13" t="s">
        <v>176</v>
      </c>
      <c r="C130" s="13" t="n">
        <v>1</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253</v>
      </c>
      <c r="B131" s="13" t="s">
        <v>176</v>
      </c>
      <c r="C131" s="13" t="n">
        <v>1</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254</v>
      </c>
      <c r="B132" s="13" t="s">
        <v>176</v>
      </c>
      <c r="C132" s="13" t="n">
        <v>1</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255</v>
      </c>
      <c r="B133" s="13" t="s">
        <v>176</v>
      </c>
      <c r="C133" s="13" t="n">
        <v>1</v>
      </c>
      <c r="D133" s="13" t="n">
        <v>0</v>
      </c>
      <c r="E133" s="13" t="n">
        <v>0</v>
      </c>
      <c r="F133" s="13" t="n">
        <v>0</v>
      </c>
      <c r="G133" s="17" t="n">
        <v>0</v>
      </c>
      <c r="H133" s="13" t="n">
        <v>2</v>
      </c>
      <c r="I133" s="13" t="n">
        <v>0</v>
      </c>
      <c r="J133" s="13" t="n">
        <v>0</v>
      </c>
      <c r="K133" s="13" t="n">
        <v>0</v>
      </c>
      <c r="L133" s="17" t="n">
        <v>0</v>
      </c>
      <c r="M133" s="18" t="n">
        <f aca="false">IF(H133=0,"",I133/H133)</f>
        <v>0</v>
      </c>
    </row>
    <row r="134" customFormat="false" ht="15" hidden="false" customHeight="false" outlineLevel="0" collapsed="false">
      <c r="A134" s="13" t="s">
        <v>256</v>
      </c>
      <c r="B134" s="13" t="s">
        <v>176</v>
      </c>
      <c r="C134" s="13" t="n">
        <v>1</v>
      </c>
      <c r="D134" s="13" t="n">
        <v>0</v>
      </c>
      <c r="E134" s="13" t="n">
        <v>0</v>
      </c>
      <c r="F134" s="13" t="n">
        <v>0</v>
      </c>
      <c r="G134" s="17" t="n">
        <v>0</v>
      </c>
      <c r="H134" s="13" t="n">
        <v>2</v>
      </c>
      <c r="I134" s="13" t="n">
        <v>0</v>
      </c>
      <c r="J134" s="13" t="n">
        <v>0</v>
      </c>
      <c r="K134" s="13" t="n">
        <v>0</v>
      </c>
      <c r="L134" s="17" t="n">
        <v>0</v>
      </c>
      <c r="M134" s="18" t="n">
        <f aca="false">IF(H134=0,"",I134/H134)</f>
        <v>0</v>
      </c>
    </row>
    <row r="135" customFormat="false" ht="15" hidden="false" customHeight="false" outlineLevel="0" collapsed="false">
      <c r="A135" s="13" t="s">
        <v>257</v>
      </c>
      <c r="B135" s="13" t="s">
        <v>176</v>
      </c>
      <c r="C135" s="13" t="n">
        <v>1</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258</v>
      </c>
      <c r="B136" s="13" t="s">
        <v>176</v>
      </c>
      <c r="C136" s="13" t="n">
        <v>1</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259</v>
      </c>
      <c r="B137" s="13" t="s">
        <v>176</v>
      </c>
      <c r="C137" s="13" t="n">
        <v>1</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260</v>
      </c>
      <c r="B138" s="13" t="s">
        <v>176</v>
      </c>
      <c r="C138" s="13" t="n">
        <v>1</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261</v>
      </c>
      <c r="B139" s="13" t="s">
        <v>176</v>
      </c>
      <c r="C139" s="13" t="n">
        <v>1</v>
      </c>
      <c r="D139" s="13" t="n">
        <v>0</v>
      </c>
      <c r="E139" s="13" t="n">
        <v>0</v>
      </c>
      <c r="F139" s="13" t="n">
        <v>0</v>
      </c>
      <c r="G139" s="17" t="n">
        <v>0</v>
      </c>
      <c r="H139" s="13" t="n">
        <v>2</v>
      </c>
      <c r="I139" s="13" t="n">
        <v>0</v>
      </c>
      <c r="J139" s="13" t="n">
        <v>0</v>
      </c>
      <c r="K139" s="13" t="n">
        <v>0</v>
      </c>
      <c r="L139" s="17" t="n">
        <v>0</v>
      </c>
      <c r="M139" s="18" t="n">
        <f aca="false">IF(H139=0,"",I139/H139)</f>
        <v>0</v>
      </c>
    </row>
    <row r="140" customFormat="false" ht="15" hidden="false" customHeight="false" outlineLevel="0" collapsed="false">
      <c r="A140" s="13" t="s">
        <v>262</v>
      </c>
      <c r="B140" s="13" t="s">
        <v>176</v>
      </c>
      <c r="C140" s="13" t="n">
        <v>1</v>
      </c>
      <c r="D140" s="13" t="n">
        <v>0</v>
      </c>
      <c r="E140" s="13" t="n">
        <v>0</v>
      </c>
      <c r="F140" s="13" t="n">
        <v>0</v>
      </c>
      <c r="G140" s="17" t="n">
        <v>0</v>
      </c>
      <c r="H140" s="13" t="n">
        <v>2</v>
      </c>
      <c r="I140" s="13" t="n">
        <v>0</v>
      </c>
      <c r="J140" s="13" t="n">
        <v>0</v>
      </c>
      <c r="K140" s="13" t="n">
        <v>0</v>
      </c>
      <c r="L140" s="17" t="n">
        <v>0</v>
      </c>
      <c r="M140" s="18" t="n">
        <f aca="false">IF(H140=0,"",I140/H140)</f>
        <v>0</v>
      </c>
    </row>
    <row r="141" customFormat="false" ht="15" hidden="false" customHeight="false" outlineLevel="0" collapsed="false">
      <c r="A141" s="13" t="s">
        <v>263</v>
      </c>
      <c r="B141" s="13" t="s">
        <v>176</v>
      </c>
      <c r="C141" s="13" t="n">
        <v>1</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264</v>
      </c>
      <c r="B142" s="13" t="s">
        <v>176</v>
      </c>
      <c r="C142" s="13" t="n">
        <v>1</v>
      </c>
      <c r="D142" s="13" t="n">
        <v>0</v>
      </c>
      <c r="E142" s="13" t="n">
        <v>0</v>
      </c>
      <c r="F142" s="13" t="n">
        <v>0</v>
      </c>
      <c r="G142" s="17" t="n">
        <v>0</v>
      </c>
      <c r="H142" s="13" t="n">
        <v>2</v>
      </c>
      <c r="I142" s="13" t="n">
        <v>0</v>
      </c>
      <c r="J142" s="13" t="n">
        <v>0</v>
      </c>
      <c r="K142" s="13" t="n">
        <v>0</v>
      </c>
      <c r="L142" s="17" t="n">
        <v>0</v>
      </c>
      <c r="M142" s="18" t="n">
        <f aca="false">IF(H142=0,"",I142/H142)</f>
        <v>0</v>
      </c>
    </row>
    <row r="143" customFormat="false" ht="15" hidden="false" customHeight="false" outlineLevel="0" collapsed="false">
      <c r="A143" s="13" t="s">
        <v>265</v>
      </c>
      <c r="B143" s="13" t="s">
        <v>176</v>
      </c>
      <c r="C143" s="13" t="n">
        <v>1</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266</v>
      </c>
      <c r="B144" s="13" t="s">
        <v>176</v>
      </c>
      <c r="C144" s="13" t="n">
        <v>1</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267</v>
      </c>
      <c r="B145" s="13" t="s">
        <v>176</v>
      </c>
      <c r="C145" s="13" t="n">
        <v>1</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268</v>
      </c>
      <c r="B146" s="13" t="s">
        <v>176</v>
      </c>
      <c r="C146" s="13" t="n">
        <v>1</v>
      </c>
      <c r="D146" s="13" t="n">
        <v>0</v>
      </c>
      <c r="E146" s="13" t="n">
        <v>0</v>
      </c>
      <c r="F146" s="13" t="n">
        <v>0</v>
      </c>
      <c r="G146" s="17" t="n">
        <v>0</v>
      </c>
      <c r="H146" s="13" t="n">
        <v>2</v>
      </c>
      <c r="I146" s="13" t="n">
        <v>0</v>
      </c>
      <c r="J146" s="13" t="n">
        <v>0</v>
      </c>
      <c r="K146" s="13" t="n">
        <v>0</v>
      </c>
      <c r="L146" s="17" t="n">
        <v>0</v>
      </c>
      <c r="M146" s="18" t="n">
        <f aca="false">IF(H146=0,"",I146/H146)</f>
        <v>0</v>
      </c>
    </row>
    <row r="147" customFormat="false" ht="15" hidden="false" customHeight="false" outlineLevel="0" collapsed="false">
      <c r="A147" s="13" t="s">
        <v>269</v>
      </c>
      <c r="B147" s="13" t="s">
        <v>176</v>
      </c>
      <c r="C147" s="13" t="n">
        <v>1</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270</v>
      </c>
      <c r="B148" s="13" t="s">
        <v>176</v>
      </c>
      <c r="C148" s="13" t="n">
        <v>1</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271</v>
      </c>
      <c r="B149" s="13" t="s">
        <v>176</v>
      </c>
      <c r="C149" s="13" t="n">
        <v>1</v>
      </c>
      <c r="D149" s="13" t="n">
        <v>0</v>
      </c>
      <c r="E149" s="13" t="n">
        <v>0</v>
      </c>
      <c r="F149" s="13" t="n">
        <v>0</v>
      </c>
      <c r="G149" s="17" t="n">
        <v>0</v>
      </c>
      <c r="H149" s="13" t="n">
        <v>2</v>
      </c>
      <c r="I149" s="13" t="n">
        <v>0</v>
      </c>
      <c r="J149" s="13" t="n">
        <v>0</v>
      </c>
      <c r="K149" s="13" t="n">
        <v>0</v>
      </c>
      <c r="L149" s="17" t="n">
        <v>0</v>
      </c>
      <c r="M149" s="18" t="n">
        <f aca="false">IF(H149=0,"",I149/H149)</f>
        <v>0</v>
      </c>
    </row>
    <row r="150" customFormat="false" ht="15" hidden="false" customHeight="false" outlineLevel="0" collapsed="false">
      <c r="A150" s="13" t="s">
        <v>272</v>
      </c>
      <c r="B150" s="13" t="s">
        <v>176</v>
      </c>
      <c r="C150" s="13" t="n">
        <v>1</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273</v>
      </c>
      <c r="B151" s="13" t="s">
        <v>176</v>
      </c>
      <c r="C151" s="13" t="n">
        <v>1</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149</v>
      </c>
      <c r="B152" s="13" t="s">
        <v>170</v>
      </c>
      <c r="C152" s="13" t="n">
        <v>1</v>
      </c>
      <c r="D152" s="13" t="n">
        <v>0</v>
      </c>
      <c r="E152" s="13" t="n">
        <v>1</v>
      </c>
      <c r="F152" s="13" t="n">
        <v>0</v>
      </c>
      <c r="G152" s="17" t="n">
        <v>0</v>
      </c>
      <c r="H152" s="13" t="n">
        <v>1</v>
      </c>
      <c r="I152" s="13" t="n">
        <v>0</v>
      </c>
      <c r="J152" s="13" t="n">
        <v>1</v>
      </c>
      <c r="K152" s="13" t="n">
        <v>0</v>
      </c>
      <c r="L152" s="17" t="n">
        <v>0</v>
      </c>
      <c r="M152" s="18" t="n">
        <f aca="false">IF(H152=0,"",I152/H152)</f>
        <v>0</v>
      </c>
    </row>
    <row r="153" customFormat="false" ht="15" hidden="false" customHeight="false" outlineLevel="0" collapsed="false">
      <c r="A153" s="13" t="s">
        <v>274</v>
      </c>
      <c r="B153" s="13" t="s">
        <v>176</v>
      </c>
      <c r="C153" s="13" t="n">
        <v>1</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67</v>
      </c>
      <c r="B154" s="13" t="s">
        <v>169</v>
      </c>
      <c r="C154" s="13" t="n">
        <v>0</v>
      </c>
      <c r="D154" s="13" t="n">
        <v>0</v>
      </c>
      <c r="E154" s="13" t="n">
        <v>0</v>
      </c>
      <c r="F154" s="13" t="n">
        <v>0</v>
      </c>
      <c r="G154" s="17" t="n">
        <v>0</v>
      </c>
      <c r="H154" s="13" t="n">
        <v>1</v>
      </c>
      <c r="I154" s="13" t="n">
        <v>0</v>
      </c>
      <c r="J154" s="13" t="n">
        <v>0</v>
      </c>
      <c r="K154" s="13" t="n">
        <v>2</v>
      </c>
      <c r="L154" s="17" t="n">
        <v>0</v>
      </c>
      <c r="M154" s="18" t="n">
        <f aca="false">IF(H154=0,"",I154/H154)</f>
        <v>0</v>
      </c>
    </row>
    <row r="155" customFormat="false" ht="15" hidden="false" customHeight="false" outlineLevel="0" collapsed="false">
      <c r="A155" s="13" t="s">
        <v>67</v>
      </c>
      <c r="B155" s="13" t="s">
        <v>170</v>
      </c>
      <c r="C155" s="13" t="n">
        <v>0</v>
      </c>
      <c r="D155" s="13" t="n">
        <v>0</v>
      </c>
      <c r="E155" s="13" t="n">
        <v>0</v>
      </c>
      <c r="F155" s="13" t="n">
        <v>0</v>
      </c>
      <c r="G155" s="17" t="n">
        <v>0</v>
      </c>
      <c r="H155" s="13" t="n">
        <v>2</v>
      </c>
      <c r="I155" s="13" t="n">
        <v>1</v>
      </c>
      <c r="J155" s="13" t="n">
        <v>1</v>
      </c>
      <c r="K155" s="13" t="n">
        <v>0</v>
      </c>
      <c r="L155" s="17" t="n">
        <v>0</v>
      </c>
      <c r="M155" s="18" t="n">
        <f aca="false">IF(H155=0,"",I155/H155)</f>
        <v>0.5</v>
      </c>
    </row>
    <row r="156" customFormat="false" ht="15" hidden="false" customHeight="false" outlineLevel="0" collapsed="false">
      <c r="A156" s="13" t="s">
        <v>67</v>
      </c>
      <c r="B156" s="13" t="s">
        <v>172</v>
      </c>
      <c r="C156" s="13" t="n">
        <v>0</v>
      </c>
      <c r="D156" s="13" t="n">
        <v>0</v>
      </c>
      <c r="E156" s="13" t="n">
        <v>0</v>
      </c>
      <c r="F156" s="13" t="n">
        <v>0</v>
      </c>
      <c r="G156" s="17" t="n">
        <v>0</v>
      </c>
      <c r="H156" s="13" t="n">
        <v>237</v>
      </c>
      <c r="I156" s="13" t="n">
        <v>0</v>
      </c>
      <c r="J156" s="13" t="n">
        <v>237</v>
      </c>
      <c r="K156" s="13" t="n">
        <v>0</v>
      </c>
      <c r="L156" s="17" t="n">
        <v>0.01085784</v>
      </c>
      <c r="M156" s="18" t="n">
        <f aca="false">IF(H156=0,"",I156/H156)</f>
        <v>0</v>
      </c>
    </row>
    <row r="157" customFormat="false" ht="15" hidden="false" customHeight="false" outlineLevel="0" collapsed="false">
      <c r="A157" s="13" t="s">
        <v>67</v>
      </c>
      <c r="B157" s="13" t="s">
        <v>176</v>
      </c>
      <c r="C157" s="13" t="n">
        <v>0</v>
      </c>
      <c r="D157" s="13" t="n">
        <v>0</v>
      </c>
      <c r="E157" s="13" t="n">
        <v>0</v>
      </c>
      <c r="F157" s="13" t="n">
        <v>0</v>
      </c>
      <c r="G157" s="17" t="n">
        <v>0</v>
      </c>
      <c r="H157" s="13" t="n">
        <v>2</v>
      </c>
      <c r="I157" s="13" t="n">
        <v>0</v>
      </c>
      <c r="J157" s="13" t="n">
        <v>0</v>
      </c>
      <c r="K157" s="13" t="n">
        <v>0</v>
      </c>
      <c r="L157" s="17" t="n">
        <v>0</v>
      </c>
      <c r="M157" s="18" t="n">
        <f aca="false">IF(H157=0,"",I157/H157)</f>
        <v>0</v>
      </c>
    </row>
    <row r="158" customFormat="false" ht="15" hidden="false" customHeight="false" outlineLevel="0" collapsed="false">
      <c r="A158" s="13" t="s">
        <v>103</v>
      </c>
      <c r="B158" s="13" t="s">
        <v>172</v>
      </c>
      <c r="C158" s="13" t="n">
        <v>191</v>
      </c>
      <c r="D158" s="13" t="n">
        <v>152</v>
      </c>
      <c r="E158" s="13" t="n">
        <v>36</v>
      </c>
      <c r="F158" s="13" t="n">
        <v>0</v>
      </c>
      <c r="G158" s="17" t="n">
        <v>0.0462488</v>
      </c>
      <c r="H158" s="13" t="n">
        <v>191</v>
      </c>
      <c r="I158" s="13" t="n">
        <v>152</v>
      </c>
      <c r="J158" s="13" t="n">
        <v>36</v>
      </c>
      <c r="K158" s="13" t="n">
        <v>0</v>
      </c>
      <c r="L158" s="17" t="n">
        <v>0.0462488</v>
      </c>
      <c r="M158" s="18" t="n">
        <f aca="false">IF(H158=0,"",I158/H158)</f>
        <v>0.795811518324607</v>
      </c>
    </row>
    <row r="159" customFormat="false" ht="15" hidden="false" customHeight="false" outlineLevel="0" collapsed="false">
      <c r="A159" s="13" t="s">
        <v>103</v>
      </c>
      <c r="B159" s="13" t="s">
        <v>174</v>
      </c>
      <c r="C159" s="13" t="n">
        <v>16</v>
      </c>
      <c r="D159" s="13" t="n">
        <v>15</v>
      </c>
      <c r="E159" s="13" t="n">
        <v>0</v>
      </c>
      <c r="F159" s="13" t="n">
        <v>0</v>
      </c>
      <c r="G159" s="17" t="n">
        <v>0.00431966</v>
      </c>
      <c r="H159" s="13" t="n">
        <v>16</v>
      </c>
      <c r="I159" s="13" t="n">
        <v>15</v>
      </c>
      <c r="J159" s="13" t="n">
        <v>0</v>
      </c>
      <c r="K159" s="13" t="n">
        <v>0</v>
      </c>
      <c r="L159" s="17" t="n">
        <v>0.00431966</v>
      </c>
      <c r="M159" s="18" t="n">
        <f aca="false">IF(H159=0,"",I159/H159)</f>
        <v>0.9375</v>
      </c>
    </row>
    <row r="160" customFormat="false" ht="15" hidden="false" customHeight="false" outlineLevel="0" collapsed="false">
      <c r="A160" s="13" t="s">
        <v>103</v>
      </c>
      <c r="B160" s="13" t="s">
        <v>175</v>
      </c>
      <c r="C160" s="13" t="n">
        <v>16</v>
      </c>
      <c r="D160" s="13" t="n">
        <v>0</v>
      </c>
      <c r="E160" s="13" t="n">
        <v>0</v>
      </c>
      <c r="F160" s="13" t="n">
        <v>16</v>
      </c>
      <c r="G160" s="17" t="n">
        <v>0</v>
      </c>
      <c r="H160" s="13" t="n">
        <v>16</v>
      </c>
      <c r="I160" s="13" t="n">
        <v>0</v>
      </c>
      <c r="J160" s="13" t="n">
        <v>0</v>
      </c>
      <c r="K160" s="13" t="n">
        <v>16</v>
      </c>
      <c r="L160" s="17" t="n">
        <v>0</v>
      </c>
      <c r="M160" s="18" t="n">
        <f aca="false">IF(H160=0,"",I160/H160)</f>
        <v>0</v>
      </c>
    </row>
    <row r="161" customFormat="false" ht="15" hidden="false" customHeight="false" outlineLevel="0" collapsed="false">
      <c r="A161" s="13" t="s">
        <v>103</v>
      </c>
      <c r="B161" s="13" t="s">
        <v>176</v>
      </c>
      <c r="C161" s="13" t="n">
        <v>36</v>
      </c>
      <c r="D161" s="13" t="n">
        <v>0</v>
      </c>
      <c r="E161" s="13" t="n">
        <v>0</v>
      </c>
      <c r="F161" s="13" t="n">
        <v>0</v>
      </c>
      <c r="G161" s="17" t="n">
        <v>0</v>
      </c>
      <c r="H161" s="13" t="n">
        <v>36</v>
      </c>
      <c r="I161" s="13" t="n">
        <v>0</v>
      </c>
      <c r="J161" s="13" t="n">
        <v>0</v>
      </c>
      <c r="K161" s="13" t="n">
        <v>0</v>
      </c>
      <c r="L161" s="17" t="n">
        <v>0</v>
      </c>
      <c r="M161" s="18" t="n">
        <f aca="false">IF(H161=0,"",I161/H161)</f>
        <v>0</v>
      </c>
    </row>
    <row r="162" customFormat="false" ht="15" hidden="false" customHeight="false" outlineLevel="0" collapsed="false">
      <c r="A162" s="13" t="s">
        <v>275</v>
      </c>
      <c r="B162" s="13" t="s">
        <v>176</v>
      </c>
      <c r="C162" s="13" t="n">
        <v>1</v>
      </c>
      <c r="D162" s="13" t="n">
        <v>0</v>
      </c>
      <c r="E162" s="13" t="n">
        <v>0</v>
      </c>
      <c r="F162" s="13" t="n">
        <v>0</v>
      </c>
      <c r="G162" s="17" t="n">
        <v>0</v>
      </c>
      <c r="H162" s="13" t="n">
        <v>2</v>
      </c>
      <c r="I162" s="13" t="n">
        <v>0</v>
      </c>
      <c r="J162" s="13" t="n">
        <v>0</v>
      </c>
      <c r="K162" s="13" t="n">
        <v>0</v>
      </c>
      <c r="L162" s="17" t="n">
        <v>0</v>
      </c>
      <c r="M162" s="18" t="n">
        <f aca="false">IF(H162=0,"",I162/H162)</f>
        <v>0</v>
      </c>
    </row>
    <row r="163" customFormat="false" ht="15" hidden="false" customHeight="false" outlineLevel="0" collapsed="false">
      <c r="A163" s="13" t="s">
        <v>276</v>
      </c>
      <c r="B163" s="13" t="s">
        <v>176</v>
      </c>
      <c r="C163" s="13" t="n">
        <v>1</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277</v>
      </c>
      <c r="B164" s="13" t="s">
        <v>176</v>
      </c>
      <c r="C164" s="13" t="n">
        <v>0</v>
      </c>
      <c r="D164" s="13" t="n">
        <v>0</v>
      </c>
      <c r="E164" s="13" t="n">
        <v>0</v>
      </c>
      <c r="F164" s="13" t="n">
        <v>0</v>
      </c>
      <c r="G164" s="17" t="n">
        <v>0</v>
      </c>
      <c r="H164" s="13" t="n">
        <v>1</v>
      </c>
      <c r="I164" s="13" t="n">
        <v>0</v>
      </c>
      <c r="J164" s="13" t="n">
        <v>0</v>
      </c>
      <c r="K164" s="13" t="n">
        <v>0</v>
      </c>
      <c r="L164" s="17" t="n">
        <v>0</v>
      </c>
      <c r="M164" s="18" t="n">
        <f aca="false">IF(H164=0,"",I164/H164)</f>
        <v>0</v>
      </c>
    </row>
    <row r="165" customFormat="false" ht="15" hidden="false" customHeight="false" outlineLevel="0" collapsed="false">
      <c r="A165" s="13" t="s">
        <v>278</v>
      </c>
      <c r="B165" s="13" t="s">
        <v>176</v>
      </c>
      <c r="C165" s="13" t="n">
        <v>1</v>
      </c>
      <c r="D165" s="13" t="n">
        <v>0</v>
      </c>
      <c r="E165" s="13" t="n">
        <v>0</v>
      </c>
      <c r="F165" s="13" t="n">
        <v>0</v>
      </c>
      <c r="G165" s="17" t="n">
        <v>0</v>
      </c>
      <c r="H165" s="13" t="n">
        <v>1</v>
      </c>
      <c r="I165" s="13" t="n">
        <v>0</v>
      </c>
      <c r="J165" s="13" t="n">
        <v>0</v>
      </c>
      <c r="K165" s="13" t="n">
        <v>0</v>
      </c>
      <c r="L165" s="17" t="n">
        <v>0</v>
      </c>
      <c r="M165" s="18" t="n">
        <f aca="false">IF(H165=0,"",I165/H165)</f>
        <v>0</v>
      </c>
    </row>
    <row r="166" customFormat="false" ht="15" hidden="false" customHeight="false" outlineLevel="0" collapsed="false">
      <c r="A166" s="13" t="s">
        <v>279</v>
      </c>
      <c r="B166" s="13" t="s">
        <v>176</v>
      </c>
      <c r="C166" s="13" t="n">
        <v>1</v>
      </c>
      <c r="D166" s="13" t="n">
        <v>0</v>
      </c>
      <c r="E166" s="13" t="n">
        <v>0</v>
      </c>
      <c r="F166" s="13" t="n">
        <v>0</v>
      </c>
      <c r="G166" s="17" t="n">
        <v>0</v>
      </c>
      <c r="H166" s="13" t="n">
        <v>1</v>
      </c>
      <c r="I166" s="13" t="n">
        <v>0</v>
      </c>
      <c r="J166" s="13" t="n">
        <v>0</v>
      </c>
      <c r="K166" s="13" t="n">
        <v>0</v>
      </c>
      <c r="L166" s="17" t="n">
        <v>0</v>
      </c>
      <c r="M166" s="18" t="n">
        <f aca="false">IF(H166=0,"",I166/H166)</f>
        <v>0</v>
      </c>
    </row>
    <row r="167" customFormat="false" ht="15" hidden="false" customHeight="false" outlineLevel="0" collapsed="false">
      <c r="A167" s="13" t="s">
        <v>280</v>
      </c>
      <c r="B167" s="13" t="s">
        <v>176</v>
      </c>
      <c r="C167" s="13" t="n">
        <v>1</v>
      </c>
      <c r="D167" s="13" t="n">
        <v>0</v>
      </c>
      <c r="E167" s="13" t="n">
        <v>0</v>
      </c>
      <c r="F167" s="13" t="n">
        <v>0</v>
      </c>
      <c r="G167" s="17" t="n">
        <v>0</v>
      </c>
      <c r="H167" s="13" t="n">
        <v>1</v>
      </c>
      <c r="I167" s="13" t="n">
        <v>0</v>
      </c>
      <c r="J167" s="13" t="n">
        <v>0</v>
      </c>
      <c r="K167" s="13" t="n">
        <v>0</v>
      </c>
      <c r="L167" s="17" t="n">
        <v>0</v>
      </c>
      <c r="M167" s="18" t="n">
        <f aca="false">IF(H167=0,"",I167/H167)</f>
        <v>0</v>
      </c>
    </row>
    <row r="168" customFormat="false" ht="15" hidden="false" customHeight="false" outlineLevel="0" collapsed="false">
      <c r="A168" s="13" t="s">
        <v>281</v>
      </c>
      <c r="B168" s="13" t="s">
        <v>176</v>
      </c>
      <c r="C168" s="13" t="n">
        <v>1</v>
      </c>
      <c r="D168" s="13" t="n">
        <v>0</v>
      </c>
      <c r="E168" s="13" t="n">
        <v>0</v>
      </c>
      <c r="F168" s="13" t="n">
        <v>0</v>
      </c>
      <c r="G168" s="17" t="n">
        <v>0</v>
      </c>
      <c r="H168" s="13" t="n">
        <v>1</v>
      </c>
      <c r="I168" s="13" t="n">
        <v>0</v>
      </c>
      <c r="J168" s="13" t="n">
        <v>0</v>
      </c>
      <c r="K168" s="13" t="n">
        <v>0</v>
      </c>
      <c r="L168" s="17" t="n">
        <v>0</v>
      </c>
      <c r="M168" s="18" t="n">
        <f aca="false">IF(H168=0,"",I168/H168)</f>
        <v>0</v>
      </c>
    </row>
    <row r="169" customFormat="false" ht="15" hidden="false" customHeight="false" outlineLevel="0" collapsed="false">
      <c r="A169" s="13" t="s">
        <v>282</v>
      </c>
      <c r="B169" s="13" t="s">
        <v>176</v>
      </c>
      <c r="C169" s="13" t="n">
        <v>1</v>
      </c>
      <c r="D169" s="13" t="n">
        <v>0</v>
      </c>
      <c r="E169" s="13" t="n">
        <v>0</v>
      </c>
      <c r="F169" s="13" t="n">
        <v>0</v>
      </c>
      <c r="G169" s="17" t="n">
        <v>0</v>
      </c>
      <c r="H169" s="13" t="n">
        <v>1</v>
      </c>
      <c r="I169" s="13" t="n">
        <v>0</v>
      </c>
      <c r="J169" s="13" t="n">
        <v>0</v>
      </c>
      <c r="K169" s="13" t="n">
        <v>0</v>
      </c>
      <c r="L169" s="17" t="n">
        <v>0</v>
      </c>
      <c r="M169" s="18" t="n">
        <f aca="false">IF(H169=0,"",I169/H169)</f>
        <v>0</v>
      </c>
    </row>
    <row r="170" customFormat="false" ht="15" hidden="false" customHeight="false" outlineLevel="0" collapsed="false">
      <c r="A170" s="13" t="s">
        <v>283</v>
      </c>
      <c r="B170" s="13" t="s">
        <v>176</v>
      </c>
      <c r="C170" s="13" t="n">
        <v>1</v>
      </c>
      <c r="D170" s="13" t="n">
        <v>0</v>
      </c>
      <c r="E170" s="13" t="n">
        <v>0</v>
      </c>
      <c r="F170" s="13" t="n">
        <v>0</v>
      </c>
      <c r="G170" s="17" t="n">
        <v>0</v>
      </c>
      <c r="H170" s="13" t="n">
        <v>1</v>
      </c>
      <c r="I170" s="13" t="n">
        <v>0</v>
      </c>
      <c r="J170" s="13" t="n">
        <v>0</v>
      </c>
      <c r="K170" s="13" t="n">
        <v>0</v>
      </c>
      <c r="L170" s="17" t="n">
        <v>0</v>
      </c>
      <c r="M170" s="18" t="n">
        <f aca="false">IF(H170=0,"",I170/H170)</f>
        <v>0</v>
      </c>
    </row>
    <row r="171" customFormat="false" ht="15" hidden="false" customHeight="false" outlineLevel="0" collapsed="false">
      <c r="A171" s="13" t="s">
        <v>284</v>
      </c>
      <c r="B171" s="13" t="s">
        <v>176</v>
      </c>
      <c r="C171" s="13" t="n">
        <v>1</v>
      </c>
      <c r="D171" s="13" t="n">
        <v>0</v>
      </c>
      <c r="E171" s="13" t="n">
        <v>0</v>
      </c>
      <c r="F171" s="13" t="n">
        <v>0</v>
      </c>
      <c r="G171" s="17" t="n">
        <v>0</v>
      </c>
      <c r="H171" s="13" t="n">
        <v>2</v>
      </c>
      <c r="I171" s="13" t="n">
        <v>0</v>
      </c>
      <c r="J171" s="13" t="n">
        <v>0</v>
      </c>
      <c r="K171" s="13" t="n">
        <v>0</v>
      </c>
      <c r="L171" s="17" t="n">
        <v>0</v>
      </c>
      <c r="M171" s="18" t="n">
        <f aca="false">IF(H171=0,"",I171/H171)</f>
        <v>0</v>
      </c>
    </row>
    <row r="172" customFormat="false" ht="15" hidden="false" customHeight="false" outlineLevel="0" collapsed="false">
      <c r="A172" s="13" t="s">
        <v>284</v>
      </c>
      <c r="B172" s="13" t="s">
        <v>176</v>
      </c>
      <c r="C172" s="13" t="n">
        <v>0</v>
      </c>
      <c r="D172" s="13" t="n">
        <v>0</v>
      </c>
      <c r="E172" s="13" t="n">
        <v>0</v>
      </c>
      <c r="F172" s="13" t="n">
        <v>0</v>
      </c>
      <c r="G172" s="17" t="n">
        <v>0</v>
      </c>
      <c r="H172" s="13" t="n">
        <v>1</v>
      </c>
      <c r="I172" s="13" t="n">
        <v>0</v>
      </c>
      <c r="J172" s="13" t="n">
        <v>0</v>
      </c>
      <c r="K172" s="13" t="n">
        <v>0</v>
      </c>
      <c r="L172" s="17" t="n">
        <v>0</v>
      </c>
      <c r="M172" s="18" t="n">
        <f aca="false">IF(H172=0,"",I172/H172)</f>
        <v>0</v>
      </c>
    </row>
    <row r="173" customFormat="false" ht="15" hidden="false" customHeight="false" outlineLevel="0" collapsed="false">
      <c r="A173" s="13" t="s">
        <v>285</v>
      </c>
      <c r="B173" s="13" t="s">
        <v>176</v>
      </c>
      <c r="C173" s="13" t="n">
        <v>1</v>
      </c>
      <c r="D173" s="13" t="n">
        <v>0</v>
      </c>
      <c r="E173" s="13" t="n">
        <v>0</v>
      </c>
      <c r="F173" s="13" t="n">
        <v>0</v>
      </c>
      <c r="G173" s="17" t="n">
        <v>0</v>
      </c>
      <c r="H173" s="13" t="n">
        <v>1</v>
      </c>
      <c r="I173" s="13" t="n">
        <v>0</v>
      </c>
      <c r="J173" s="13" t="n">
        <v>0</v>
      </c>
      <c r="K173" s="13" t="n">
        <v>0</v>
      </c>
      <c r="L173" s="17" t="n">
        <v>0</v>
      </c>
      <c r="M173" s="18" t="n">
        <f aca="false">IF(H173=0,"",I173/H173)</f>
        <v>0</v>
      </c>
    </row>
    <row r="174" customFormat="false" ht="15" hidden="false" customHeight="false" outlineLevel="0" collapsed="false">
      <c r="A174" s="13" t="s">
        <v>286</v>
      </c>
      <c r="B174" s="13" t="s">
        <v>176</v>
      </c>
      <c r="C174" s="13" t="n">
        <v>1</v>
      </c>
      <c r="D174" s="13" t="n">
        <v>0</v>
      </c>
      <c r="E174" s="13" t="n">
        <v>0</v>
      </c>
      <c r="F174" s="13" t="n">
        <v>0</v>
      </c>
      <c r="G174" s="17" t="n">
        <v>0</v>
      </c>
      <c r="H174" s="13" t="n">
        <v>2</v>
      </c>
      <c r="I174" s="13" t="n">
        <v>0</v>
      </c>
      <c r="J174" s="13" t="n">
        <v>0</v>
      </c>
      <c r="K174" s="13" t="n">
        <v>0</v>
      </c>
      <c r="L174" s="17" t="n">
        <v>0</v>
      </c>
      <c r="M174" s="18" t="n">
        <f aca="false">IF(H174=0,"",I174/H174)</f>
        <v>0</v>
      </c>
    </row>
    <row r="175" customFormat="false" ht="15" hidden="false" customHeight="false" outlineLevel="0" collapsed="false">
      <c r="A175" s="13" t="s">
        <v>287</v>
      </c>
      <c r="B175" s="13" t="s">
        <v>176</v>
      </c>
      <c r="C175" s="13" t="n">
        <v>1</v>
      </c>
      <c r="D175" s="13" t="n">
        <v>0</v>
      </c>
      <c r="E175" s="13" t="n">
        <v>0</v>
      </c>
      <c r="F175" s="13" t="n">
        <v>0</v>
      </c>
      <c r="G175" s="17" t="n">
        <v>0</v>
      </c>
      <c r="H175" s="13" t="n">
        <v>1</v>
      </c>
      <c r="I175" s="13" t="n">
        <v>0</v>
      </c>
      <c r="J175" s="13" t="n">
        <v>0</v>
      </c>
      <c r="K175" s="13" t="n">
        <v>0</v>
      </c>
      <c r="L175" s="17" t="n">
        <v>0</v>
      </c>
      <c r="M175" s="18" t="n">
        <f aca="false">IF(H175=0,"",I175/H175)</f>
        <v>0</v>
      </c>
    </row>
    <row r="176" customFormat="false" ht="15" hidden="false" customHeight="false" outlineLevel="0" collapsed="false">
      <c r="A176" s="13" t="s">
        <v>55</v>
      </c>
      <c r="B176" s="13" t="s">
        <v>169</v>
      </c>
      <c r="C176" s="13" t="n">
        <v>0</v>
      </c>
      <c r="D176" s="13" t="n">
        <v>0</v>
      </c>
      <c r="E176" s="13" t="n">
        <v>0</v>
      </c>
      <c r="F176" s="13" t="n">
        <v>0</v>
      </c>
      <c r="G176" s="17" t="n">
        <v>0</v>
      </c>
      <c r="H176" s="13" t="n">
        <v>45</v>
      </c>
      <c r="I176" s="13" t="n">
        <v>0</v>
      </c>
      <c r="J176" s="13" t="n">
        <v>1</v>
      </c>
      <c r="K176" s="13" t="n">
        <v>90</v>
      </c>
      <c r="L176" s="17" t="n">
        <v>0</v>
      </c>
      <c r="M176" s="18" t="n">
        <f aca="false">IF(H176=0,"",I176/H176)</f>
        <v>0</v>
      </c>
    </row>
    <row r="177" customFormat="false" ht="15" hidden="false" customHeight="false" outlineLevel="0" collapsed="false">
      <c r="A177" s="13" t="s">
        <v>55</v>
      </c>
      <c r="B177" s="13" t="s">
        <v>170</v>
      </c>
      <c r="C177" s="13" t="n">
        <v>0</v>
      </c>
      <c r="D177" s="13" t="n">
        <v>0</v>
      </c>
      <c r="E177" s="13" t="n">
        <v>0</v>
      </c>
      <c r="F177" s="13" t="n">
        <v>0</v>
      </c>
      <c r="G177" s="17" t="n">
        <v>0</v>
      </c>
      <c r="H177" s="13" t="n">
        <v>45</v>
      </c>
      <c r="I177" s="13" t="n">
        <v>0</v>
      </c>
      <c r="J177" s="13" t="n">
        <v>44</v>
      </c>
      <c r="K177" s="13" t="n">
        <v>0</v>
      </c>
      <c r="L177" s="17" t="n">
        <v>0</v>
      </c>
      <c r="M177" s="18" t="n">
        <f aca="false">IF(H177=0,"",I177/H177)</f>
        <v>0</v>
      </c>
    </row>
    <row r="178" customFormat="false" ht="15" hidden="false" customHeight="false" outlineLevel="0" collapsed="false">
      <c r="A178" s="13" t="s">
        <v>55</v>
      </c>
      <c r="B178" s="13" t="s">
        <v>172</v>
      </c>
      <c r="C178" s="13" t="n">
        <v>0</v>
      </c>
      <c r="D178" s="13" t="n">
        <v>0</v>
      </c>
      <c r="E178" s="13" t="n">
        <v>0</v>
      </c>
      <c r="F178" s="13" t="n">
        <v>0</v>
      </c>
      <c r="G178" s="17" t="n">
        <v>0</v>
      </c>
      <c r="H178" s="13" t="n">
        <v>12</v>
      </c>
      <c r="I178" s="13" t="n">
        <v>0</v>
      </c>
      <c r="J178" s="13" t="n">
        <v>11</v>
      </c>
      <c r="K178" s="13" t="n">
        <v>0</v>
      </c>
      <c r="L178" s="17" t="n">
        <v>0.0041168</v>
      </c>
      <c r="M178" s="18" t="n">
        <f aca="false">IF(H178=0,"",I178/H178)</f>
        <v>0</v>
      </c>
    </row>
    <row r="179" customFormat="false" ht="15" hidden="false" customHeight="false" outlineLevel="0" collapsed="false">
      <c r="A179" s="13" t="s">
        <v>55</v>
      </c>
      <c r="B179" s="13" t="s">
        <v>175</v>
      </c>
      <c r="C179" s="13" t="n">
        <v>0</v>
      </c>
      <c r="D179" s="13" t="n">
        <v>0</v>
      </c>
      <c r="E179" s="13" t="n">
        <v>0</v>
      </c>
      <c r="F179" s="13" t="n">
        <v>0</v>
      </c>
      <c r="G179" s="17" t="n">
        <v>0</v>
      </c>
      <c r="H179" s="13" t="n">
        <v>7</v>
      </c>
      <c r="I179" s="13" t="n">
        <v>0</v>
      </c>
      <c r="J179" s="13" t="n">
        <v>0</v>
      </c>
      <c r="K179" s="13" t="n">
        <v>7</v>
      </c>
      <c r="L179" s="17" t="n">
        <v>0</v>
      </c>
      <c r="M179" s="18" t="n">
        <f aca="false">IF(H179=0,"",I179/H179)</f>
        <v>0</v>
      </c>
    </row>
    <row r="180" customFormat="false" ht="15" hidden="false" customHeight="false" outlineLevel="0" collapsed="false">
      <c r="A180" s="13" t="s">
        <v>55</v>
      </c>
      <c r="B180" s="13" t="s">
        <v>176</v>
      </c>
      <c r="C180" s="13" t="n">
        <v>0</v>
      </c>
      <c r="D180" s="13" t="n">
        <v>0</v>
      </c>
      <c r="E180" s="13" t="n">
        <v>0</v>
      </c>
      <c r="F180" s="13" t="n">
        <v>0</v>
      </c>
      <c r="G180" s="17" t="n">
        <v>0</v>
      </c>
      <c r="H180" s="13" t="n">
        <v>1</v>
      </c>
      <c r="I180" s="13" t="n">
        <v>0</v>
      </c>
      <c r="J180" s="13" t="n">
        <v>0</v>
      </c>
      <c r="K180" s="13" t="n">
        <v>0</v>
      </c>
      <c r="L180" s="17" t="n">
        <v>0</v>
      </c>
      <c r="M180" s="18" t="n">
        <f aca="false">IF(H180=0,"",I180/H180)</f>
        <v>0</v>
      </c>
    </row>
    <row r="181" customFormat="false" ht="15" hidden="false" customHeight="false" outlineLevel="0" collapsed="false">
      <c r="A181" s="13" t="s">
        <v>119</v>
      </c>
      <c r="B181" s="13" t="s">
        <v>169</v>
      </c>
      <c r="C181" s="13" t="n">
        <v>0</v>
      </c>
      <c r="D181" s="13" t="n">
        <v>0</v>
      </c>
      <c r="E181" s="13" t="n">
        <v>0</v>
      </c>
      <c r="F181" s="13" t="n">
        <v>0</v>
      </c>
      <c r="G181" s="17" t="n">
        <v>0</v>
      </c>
      <c r="H181" s="13" t="n">
        <v>59</v>
      </c>
      <c r="I181" s="13" t="n">
        <v>0</v>
      </c>
      <c r="J181" s="13" t="n">
        <v>0</v>
      </c>
      <c r="K181" s="13" t="n">
        <v>118</v>
      </c>
      <c r="L181" s="17" t="n">
        <v>0</v>
      </c>
      <c r="M181" s="18" t="n">
        <f aca="false">IF(H181=0,"",I181/H181)</f>
        <v>0</v>
      </c>
    </row>
    <row r="182" customFormat="false" ht="15" hidden="false" customHeight="false" outlineLevel="0" collapsed="false">
      <c r="A182" s="13" t="s">
        <v>119</v>
      </c>
      <c r="B182" s="13" t="s">
        <v>172</v>
      </c>
      <c r="C182" s="13" t="n">
        <v>3</v>
      </c>
      <c r="D182" s="13" t="n">
        <v>2</v>
      </c>
      <c r="E182" s="13" t="n">
        <v>1</v>
      </c>
      <c r="F182" s="13" t="n">
        <v>0</v>
      </c>
      <c r="G182" s="17" t="n">
        <v>0.0054488</v>
      </c>
      <c r="H182" s="13" t="n">
        <v>3</v>
      </c>
      <c r="I182" s="13" t="n">
        <v>2</v>
      </c>
      <c r="J182" s="13" t="n">
        <v>1</v>
      </c>
      <c r="K182" s="13" t="n">
        <v>0</v>
      </c>
      <c r="L182" s="17" t="n">
        <v>0.0054488</v>
      </c>
      <c r="M182" s="18" t="n">
        <f aca="false">IF(H182=0,"",I182/H182)</f>
        <v>0.666666666666667</v>
      </c>
    </row>
    <row r="183" customFormat="false" ht="15" hidden="false" customHeight="false" outlineLevel="0" collapsed="false">
      <c r="A183" s="13" t="s">
        <v>288</v>
      </c>
      <c r="B183" s="13" t="s">
        <v>176</v>
      </c>
      <c r="C183" s="13" t="n">
        <v>1</v>
      </c>
      <c r="D183" s="13" t="n">
        <v>0</v>
      </c>
      <c r="E183" s="13" t="n">
        <v>0</v>
      </c>
      <c r="F183" s="13" t="n">
        <v>0</v>
      </c>
      <c r="G183" s="17" t="n">
        <v>0</v>
      </c>
      <c r="H183" s="13" t="n">
        <v>1</v>
      </c>
      <c r="I183" s="13" t="n">
        <v>0</v>
      </c>
      <c r="J183" s="13" t="n">
        <v>0</v>
      </c>
      <c r="K183" s="13" t="n">
        <v>0</v>
      </c>
      <c r="L183" s="17" t="n">
        <v>0</v>
      </c>
      <c r="M183" s="18" t="n">
        <f aca="false">IF(H183=0,"",I183/H183)</f>
        <v>0</v>
      </c>
    </row>
    <row r="184" customFormat="false" ht="15" hidden="false" customHeight="false" outlineLevel="0" collapsed="false">
      <c r="A184" s="13" t="s">
        <v>289</v>
      </c>
      <c r="B184" s="13" t="s">
        <v>176</v>
      </c>
      <c r="C184" s="13" t="n">
        <v>1</v>
      </c>
      <c r="D184" s="13" t="n">
        <v>0</v>
      </c>
      <c r="E184" s="13" t="n">
        <v>0</v>
      </c>
      <c r="F184" s="13" t="n">
        <v>0</v>
      </c>
      <c r="G184" s="17" t="n">
        <v>0</v>
      </c>
      <c r="H184" s="13" t="n">
        <v>1</v>
      </c>
      <c r="I184" s="13" t="n">
        <v>0</v>
      </c>
      <c r="J184" s="13" t="n">
        <v>0</v>
      </c>
      <c r="K184" s="13" t="n">
        <v>0</v>
      </c>
      <c r="L184" s="17" t="n">
        <v>0</v>
      </c>
      <c r="M184" s="18" t="n">
        <f aca="false">IF(H184=0,"",I184/H184)</f>
        <v>0</v>
      </c>
    </row>
    <row r="185" customFormat="false" ht="15" hidden="false" customHeight="false" outlineLevel="0" collapsed="false">
      <c r="A185" s="13" t="s">
        <v>290</v>
      </c>
      <c r="B185" s="13" t="s">
        <v>176</v>
      </c>
      <c r="C185" s="13" t="n">
        <v>1</v>
      </c>
      <c r="D185" s="13" t="n">
        <v>0</v>
      </c>
      <c r="E185" s="13" t="n">
        <v>0</v>
      </c>
      <c r="F185" s="13" t="n">
        <v>0</v>
      </c>
      <c r="G185" s="17" t="n">
        <v>0</v>
      </c>
      <c r="H185" s="13" t="n">
        <v>1</v>
      </c>
      <c r="I185" s="13" t="n">
        <v>0</v>
      </c>
      <c r="J185" s="13" t="n">
        <v>0</v>
      </c>
      <c r="K185" s="13" t="n">
        <v>0</v>
      </c>
      <c r="L185" s="17" t="n">
        <v>0</v>
      </c>
      <c r="M185" s="18" t="n">
        <f aca="false">IF(H185=0,"",I185/H185)</f>
        <v>0</v>
      </c>
    </row>
    <row r="186" customFormat="false" ht="15" hidden="false" customHeight="false" outlineLevel="0" collapsed="false">
      <c r="A186" s="13" t="s">
        <v>291</v>
      </c>
      <c r="B186" s="13" t="s">
        <v>176</v>
      </c>
      <c r="C186" s="13" t="n">
        <v>1</v>
      </c>
      <c r="D186" s="13" t="n">
        <v>0</v>
      </c>
      <c r="E186" s="13" t="n">
        <v>0</v>
      </c>
      <c r="F186" s="13" t="n">
        <v>0</v>
      </c>
      <c r="G186" s="17" t="n">
        <v>0</v>
      </c>
      <c r="H186" s="13" t="n">
        <v>1</v>
      </c>
      <c r="I186" s="13" t="n">
        <v>0</v>
      </c>
      <c r="J186" s="13" t="n">
        <v>0</v>
      </c>
      <c r="K186" s="13" t="n">
        <v>0</v>
      </c>
      <c r="L186" s="17" t="n">
        <v>0</v>
      </c>
      <c r="M186" s="18" t="n">
        <f aca="false">IF(H186=0,"",I186/H186)</f>
        <v>0</v>
      </c>
    </row>
    <row r="187" customFormat="false" ht="15" hidden="false" customHeight="false" outlineLevel="0" collapsed="false">
      <c r="A187" s="13" t="s">
        <v>292</v>
      </c>
      <c r="B187" s="13" t="s">
        <v>176</v>
      </c>
      <c r="C187" s="13" t="n">
        <v>1</v>
      </c>
      <c r="D187" s="13" t="n">
        <v>0</v>
      </c>
      <c r="E187" s="13" t="n">
        <v>0</v>
      </c>
      <c r="F187" s="13" t="n">
        <v>0</v>
      </c>
      <c r="G187" s="17" t="n">
        <v>0</v>
      </c>
      <c r="H187" s="13" t="n">
        <v>1</v>
      </c>
      <c r="I187" s="13" t="n">
        <v>0</v>
      </c>
      <c r="J187" s="13" t="n">
        <v>0</v>
      </c>
      <c r="K187" s="13" t="n">
        <v>0</v>
      </c>
      <c r="L187" s="17" t="n">
        <v>0</v>
      </c>
      <c r="M187" s="18" t="n">
        <f aca="false">IF(H187=0,"",I187/H187)</f>
        <v>0</v>
      </c>
    </row>
    <row r="188" customFormat="false" ht="15" hidden="false" customHeight="false" outlineLevel="0" collapsed="false">
      <c r="A188" s="13" t="s">
        <v>293</v>
      </c>
      <c r="B188" s="13" t="s">
        <v>176</v>
      </c>
      <c r="C188" s="13" t="n">
        <v>1</v>
      </c>
      <c r="D188" s="13" t="n">
        <v>0</v>
      </c>
      <c r="E188" s="13" t="n">
        <v>0</v>
      </c>
      <c r="F188" s="13" t="n">
        <v>0</v>
      </c>
      <c r="G188" s="17" t="n">
        <v>0</v>
      </c>
      <c r="H188" s="13" t="n">
        <v>1</v>
      </c>
      <c r="I188" s="13" t="n">
        <v>0</v>
      </c>
      <c r="J188" s="13" t="n">
        <v>0</v>
      </c>
      <c r="K188" s="13" t="n">
        <v>0</v>
      </c>
      <c r="L188" s="17" t="n">
        <v>0</v>
      </c>
      <c r="M188" s="18" t="n">
        <f aca="false">IF(H188=0,"",I188/H188)</f>
        <v>0</v>
      </c>
    </row>
    <row r="189" customFormat="false" ht="15" hidden="false" customHeight="false" outlineLevel="0" collapsed="false">
      <c r="A189" s="13" t="s">
        <v>294</v>
      </c>
      <c r="B189" s="13" t="s">
        <v>176</v>
      </c>
      <c r="C189" s="13" t="n">
        <v>1</v>
      </c>
      <c r="D189" s="13" t="n">
        <v>0</v>
      </c>
      <c r="E189" s="13" t="n">
        <v>0</v>
      </c>
      <c r="F189" s="13" t="n">
        <v>0</v>
      </c>
      <c r="G189" s="17" t="n">
        <v>0</v>
      </c>
      <c r="H189" s="13" t="n">
        <v>2</v>
      </c>
      <c r="I189" s="13" t="n">
        <v>0</v>
      </c>
      <c r="J189" s="13" t="n">
        <v>0</v>
      </c>
      <c r="K189" s="13" t="n">
        <v>0</v>
      </c>
      <c r="L189" s="17" t="n">
        <v>0</v>
      </c>
      <c r="M189" s="18" t="n">
        <f aca="false">IF(H189=0,"",I189/H189)</f>
        <v>0</v>
      </c>
    </row>
    <row r="190" customFormat="false" ht="15" hidden="false" customHeight="false" outlineLevel="0" collapsed="false">
      <c r="A190" s="13" t="s">
        <v>295</v>
      </c>
      <c r="B190" s="13" t="s">
        <v>176</v>
      </c>
      <c r="C190" s="13" t="n">
        <v>1</v>
      </c>
      <c r="D190" s="13" t="n">
        <v>0</v>
      </c>
      <c r="E190" s="13" t="n">
        <v>0</v>
      </c>
      <c r="F190" s="13" t="n">
        <v>0</v>
      </c>
      <c r="G190" s="17" t="n">
        <v>0</v>
      </c>
      <c r="H190" s="13" t="n">
        <v>1</v>
      </c>
      <c r="I190" s="13" t="n">
        <v>0</v>
      </c>
      <c r="J190" s="13" t="n">
        <v>0</v>
      </c>
      <c r="K190" s="13" t="n">
        <v>0</v>
      </c>
      <c r="L190" s="17" t="n">
        <v>0</v>
      </c>
      <c r="M190" s="18" t="n">
        <f aca="false">IF(H190=0,"",I190/H190)</f>
        <v>0</v>
      </c>
    </row>
    <row r="191" customFormat="false" ht="15" hidden="false" customHeight="false" outlineLevel="0" collapsed="false">
      <c r="A191" s="13" t="s">
        <v>296</v>
      </c>
      <c r="B191" s="13" t="s">
        <v>176</v>
      </c>
      <c r="C191" s="13" t="n">
        <v>1</v>
      </c>
      <c r="D191" s="13" t="n">
        <v>0</v>
      </c>
      <c r="E191" s="13" t="n">
        <v>0</v>
      </c>
      <c r="F191" s="13" t="n">
        <v>0</v>
      </c>
      <c r="G191" s="17" t="n">
        <v>0</v>
      </c>
      <c r="H191" s="13" t="n">
        <v>1</v>
      </c>
      <c r="I191" s="13" t="n">
        <v>0</v>
      </c>
      <c r="J191" s="13" t="n">
        <v>0</v>
      </c>
      <c r="K191" s="13" t="n">
        <v>0</v>
      </c>
      <c r="L191" s="17" t="n">
        <v>0</v>
      </c>
      <c r="M191" s="18" t="n">
        <f aca="false">IF(H191=0,"",I191/H191)</f>
        <v>0</v>
      </c>
    </row>
    <row r="192" customFormat="false" ht="15" hidden="false" customHeight="false" outlineLevel="0" collapsed="false">
      <c r="A192" s="13" t="s">
        <v>297</v>
      </c>
      <c r="B192" s="13" t="s">
        <v>176</v>
      </c>
      <c r="C192" s="13" t="n">
        <v>1</v>
      </c>
      <c r="D192" s="13" t="n">
        <v>0</v>
      </c>
      <c r="E192" s="13" t="n">
        <v>0</v>
      </c>
      <c r="F192" s="13" t="n">
        <v>0</v>
      </c>
      <c r="G192" s="17" t="n">
        <v>0</v>
      </c>
      <c r="H192" s="13" t="n">
        <v>2</v>
      </c>
      <c r="I192" s="13" t="n">
        <v>0</v>
      </c>
      <c r="J192" s="13" t="n">
        <v>0</v>
      </c>
      <c r="K192" s="13" t="n">
        <v>0</v>
      </c>
      <c r="L192" s="17" t="n">
        <v>0</v>
      </c>
      <c r="M192" s="18" t="n">
        <f aca="false">IF(H192=0,"",I192/H192)</f>
        <v>0</v>
      </c>
    </row>
    <row r="193" customFormat="false" ht="15" hidden="false" customHeight="false" outlineLevel="0" collapsed="false">
      <c r="A193" s="13" t="s">
        <v>298</v>
      </c>
      <c r="B193" s="13" t="s">
        <v>176</v>
      </c>
      <c r="C193" s="13" t="n">
        <v>1</v>
      </c>
      <c r="D193" s="13" t="n">
        <v>0</v>
      </c>
      <c r="E193" s="13" t="n">
        <v>0</v>
      </c>
      <c r="F193" s="13" t="n">
        <v>0</v>
      </c>
      <c r="G193" s="17" t="n">
        <v>0</v>
      </c>
      <c r="H193" s="13" t="n">
        <v>2</v>
      </c>
      <c r="I193" s="13" t="n">
        <v>0</v>
      </c>
      <c r="J193" s="13" t="n">
        <v>0</v>
      </c>
      <c r="K193" s="13" t="n">
        <v>0</v>
      </c>
      <c r="L193" s="17" t="n">
        <v>0</v>
      </c>
      <c r="M193" s="18" t="n">
        <f aca="false">IF(H193=0,"",I193/H193)</f>
        <v>0</v>
      </c>
    </row>
    <row r="194" customFormat="false" ht="15" hidden="false" customHeight="false" outlineLevel="0" collapsed="false">
      <c r="A194" s="13" t="s">
        <v>299</v>
      </c>
      <c r="B194" s="13" t="s">
        <v>176</v>
      </c>
      <c r="C194" s="13" t="n">
        <v>1</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300</v>
      </c>
      <c r="B195" s="13" t="s">
        <v>176</v>
      </c>
      <c r="C195" s="13" t="n">
        <v>1</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301</v>
      </c>
      <c r="B196" s="13" t="s">
        <v>176</v>
      </c>
      <c r="C196" s="13" t="n">
        <v>1</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302</v>
      </c>
      <c r="B197" s="13" t="s">
        <v>176</v>
      </c>
      <c r="C197" s="13" t="n">
        <v>1</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303</v>
      </c>
      <c r="B198" s="13" t="s">
        <v>176</v>
      </c>
      <c r="C198" s="13" t="n">
        <v>1</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304</v>
      </c>
      <c r="B199" s="13" t="s">
        <v>176</v>
      </c>
      <c r="C199" s="13" t="n">
        <v>1</v>
      </c>
      <c r="D199" s="13" t="n">
        <v>0</v>
      </c>
      <c r="E199" s="13" t="n">
        <v>0</v>
      </c>
      <c r="F199" s="13" t="n">
        <v>0</v>
      </c>
      <c r="G199" s="17" t="n">
        <v>0</v>
      </c>
      <c r="H199" s="13" t="n">
        <v>2</v>
      </c>
      <c r="I199" s="13" t="n">
        <v>0</v>
      </c>
      <c r="J199" s="13" t="n">
        <v>0</v>
      </c>
      <c r="K199" s="13" t="n">
        <v>0</v>
      </c>
      <c r="L199" s="17" t="n">
        <v>0</v>
      </c>
      <c r="M199" s="18" t="n">
        <f aca="false">IF(H199=0,"",I199/H199)</f>
        <v>0</v>
      </c>
    </row>
    <row r="200" customFormat="false" ht="15" hidden="false" customHeight="false" outlineLevel="0" collapsed="false">
      <c r="A200" s="13" t="s">
        <v>305</v>
      </c>
      <c r="B200" s="13" t="s">
        <v>176</v>
      </c>
      <c r="C200" s="13" t="n">
        <v>1</v>
      </c>
      <c r="D200" s="13" t="n">
        <v>0</v>
      </c>
      <c r="E200" s="13" t="n">
        <v>0</v>
      </c>
      <c r="F200" s="13" t="n">
        <v>0</v>
      </c>
      <c r="G200" s="17" t="n">
        <v>0</v>
      </c>
      <c r="H200" s="13" t="n">
        <v>2</v>
      </c>
      <c r="I200" s="13" t="n">
        <v>0</v>
      </c>
      <c r="J200" s="13" t="n">
        <v>0</v>
      </c>
      <c r="K200" s="13" t="n">
        <v>0</v>
      </c>
      <c r="L200" s="17" t="n">
        <v>0</v>
      </c>
      <c r="M200" s="18" t="n">
        <f aca="false">IF(H200=0,"",I200/H200)</f>
        <v>0</v>
      </c>
    </row>
    <row r="201" customFormat="false" ht="15" hidden="false" customHeight="false" outlineLevel="0" collapsed="false">
      <c r="A201" s="13" t="s">
        <v>306</v>
      </c>
      <c r="B201" s="13" t="s">
        <v>176</v>
      </c>
      <c r="C201" s="13" t="n">
        <v>1</v>
      </c>
      <c r="D201" s="13" t="n">
        <v>0</v>
      </c>
      <c r="E201" s="13" t="n">
        <v>0</v>
      </c>
      <c r="F201" s="13" t="n">
        <v>0</v>
      </c>
      <c r="G201" s="17" t="n">
        <v>0</v>
      </c>
      <c r="H201" s="13" t="n">
        <v>1</v>
      </c>
      <c r="I201" s="13" t="n">
        <v>0</v>
      </c>
      <c r="J201" s="13" t="n">
        <v>0</v>
      </c>
      <c r="K201" s="13" t="n">
        <v>0</v>
      </c>
      <c r="L201" s="17" t="n">
        <v>0</v>
      </c>
      <c r="M201" s="18" t="n">
        <f aca="false">IF(H201=0,"",I201/H201)</f>
        <v>0</v>
      </c>
    </row>
    <row r="202" customFormat="false" ht="15" hidden="false" customHeight="false" outlineLevel="0" collapsed="false">
      <c r="A202" s="13" t="s">
        <v>307</v>
      </c>
      <c r="B202" s="13" t="s">
        <v>176</v>
      </c>
      <c r="C202" s="13" t="n">
        <v>1</v>
      </c>
      <c r="D202" s="13" t="n">
        <v>0</v>
      </c>
      <c r="E202" s="13" t="n">
        <v>0</v>
      </c>
      <c r="F202" s="13" t="n">
        <v>0</v>
      </c>
      <c r="G202" s="17" t="n">
        <v>0</v>
      </c>
      <c r="H202" s="13" t="n">
        <v>2</v>
      </c>
      <c r="I202" s="13" t="n">
        <v>0</v>
      </c>
      <c r="J202" s="13" t="n">
        <v>0</v>
      </c>
      <c r="K202" s="13" t="n">
        <v>0</v>
      </c>
      <c r="L202" s="17" t="n">
        <v>0</v>
      </c>
      <c r="M202" s="18" t="n">
        <f aca="false">IF(H202=0,"",I202/H202)</f>
        <v>0</v>
      </c>
    </row>
    <row r="203" customFormat="false" ht="15" hidden="false" customHeight="false" outlineLevel="0" collapsed="false">
      <c r="A203" s="13" t="s">
        <v>308</v>
      </c>
      <c r="B203" s="13" t="s">
        <v>176</v>
      </c>
      <c r="C203" s="13" t="n">
        <v>1</v>
      </c>
      <c r="D203" s="13" t="n">
        <v>0</v>
      </c>
      <c r="E203" s="13" t="n">
        <v>0</v>
      </c>
      <c r="F203" s="13" t="n">
        <v>0</v>
      </c>
      <c r="G203" s="17" t="n">
        <v>0</v>
      </c>
      <c r="H203" s="13" t="n">
        <v>2</v>
      </c>
      <c r="I203" s="13" t="n">
        <v>0</v>
      </c>
      <c r="J203" s="13" t="n">
        <v>0</v>
      </c>
      <c r="K203" s="13" t="n">
        <v>0</v>
      </c>
      <c r="L203" s="17" t="n">
        <v>0</v>
      </c>
      <c r="M203" s="18" t="n">
        <f aca="false">IF(H203=0,"",I203/H203)</f>
        <v>0</v>
      </c>
    </row>
    <row r="204" customFormat="false" ht="15" hidden="false" customHeight="false" outlineLevel="0" collapsed="false">
      <c r="A204" s="13" t="s">
        <v>309</v>
      </c>
      <c r="B204" s="13" t="s">
        <v>176</v>
      </c>
      <c r="C204" s="13" t="n">
        <v>1</v>
      </c>
      <c r="D204" s="13" t="n">
        <v>0</v>
      </c>
      <c r="E204" s="13" t="n">
        <v>0</v>
      </c>
      <c r="F204" s="13" t="n">
        <v>0</v>
      </c>
      <c r="G204" s="17" t="n">
        <v>0</v>
      </c>
      <c r="H204" s="13" t="n">
        <v>1</v>
      </c>
      <c r="I204" s="13" t="n">
        <v>0</v>
      </c>
      <c r="J204" s="13" t="n">
        <v>0</v>
      </c>
      <c r="K204" s="13" t="n">
        <v>0</v>
      </c>
      <c r="L204" s="17" t="n">
        <v>0</v>
      </c>
      <c r="M204" s="18" t="n">
        <f aca="false">IF(H204=0,"",I204/H204)</f>
        <v>0</v>
      </c>
    </row>
    <row r="205" customFormat="false" ht="15" hidden="false" customHeight="false" outlineLevel="0" collapsed="false">
      <c r="A205" s="13" t="s">
        <v>310</v>
      </c>
      <c r="B205" s="13" t="s">
        <v>176</v>
      </c>
      <c r="C205" s="13" t="n">
        <v>1</v>
      </c>
      <c r="D205" s="13" t="n">
        <v>0</v>
      </c>
      <c r="E205" s="13" t="n">
        <v>0</v>
      </c>
      <c r="F205" s="13" t="n">
        <v>0</v>
      </c>
      <c r="G205" s="17" t="n">
        <v>0</v>
      </c>
      <c r="H205" s="13" t="n">
        <v>1</v>
      </c>
      <c r="I205" s="13" t="n">
        <v>0</v>
      </c>
      <c r="J205" s="13" t="n">
        <v>0</v>
      </c>
      <c r="K205" s="13" t="n">
        <v>0</v>
      </c>
      <c r="L205" s="17" t="n">
        <v>0</v>
      </c>
      <c r="M205" s="18" t="n">
        <f aca="false">IF(H205=0,"",I205/H205)</f>
        <v>0</v>
      </c>
    </row>
    <row r="206" customFormat="false" ht="15" hidden="false" customHeight="false" outlineLevel="0" collapsed="false">
      <c r="A206" s="13" t="s">
        <v>311</v>
      </c>
      <c r="B206" s="13" t="s">
        <v>176</v>
      </c>
      <c r="C206" s="13" t="n">
        <v>1</v>
      </c>
      <c r="D206" s="13" t="n">
        <v>0</v>
      </c>
      <c r="E206" s="13" t="n">
        <v>0</v>
      </c>
      <c r="F206" s="13" t="n">
        <v>0</v>
      </c>
      <c r="G206" s="17" t="n">
        <v>0</v>
      </c>
      <c r="H206" s="13" t="n">
        <v>1</v>
      </c>
      <c r="I206" s="13" t="n">
        <v>0</v>
      </c>
      <c r="J206" s="13" t="n">
        <v>0</v>
      </c>
      <c r="K206" s="13" t="n">
        <v>0</v>
      </c>
      <c r="L206" s="17" t="n">
        <v>0</v>
      </c>
      <c r="M206" s="18" t="n">
        <f aca="false">IF(H206=0,"",I206/H206)</f>
        <v>0</v>
      </c>
    </row>
    <row r="207" customFormat="false" ht="15" hidden="false" customHeight="false" outlineLevel="0" collapsed="false">
      <c r="A207" s="13" t="s">
        <v>312</v>
      </c>
      <c r="B207" s="13" t="s">
        <v>176</v>
      </c>
      <c r="C207" s="13" t="n">
        <v>1</v>
      </c>
      <c r="D207" s="13" t="n">
        <v>0</v>
      </c>
      <c r="E207" s="13" t="n">
        <v>0</v>
      </c>
      <c r="F207" s="13" t="n">
        <v>0</v>
      </c>
      <c r="G207" s="17" t="n">
        <v>0</v>
      </c>
      <c r="H207" s="13" t="n">
        <v>1</v>
      </c>
      <c r="I207" s="13" t="n">
        <v>0</v>
      </c>
      <c r="J207" s="13" t="n">
        <v>0</v>
      </c>
      <c r="K207" s="13" t="n">
        <v>0</v>
      </c>
      <c r="L207" s="17" t="n">
        <v>0</v>
      </c>
      <c r="M207" s="18" t="n">
        <f aca="false">IF(H207=0,"",I207/H207)</f>
        <v>0</v>
      </c>
    </row>
    <row r="208" customFormat="false" ht="15" hidden="false" customHeight="false" outlineLevel="0" collapsed="false">
      <c r="A208" s="13" t="s">
        <v>313</v>
      </c>
      <c r="B208" s="13" t="s">
        <v>176</v>
      </c>
      <c r="C208" s="13" t="n">
        <v>1</v>
      </c>
      <c r="D208" s="13" t="n">
        <v>0</v>
      </c>
      <c r="E208" s="13" t="n">
        <v>0</v>
      </c>
      <c r="F208" s="13" t="n">
        <v>0</v>
      </c>
      <c r="G208" s="17" t="n">
        <v>0</v>
      </c>
      <c r="H208" s="13" t="n">
        <v>1</v>
      </c>
      <c r="I208" s="13" t="n">
        <v>0</v>
      </c>
      <c r="J208" s="13" t="n">
        <v>0</v>
      </c>
      <c r="K208" s="13" t="n">
        <v>0</v>
      </c>
      <c r="L208" s="17" t="n">
        <v>0</v>
      </c>
      <c r="M208" s="18" t="n">
        <f aca="false">IF(H208=0,"",I208/H208)</f>
        <v>0</v>
      </c>
    </row>
    <row r="209" customFormat="false" ht="15" hidden="false" customHeight="false" outlineLevel="0" collapsed="false">
      <c r="A209" s="13" t="s">
        <v>314</v>
      </c>
      <c r="B209" s="13" t="s">
        <v>176</v>
      </c>
      <c r="C209" s="13" t="n">
        <v>1</v>
      </c>
      <c r="D209" s="13" t="n">
        <v>0</v>
      </c>
      <c r="E209" s="13" t="n">
        <v>0</v>
      </c>
      <c r="F209" s="13" t="n">
        <v>0</v>
      </c>
      <c r="G209" s="17" t="n">
        <v>0</v>
      </c>
      <c r="H209" s="13" t="n">
        <v>1</v>
      </c>
      <c r="I209" s="13" t="n">
        <v>0</v>
      </c>
      <c r="J209" s="13" t="n">
        <v>0</v>
      </c>
      <c r="K209" s="13" t="n">
        <v>0</v>
      </c>
      <c r="L209" s="17" t="n">
        <v>0</v>
      </c>
      <c r="M209" s="18" t="n">
        <f aca="false">IF(H209=0,"",I209/H209)</f>
        <v>0</v>
      </c>
    </row>
    <row r="210" customFormat="false" ht="15" hidden="false" customHeight="false" outlineLevel="0" collapsed="false">
      <c r="A210" s="13" t="s">
        <v>315</v>
      </c>
      <c r="B210" s="13" t="s">
        <v>176</v>
      </c>
      <c r="C210" s="13" t="n">
        <v>1</v>
      </c>
      <c r="D210" s="13" t="n">
        <v>0</v>
      </c>
      <c r="E210" s="13" t="n">
        <v>0</v>
      </c>
      <c r="F210" s="13" t="n">
        <v>0</v>
      </c>
      <c r="G210" s="17" t="n">
        <v>0</v>
      </c>
      <c r="H210" s="13" t="n">
        <v>1</v>
      </c>
      <c r="I210" s="13" t="n">
        <v>0</v>
      </c>
      <c r="J210" s="13" t="n">
        <v>0</v>
      </c>
      <c r="K210" s="13" t="n">
        <v>0</v>
      </c>
      <c r="L210" s="17" t="n">
        <v>0</v>
      </c>
      <c r="M210" s="18" t="n">
        <f aca="false">IF(H210=0,"",I210/H210)</f>
        <v>0</v>
      </c>
    </row>
    <row r="211" customFormat="false" ht="15" hidden="false" customHeight="false" outlineLevel="0" collapsed="false">
      <c r="A211" s="13" t="s">
        <v>316</v>
      </c>
      <c r="B211" s="13" t="s">
        <v>176</v>
      </c>
      <c r="C211" s="13" t="n">
        <v>1</v>
      </c>
      <c r="D211" s="13" t="n">
        <v>0</v>
      </c>
      <c r="E211" s="13" t="n">
        <v>0</v>
      </c>
      <c r="F211" s="13" t="n">
        <v>0</v>
      </c>
      <c r="G211" s="17" t="n">
        <v>0</v>
      </c>
      <c r="H211" s="13" t="n">
        <v>1</v>
      </c>
      <c r="I211" s="13" t="n">
        <v>0</v>
      </c>
      <c r="J211" s="13" t="n">
        <v>0</v>
      </c>
      <c r="K211" s="13" t="n">
        <v>0</v>
      </c>
      <c r="L211" s="17" t="n">
        <v>0</v>
      </c>
      <c r="M211" s="18" t="n">
        <f aca="false">IF(H211=0,"",I211/H211)</f>
        <v>0</v>
      </c>
    </row>
    <row r="212" customFormat="false" ht="15" hidden="false" customHeight="false" outlineLevel="0" collapsed="false">
      <c r="A212" s="13" t="s">
        <v>317</v>
      </c>
      <c r="B212" s="13" t="s">
        <v>176</v>
      </c>
      <c r="C212" s="13" t="n">
        <v>1</v>
      </c>
      <c r="D212" s="13" t="n">
        <v>0</v>
      </c>
      <c r="E212" s="13" t="n">
        <v>0</v>
      </c>
      <c r="F212" s="13" t="n">
        <v>0</v>
      </c>
      <c r="G212" s="17" t="n">
        <v>0</v>
      </c>
      <c r="H212" s="13" t="n">
        <v>1</v>
      </c>
      <c r="I212" s="13" t="n">
        <v>0</v>
      </c>
      <c r="J212" s="13" t="n">
        <v>0</v>
      </c>
      <c r="K212" s="13" t="n">
        <v>0</v>
      </c>
      <c r="L212" s="17" t="n">
        <v>0</v>
      </c>
      <c r="M212" s="18" t="n">
        <f aca="false">IF(H212=0,"",I212/H212)</f>
        <v>0</v>
      </c>
    </row>
    <row r="213" customFormat="false" ht="15" hidden="false" customHeight="false" outlineLevel="0" collapsed="false">
      <c r="A213" s="13" t="s">
        <v>318</v>
      </c>
      <c r="B213" s="13" t="s">
        <v>176</v>
      </c>
      <c r="C213" s="13" t="n">
        <v>1</v>
      </c>
      <c r="D213" s="13" t="n">
        <v>0</v>
      </c>
      <c r="E213" s="13" t="n">
        <v>0</v>
      </c>
      <c r="F213" s="13" t="n">
        <v>0</v>
      </c>
      <c r="G213" s="17" t="n">
        <v>0</v>
      </c>
      <c r="H213" s="13" t="n">
        <v>1</v>
      </c>
      <c r="I213" s="13" t="n">
        <v>0</v>
      </c>
      <c r="J213" s="13" t="n">
        <v>0</v>
      </c>
      <c r="K213" s="13" t="n">
        <v>0</v>
      </c>
      <c r="L213" s="17" t="n">
        <v>0</v>
      </c>
      <c r="M213" s="18" t="n">
        <f aca="false">IF(H213=0,"",I213/H213)</f>
        <v>0</v>
      </c>
    </row>
    <row r="214" customFormat="false" ht="15" hidden="false" customHeight="false" outlineLevel="0" collapsed="false">
      <c r="A214" s="13" t="s">
        <v>319</v>
      </c>
      <c r="B214" s="13" t="s">
        <v>176</v>
      </c>
      <c r="C214" s="13" t="n">
        <v>1</v>
      </c>
      <c r="D214" s="13" t="n">
        <v>0</v>
      </c>
      <c r="E214" s="13" t="n">
        <v>0</v>
      </c>
      <c r="F214" s="13" t="n">
        <v>0</v>
      </c>
      <c r="G214" s="17" t="n">
        <v>0</v>
      </c>
      <c r="H214" s="13" t="n">
        <v>1</v>
      </c>
      <c r="I214" s="13" t="n">
        <v>0</v>
      </c>
      <c r="J214" s="13" t="n">
        <v>0</v>
      </c>
      <c r="K214" s="13" t="n">
        <v>0</v>
      </c>
      <c r="L214" s="17" t="n">
        <v>0</v>
      </c>
      <c r="M214" s="18" t="n">
        <f aca="false">IF(H214=0,"",I214/H214)</f>
        <v>0</v>
      </c>
    </row>
    <row r="215" customFormat="false" ht="15" hidden="false" customHeight="false" outlineLevel="0" collapsed="false">
      <c r="A215" s="13" t="s">
        <v>320</v>
      </c>
      <c r="B215" s="13" t="s">
        <v>176</v>
      </c>
      <c r="C215" s="13" t="n">
        <v>1</v>
      </c>
      <c r="D215" s="13" t="n">
        <v>0</v>
      </c>
      <c r="E215" s="13" t="n">
        <v>0</v>
      </c>
      <c r="F215" s="13" t="n">
        <v>0</v>
      </c>
      <c r="G215" s="17" t="n">
        <v>0</v>
      </c>
      <c r="H215" s="13" t="n">
        <v>1</v>
      </c>
      <c r="I215" s="13" t="n">
        <v>0</v>
      </c>
      <c r="J215" s="13" t="n">
        <v>0</v>
      </c>
      <c r="K215" s="13" t="n">
        <v>0</v>
      </c>
      <c r="L215" s="17" t="n">
        <v>0</v>
      </c>
      <c r="M215" s="18" t="n">
        <f aca="false">IF(H215=0,"",I215/H215)</f>
        <v>0</v>
      </c>
    </row>
    <row r="216" customFormat="false" ht="15" hidden="false" customHeight="false" outlineLevel="0" collapsed="false">
      <c r="A216" s="13" t="s">
        <v>321</v>
      </c>
      <c r="B216" s="13" t="s">
        <v>176</v>
      </c>
      <c r="C216" s="13" t="n">
        <v>1</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322</v>
      </c>
      <c r="B217" s="13" t="s">
        <v>176</v>
      </c>
      <c r="C217" s="13" t="n">
        <v>1</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129</v>
      </c>
      <c r="B218" s="13" t="s">
        <v>169</v>
      </c>
      <c r="C218" s="13" t="n">
        <v>1</v>
      </c>
      <c r="D218" s="13" t="n">
        <v>0</v>
      </c>
      <c r="E218" s="13" t="n">
        <v>1</v>
      </c>
      <c r="F218" s="13" t="n">
        <v>2</v>
      </c>
      <c r="G218" s="17" t="n">
        <v>0</v>
      </c>
      <c r="H218" s="13" t="n">
        <v>1</v>
      </c>
      <c r="I218" s="13" t="n">
        <v>0</v>
      </c>
      <c r="J218" s="13" t="n">
        <v>1</v>
      </c>
      <c r="K218" s="13" t="n">
        <v>2</v>
      </c>
      <c r="L218" s="17" t="n">
        <v>0</v>
      </c>
      <c r="M218" s="18" t="n">
        <f aca="false">IF(H218=0,"",I218/H218)</f>
        <v>0</v>
      </c>
    </row>
    <row r="219" customFormat="false" ht="15" hidden="false" customHeight="false" outlineLevel="0" collapsed="false">
      <c r="A219" s="13" t="s">
        <v>129</v>
      </c>
      <c r="B219" s="13" t="s">
        <v>170</v>
      </c>
      <c r="C219" s="13" t="n">
        <v>1</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129</v>
      </c>
      <c r="B220" s="13" t="s">
        <v>172</v>
      </c>
      <c r="C220" s="13" t="n">
        <v>1</v>
      </c>
      <c r="D220" s="13" t="n">
        <v>0</v>
      </c>
      <c r="E220" s="13" t="n">
        <v>1</v>
      </c>
      <c r="F220" s="13" t="n">
        <v>0</v>
      </c>
      <c r="G220" s="17" t="n">
        <v>0.0009232</v>
      </c>
      <c r="H220" s="13" t="n">
        <v>1</v>
      </c>
      <c r="I220" s="13" t="n">
        <v>0</v>
      </c>
      <c r="J220" s="13" t="n">
        <v>1</v>
      </c>
      <c r="K220" s="13" t="n">
        <v>0</v>
      </c>
      <c r="L220" s="17" t="n">
        <v>0.0009232</v>
      </c>
      <c r="M220" s="18" t="n">
        <f aca="false">IF(H220=0,"",I220/H220)</f>
        <v>0</v>
      </c>
    </row>
    <row r="221" customFormat="false" ht="15" hidden="false" customHeight="false" outlineLevel="0" collapsed="false">
      <c r="A221" s="13" t="s">
        <v>129</v>
      </c>
      <c r="B221" s="13" t="s">
        <v>175</v>
      </c>
      <c r="C221" s="13" t="n">
        <v>16</v>
      </c>
      <c r="D221" s="13" t="n">
        <v>0</v>
      </c>
      <c r="E221" s="13" t="n">
        <v>0</v>
      </c>
      <c r="F221" s="13" t="n">
        <v>16</v>
      </c>
      <c r="G221" s="17" t="n">
        <v>0</v>
      </c>
      <c r="H221" s="13" t="n">
        <v>16</v>
      </c>
      <c r="I221" s="13" t="n">
        <v>0</v>
      </c>
      <c r="J221" s="13" t="n">
        <v>0</v>
      </c>
      <c r="K221" s="13" t="n">
        <v>16</v>
      </c>
      <c r="L221" s="17" t="n">
        <v>0</v>
      </c>
      <c r="M221" s="18" t="n">
        <f aca="false">IF(H221=0,"",I221/H221)</f>
        <v>0</v>
      </c>
    </row>
    <row r="222" customFormat="false" ht="15" hidden="false" customHeight="false" outlineLevel="0" collapsed="false">
      <c r="A222" s="13" t="s">
        <v>129</v>
      </c>
      <c r="B222" s="13" t="s">
        <v>176</v>
      </c>
      <c r="C222" s="13" t="n">
        <v>1</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65</v>
      </c>
      <c r="B223" s="13" t="s">
        <v>169</v>
      </c>
      <c r="C223" s="13" t="n">
        <v>0</v>
      </c>
      <c r="D223" s="13" t="n">
        <v>0</v>
      </c>
      <c r="E223" s="13" t="n">
        <v>0</v>
      </c>
      <c r="F223" s="13" t="n">
        <v>0</v>
      </c>
      <c r="G223" s="17" t="n">
        <v>0</v>
      </c>
      <c r="H223" s="13" t="n">
        <v>16</v>
      </c>
      <c r="I223" s="13" t="n">
        <v>0</v>
      </c>
      <c r="J223" s="13" t="n">
        <v>0</v>
      </c>
      <c r="K223" s="13" t="n">
        <v>32</v>
      </c>
      <c r="L223" s="17" t="n">
        <v>0</v>
      </c>
      <c r="M223" s="18" t="n">
        <f aca="false">IF(H223=0,"",I223/H223)</f>
        <v>0</v>
      </c>
    </row>
    <row r="224" customFormat="false" ht="15" hidden="false" customHeight="false" outlineLevel="0" collapsed="false">
      <c r="A224" s="13" t="s">
        <v>65</v>
      </c>
      <c r="B224" s="13" t="s">
        <v>170</v>
      </c>
      <c r="C224" s="13" t="n">
        <v>0</v>
      </c>
      <c r="D224" s="13" t="n">
        <v>0</v>
      </c>
      <c r="E224" s="13" t="n">
        <v>0</v>
      </c>
      <c r="F224" s="13" t="n">
        <v>0</v>
      </c>
      <c r="G224" s="17" t="n">
        <v>0</v>
      </c>
      <c r="H224" s="13" t="n">
        <v>12</v>
      </c>
      <c r="I224" s="13" t="n">
        <v>3</v>
      </c>
      <c r="J224" s="13" t="n">
        <v>9</v>
      </c>
      <c r="K224" s="13" t="n">
        <v>0</v>
      </c>
      <c r="L224" s="17" t="n">
        <v>0</v>
      </c>
      <c r="M224" s="18" t="n">
        <f aca="false">IF(H224=0,"",I224/H224)</f>
        <v>0.25</v>
      </c>
    </row>
    <row r="225" customFormat="false" ht="15" hidden="false" customHeight="false" outlineLevel="0" collapsed="false">
      <c r="A225" s="13" t="s">
        <v>65</v>
      </c>
      <c r="B225" s="13" t="s">
        <v>172</v>
      </c>
      <c r="C225" s="13" t="n">
        <v>0</v>
      </c>
      <c r="D225" s="13" t="n">
        <v>0</v>
      </c>
      <c r="E225" s="13" t="n">
        <v>0</v>
      </c>
      <c r="F225" s="13" t="n">
        <v>0</v>
      </c>
      <c r="G225" s="17" t="n">
        <v>0</v>
      </c>
      <c r="H225" s="13" t="n">
        <v>48</v>
      </c>
      <c r="I225" s="13" t="n">
        <v>31</v>
      </c>
      <c r="J225" s="13" t="n">
        <v>14</v>
      </c>
      <c r="K225" s="13" t="n">
        <v>0</v>
      </c>
      <c r="L225" s="17" t="n">
        <v>0.05435156</v>
      </c>
      <c r="M225" s="18" t="n">
        <f aca="false">IF(H225=0,"",I225/H225)</f>
        <v>0.645833333333333</v>
      </c>
    </row>
    <row r="226" customFormat="false" ht="15" hidden="false" customHeight="false" outlineLevel="0" collapsed="false">
      <c r="A226" s="13" t="s">
        <v>65</v>
      </c>
      <c r="B226" s="13" t="s">
        <v>176</v>
      </c>
      <c r="C226" s="13" t="n">
        <v>0</v>
      </c>
      <c r="D226" s="13" t="n">
        <v>0</v>
      </c>
      <c r="E226" s="13" t="n">
        <v>0</v>
      </c>
      <c r="F226" s="13" t="n">
        <v>0</v>
      </c>
      <c r="G226" s="17" t="n">
        <v>0</v>
      </c>
      <c r="H226" s="13" t="n">
        <v>14</v>
      </c>
      <c r="I226" s="13" t="n">
        <v>0</v>
      </c>
      <c r="J226" s="13" t="n">
        <v>0</v>
      </c>
      <c r="K226" s="13" t="n">
        <v>0</v>
      </c>
      <c r="L226" s="17" t="n">
        <v>0</v>
      </c>
      <c r="M226" s="18" t="n">
        <f aca="false">IF(H226=0,"",I226/H226)</f>
        <v>0</v>
      </c>
    </row>
    <row r="227" customFormat="false" ht="15" hidden="false" customHeight="false" outlineLevel="0" collapsed="false">
      <c r="A227" s="13" t="s">
        <v>323</v>
      </c>
      <c r="B227" s="13" t="s">
        <v>176</v>
      </c>
      <c r="C227" s="13" t="n">
        <v>1</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324</v>
      </c>
      <c r="B228" s="13" t="s">
        <v>176</v>
      </c>
      <c r="C228" s="13" t="n">
        <v>1</v>
      </c>
      <c r="D228" s="13" t="n">
        <v>0</v>
      </c>
      <c r="E228" s="13" t="n">
        <v>0</v>
      </c>
      <c r="F228" s="13" t="n">
        <v>0</v>
      </c>
      <c r="G228" s="17" t="n">
        <v>0</v>
      </c>
      <c r="H228" s="13" t="n">
        <v>2</v>
      </c>
      <c r="I228" s="13" t="n">
        <v>0</v>
      </c>
      <c r="J228" s="13" t="n">
        <v>0</v>
      </c>
      <c r="K228" s="13" t="n">
        <v>0</v>
      </c>
      <c r="L228" s="17" t="n">
        <v>0</v>
      </c>
      <c r="M228" s="18" t="n">
        <f aca="false">IF(H228=0,"",I228/H228)</f>
        <v>0</v>
      </c>
    </row>
    <row r="229" customFormat="false" ht="15" hidden="false" customHeight="false" outlineLevel="0" collapsed="false">
      <c r="A229" s="13" t="s">
        <v>325</v>
      </c>
      <c r="B229" s="13" t="s">
        <v>176</v>
      </c>
      <c r="C229" s="13" t="n">
        <v>1</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326</v>
      </c>
      <c r="B230" s="13" t="s">
        <v>176</v>
      </c>
      <c r="C230" s="13" t="n">
        <v>1</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131</v>
      </c>
      <c r="B231" s="13" t="s">
        <v>169</v>
      </c>
      <c r="C231" s="13" t="n">
        <v>2</v>
      </c>
      <c r="D231" s="13" t="n">
        <v>0</v>
      </c>
      <c r="E231" s="13" t="n">
        <v>0</v>
      </c>
      <c r="F231" s="13" t="n">
        <v>4</v>
      </c>
      <c r="G231" s="17" t="n">
        <v>0</v>
      </c>
      <c r="H231" s="13" t="n">
        <v>2</v>
      </c>
      <c r="I231" s="13" t="n">
        <v>0</v>
      </c>
      <c r="J231" s="13" t="n">
        <v>0</v>
      </c>
      <c r="K231" s="13" t="n">
        <v>4</v>
      </c>
      <c r="L231" s="17" t="n">
        <v>0</v>
      </c>
      <c r="M231" s="18" t="n">
        <f aca="false">IF(H231=0,"",I231/H231)</f>
        <v>0</v>
      </c>
    </row>
    <row r="232" customFormat="false" ht="15" hidden="false" customHeight="false" outlineLevel="0" collapsed="false">
      <c r="A232" s="13" t="s">
        <v>131</v>
      </c>
      <c r="B232" s="13" t="s">
        <v>175</v>
      </c>
      <c r="C232" s="13" t="n">
        <v>16</v>
      </c>
      <c r="D232" s="13" t="n">
        <v>0</v>
      </c>
      <c r="E232" s="13" t="n">
        <v>0</v>
      </c>
      <c r="F232" s="13" t="n">
        <v>16</v>
      </c>
      <c r="G232" s="17" t="n">
        <v>0</v>
      </c>
      <c r="H232" s="13" t="n">
        <v>16</v>
      </c>
      <c r="I232" s="13" t="n">
        <v>0</v>
      </c>
      <c r="J232" s="13" t="n">
        <v>0</v>
      </c>
      <c r="K232" s="13" t="n">
        <v>16</v>
      </c>
      <c r="L232" s="17" t="n">
        <v>0</v>
      </c>
      <c r="M232" s="18" t="n">
        <f aca="false">IF(H232=0,"",I232/H232)</f>
        <v>0</v>
      </c>
    </row>
    <row r="233" customFormat="false" ht="15" hidden="false" customHeight="false" outlineLevel="0" collapsed="false">
      <c r="A233" s="13" t="s">
        <v>131</v>
      </c>
      <c r="B233" s="13" t="s">
        <v>176</v>
      </c>
      <c r="C233" s="13" t="n">
        <v>1</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327</v>
      </c>
      <c r="B234" s="13" t="s">
        <v>176</v>
      </c>
      <c r="C234" s="13" t="n">
        <v>1</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328</v>
      </c>
      <c r="B235" s="13" t="s">
        <v>176</v>
      </c>
      <c r="C235" s="13" t="n">
        <v>1</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329</v>
      </c>
      <c r="B236" s="13" t="s">
        <v>176</v>
      </c>
      <c r="C236" s="13" t="n">
        <v>1</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330</v>
      </c>
      <c r="B237" s="13" t="s">
        <v>176</v>
      </c>
      <c r="C237" s="13" t="n">
        <v>1</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331</v>
      </c>
      <c r="B238" s="13" t="s">
        <v>176</v>
      </c>
      <c r="C238" s="13" t="n">
        <v>1</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332</v>
      </c>
      <c r="B239" s="13" t="s">
        <v>176</v>
      </c>
      <c r="C239" s="13" t="n">
        <v>1</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333</v>
      </c>
      <c r="B240" s="13" t="s">
        <v>176</v>
      </c>
      <c r="C240" s="13" t="n">
        <v>1</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334</v>
      </c>
      <c r="B241" s="13" t="s">
        <v>176</v>
      </c>
      <c r="C241" s="13" t="n">
        <v>1</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335</v>
      </c>
      <c r="B242" s="13" t="s">
        <v>176</v>
      </c>
      <c r="C242" s="13" t="n">
        <v>1</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336</v>
      </c>
      <c r="B243" s="13" t="s">
        <v>176</v>
      </c>
      <c r="C243" s="13" t="n">
        <v>1</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337</v>
      </c>
      <c r="B244" s="13" t="s">
        <v>176</v>
      </c>
      <c r="C244" s="13" t="n">
        <v>1</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99</v>
      </c>
      <c r="B245" s="13" t="s">
        <v>169</v>
      </c>
      <c r="C245" s="13" t="n">
        <v>0</v>
      </c>
      <c r="D245" s="13" t="n">
        <v>0</v>
      </c>
      <c r="E245" s="13" t="n">
        <v>14</v>
      </c>
      <c r="F245" s="13" t="n">
        <v>0</v>
      </c>
      <c r="G245" s="17" t="n">
        <v>0</v>
      </c>
      <c r="H245" s="13" t="n">
        <v>127</v>
      </c>
      <c r="I245" s="13" t="n">
        <v>0</v>
      </c>
      <c r="J245" s="13" t="n">
        <v>15</v>
      </c>
      <c r="K245" s="13" t="n">
        <v>254</v>
      </c>
      <c r="L245" s="17" t="n">
        <v>0</v>
      </c>
      <c r="M245" s="18" t="n">
        <f aca="false">IF(H245=0,"",I245/H245)</f>
        <v>0</v>
      </c>
    </row>
    <row r="246" customFormat="false" ht="15" hidden="false" customHeight="false" outlineLevel="0" collapsed="false">
      <c r="A246" s="13" t="s">
        <v>99</v>
      </c>
      <c r="B246" s="13" t="s">
        <v>170</v>
      </c>
      <c r="C246" s="13" t="n">
        <v>23</v>
      </c>
      <c r="D246" s="13" t="n">
        <v>0</v>
      </c>
      <c r="E246" s="13" t="n">
        <v>23</v>
      </c>
      <c r="F246" s="13" t="n">
        <v>0</v>
      </c>
      <c r="G246" s="17" t="n">
        <v>0</v>
      </c>
      <c r="H246" s="13" t="n">
        <v>31</v>
      </c>
      <c r="I246" s="13" t="n">
        <v>0</v>
      </c>
      <c r="J246" s="13" t="n">
        <v>31</v>
      </c>
      <c r="K246" s="13" t="n">
        <v>0</v>
      </c>
      <c r="L246" s="17" t="n">
        <v>0</v>
      </c>
      <c r="M246" s="18" t="n">
        <f aca="false">IF(H246=0,"",I246/H246)</f>
        <v>0</v>
      </c>
    </row>
    <row r="247" customFormat="false" ht="15" hidden="false" customHeight="false" outlineLevel="0" collapsed="false">
      <c r="A247" s="13" t="s">
        <v>99</v>
      </c>
      <c r="B247" s="13" t="s">
        <v>172</v>
      </c>
      <c r="C247" s="13" t="n">
        <v>0</v>
      </c>
      <c r="D247" s="13" t="n">
        <v>0</v>
      </c>
      <c r="E247" s="13" t="n">
        <v>0</v>
      </c>
      <c r="F247" s="13" t="n">
        <v>0</v>
      </c>
      <c r="G247" s="17" t="n">
        <v>0</v>
      </c>
      <c r="H247" s="13" t="n">
        <v>23</v>
      </c>
      <c r="I247" s="13" t="n">
        <v>0</v>
      </c>
      <c r="J247" s="13" t="n">
        <v>22</v>
      </c>
      <c r="K247" s="13" t="n">
        <v>0</v>
      </c>
      <c r="L247" s="17" t="n">
        <v>0.030372</v>
      </c>
      <c r="M247" s="18" t="n">
        <f aca="false">IF(H247=0,"",I247/H247)</f>
        <v>0</v>
      </c>
    </row>
    <row r="248" customFormat="false" ht="15" hidden="false" customHeight="false" outlineLevel="0" collapsed="false">
      <c r="A248" s="13" t="s">
        <v>99</v>
      </c>
      <c r="B248" s="13" t="s">
        <v>176</v>
      </c>
      <c r="C248" s="13" t="n">
        <v>0</v>
      </c>
      <c r="D248" s="13" t="n">
        <v>0</v>
      </c>
      <c r="E248" s="13" t="n">
        <v>0</v>
      </c>
      <c r="F248" s="13" t="n">
        <v>0</v>
      </c>
      <c r="G248" s="17" t="n">
        <v>0</v>
      </c>
      <c r="H248" s="13" t="n">
        <v>7</v>
      </c>
      <c r="I248" s="13" t="n">
        <v>0</v>
      </c>
      <c r="J248" s="13" t="n">
        <v>0</v>
      </c>
      <c r="K248" s="13" t="n">
        <v>0</v>
      </c>
      <c r="L248" s="17" t="n">
        <v>0</v>
      </c>
      <c r="M248" s="18" t="n">
        <f aca="false">IF(H248=0,"",I248/H248)</f>
        <v>0</v>
      </c>
    </row>
    <row r="249" customFormat="false" ht="15" hidden="false" customHeight="false" outlineLevel="0" collapsed="false">
      <c r="A249" s="13" t="s">
        <v>121</v>
      </c>
      <c r="B249" s="13" t="s">
        <v>169</v>
      </c>
      <c r="C249" s="13" t="n">
        <v>0</v>
      </c>
      <c r="D249" s="13" t="n">
        <v>0</v>
      </c>
      <c r="E249" s="13" t="n">
        <v>0</v>
      </c>
      <c r="F249" s="13" t="n">
        <v>0</v>
      </c>
      <c r="G249" s="17" t="n">
        <v>0</v>
      </c>
      <c r="H249" s="13" t="n">
        <v>148</v>
      </c>
      <c r="I249" s="13" t="n">
        <v>1</v>
      </c>
      <c r="J249" s="13" t="n">
        <v>147</v>
      </c>
      <c r="K249" s="13" t="n">
        <v>296</v>
      </c>
      <c r="L249" s="17" t="n">
        <v>0</v>
      </c>
      <c r="M249" s="18" t="n">
        <f aca="false">IF(H249=0,"",I249/H249)</f>
        <v>0.00675675675675676</v>
      </c>
    </row>
    <row r="250" customFormat="false" ht="15" hidden="false" customHeight="false" outlineLevel="0" collapsed="false">
      <c r="A250" s="13" t="s">
        <v>121</v>
      </c>
      <c r="B250" s="13" t="s">
        <v>170</v>
      </c>
      <c r="C250" s="13" t="n">
        <v>0</v>
      </c>
      <c r="D250" s="13" t="n">
        <v>0</v>
      </c>
      <c r="E250" s="13" t="n">
        <v>0</v>
      </c>
      <c r="F250" s="13" t="n">
        <v>0</v>
      </c>
      <c r="G250" s="17" t="n">
        <v>0</v>
      </c>
      <c r="H250" s="13" t="n">
        <v>147</v>
      </c>
      <c r="I250" s="13" t="n">
        <v>1</v>
      </c>
      <c r="J250" s="13" t="n">
        <v>0</v>
      </c>
      <c r="K250" s="13" t="n">
        <v>0</v>
      </c>
      <c r="L250" s="17" t="n">
        <v>0</v>
      </c>
      <c r="M250" s="18" t="n">
        <f aca="false">IF(H250=0,"",I250/H250)</f>
        <v>0.00680272108843537</v>
      </c>
    </row>
    <row r="251" customFormat="false" ht="15" hidden="false" customHeight="false" outlineLevel="0" collapsed="false">
      <c r="A251" s="13" t="s">
        <v>121</v>
      </c>
      <c r="B251" s="13" t="s">
        <v>172</v>
      </c>
      <c r="C251" s="13" t="n">
        <v>0</v>
      </c>
      <c r="D251" s="13" t="n">
        <v>0</v>
      </c>
      <c r="E251" s="13" t="n">
        <v>0</v>
      </c>
      <c r="F251" s="13" t="n">
        <v>0</v>
      </c>
      <c r="G251" s="17" t="n">
        <v>0</v>
      </c>
      <c r="H251" s="13" t="n">
        <v>425</v>
      </c>
      <c r="I251" s="13" t="n">
        <v>54</v>
      </c>
      <c r="J251" s="13" t="n">
        <v>370</v>
      </c>
      <c r="K251" s="13" t="n">
        <v>0</v>
      </c>
      <c r="L251" s="17" t="n">
        <v>0.1202789</v>
      </c>
      <c r="M251" s="18" t="n">
        <f aca="false">IF(H251=0,"",I251/H251)</f>
        <v>0.127058823529412</v>
      </c>
    </row>
    <row r="252" customFormat="false" ht="15" hidden="false" customHeight="false" outlineLevel="0" collapsed="false">
      <c r="A252" s="13" t="s">
        <v>121</v>
      </c>
      <c r="B252" s="13" t="s">
        <v>175</v>
      </c>
      <c r="C252" s="13" t="n">
        <v>0</v>
      </c>
      <c r="D252" s="13" t="n">
        <v>0</v>
      </c>
      <c r="E252" s="13" t="n">
        <v>0</v>
      </c>
      <c r="F252" s="13" t="n">
        <v>0</v>
      </c>
      <c r="G252" s="17" t="n">
        <v>0</v>
      </c>
      <c r="H252" s="13" t="n">
        <v>16</v>
      </c>
      <c r="I252" s="13" t="n">
        <v>0</v>
      </c>
      <c r="J252" s="13" t="n">
        <v>0</v>
      </c>
      <c r="K252" s="13" t="n">
        <v>16</v>
      </c>
      <c r="L252" s="17" t="n">
        <v>0</v>
      </c>
      <c r="M252" s="18" t="n">
        <f aca="false">IF(H252=0,"",I252/H252)</f>
        <v>0</v>
      </c>
    </row>
    <row r="253" customFormat="false" ht="15" hidden="false" customHeight="false" outlineLevel="0" collapsed="false">
      <c r="A253" s="13" t="s">
        <v>121</v>
      </c>
      <c r="B253" s="13" t="s">
        <v>176</v>
      </c>
      <c r="C253" s="13" t="n">
        <v>0</v>
      </c>
      <c r="D253" s="13" t="n">
        <v>0</v>
      </c>
      <c r="E253" s="13" t="n">
        <v>0</v>
      </c>
      <c r="F253" s="13" t="n">
        <v>0</v>
      </c>
      <c r="G253" s="17" t="n">
        <v>0</v>
      </c>
      <c r="H253" s="13" t="n">
        <v>369</v>
      </c>
      <c r="I253" s="13" t="n">
        <v>0</v>
      </c>
      <c r="J253" s="13" t="n">
        <v>0</v>
      </c>
      <c r="K253" s="13" t="n">
        <v>0</v>
      </c>
      <c r="L253" s="17" t="n">
        <v>0</v>
      </c>
      <c r="M253" s="18" t="n">
        <f aca="false">IF(H253=0,"",I253/H253)</f>
        <v>0</v>
      </c>
    </row>
    <row r="254" customFormat="false" ht="15" hidden="false" customHeight="false" outlineLevel="0" collapsed="false">
      <c r="A254" s="13" t="s">
        <v>338</v>
      </c>
      <c r="B254" s="13" t="s">
        <v>176</v>
      </c>
      <c r="C254" s="13" t="n">
        <v>1</v>
      </c>
      <c r="D254" s="13" t="n">
        <v>0</v>
      </c>
      <c r="E254" s="13" t="n">
        <v>0</v>
      </c>
      <c r="F254" s="13" t="n">
        <v>0</v>
      </c>
      <c r="G254" s="17" t="n">
        <v>0</v>
      </c>
      <c r="H254" s="13" t="n">
        <v>1</v>
      </c>
      <c r="I254" s="13" t="n">
        <v>0</v>
      </c>
      <c r="J254" s="13" t="n">
        <v>0</v>
      </c>
      <c r="K254" s="13" t="n">
        <v>0</v>
      </c>
      <c r="L254" s="17" t="n">
        <v>0</v>
      </c>
      <c r="M254" s="18" t="n">
        <f aca="false">IF(H254=0,"",I254/H254)</f>
        <v>0</v>
      </c>
    </row>
    <row r="255" customFormat="false" ht="15" hidden="false" customHeight="false" outlineLevel="0" collapsed="false">
      <c r="A255" s="13" t="s">
        <v>339</v>
      </c>
      <c r="B255" s="13" t="s">
        <v>176</v>
      </c>
      <c r="C255" s="13" t="n">
        <v>1</v>
      </c>
      <c r="D255" s="13" t="n">
        <v>0</v>
      </c>
      <c r="E255" s="13" t="n">
        <v>0</v>
      </c>
      <c r="F255" s="13" t="n">
        <v>0</v>
      </c>
      <c r="G255" s="17" t="n">
        <v>0</v>
      </c>
      <c r="H255" s="13" t="n">
        <v>1</v>
      </c>
      <c r="I255" s="13" t="n">
        <v>0</v>
      </c>
      <c r="J255" s="13" t="n">
        <v>0</v>
      </c>
      <c r="K255" s="13" t="n">
        <v>0</v>
      </c>
      <c r="L255" s="17" t="n">
        <v>0</v>
      </c>
      <c r="M255" s="18" t="n">
        <f aca="false">IF(H255=0,"",I255/H255)</f>
        <v>0</v>
      </c>
    </row>
    <row r="256" customFormat="false" ht="15" hidden="false" customHeight="false" outlineLevel="0" collapsed="false">
      <c r="A256" s="13" t="s">
        <v>340</v>
      </c>
      <c r="B256" s="13" t="s">
        <v>176</v>
      </c>
      <c r="C256" s="13" t="n">
        <v>1</v>
      </c>
      <c r="D256" s="13" t="n">
        <v>0</v>
      </c>
      <c r="E256" s="13" t="n">
        <v>0</v>
      </c>
      <c r="F256" s="13" t="n">
        <v>0</v>
      </c>
      <c r="G256" s="17" t="n">
        <v>0</v>
      </c>
      <c r="H256" s="13" t="n">
        <v>1</v>
      </c>
      <c r="I256" s="13" t="n">
        <v>0</v>
      </c>
      <c r="J256" s="13" t="n">
        <v>0</v>
      </c>
      <c r="K256" s="13" t="n">
        <v>0</v>
      </c>
      <c r="L256" s="17" t="n">
        <v>0</v>
      </c>
      <c r="M256" s="18" t="n">
        <f aca="false">IF(H256=0,"",I256/H256)</f>
        <v>0</v>
      </c>
    </row>
    <row r="257" customFormat="false" ht="15" hidden="false" customHeight="false" outlineLevel="0" collapsed="false">
      <c r="A257" s="13" t="s">
        <v>341</v>
      </c>
      <c r="B257" s="13" t="s">
        <v>176</v>
      </c>
      <c r="C257" s="13" t="n">
        <v>0</v>
      </c>
      <c r="D257" s="13" t="n">
        <v>0</v>
      </c>
      <c r="E257" s="13" t="n">
        <v>0</v>
      </c>
      <c r="F257" s="13" t="n">
        <v>0</v>
      </c>
      <c r="G257" s="17" t="n">
        <v>0</v>
      </c>
      <c r="H257" s="13" t="n">
        <v>1</v>
      </c>
      <c r="I257" s="13" t="n">
        <v>0</v>
      </c>
      <c r="J257" s="13" t="n">
        <v>0</v>
      </c>
      <c r="K257" s="13" t="n">
        <v>0</v>
      </c>
      <c r="L257" s="17" t="n">
        <v>0</v>
      </c>
      <c r="M257" s="18" t="n">
        <f aca="false">IF(H257=0,"",I257/H257)</f>
        <v>0</v>
      </c>
    </row>
    <row r="258" customFormat="false" ht="15" hidden="false" customHeight="false" outlineLevel="0" collapsed="false">
      <c r="A258" s="13" t="s">
        <v>342</v>
      </c>
      <c r="B258" s="13" t="s">
        <v>176</v>
      </c>
      <c r="C258" s="13" t="n">
        <v>1</v>
      </c>
      <c r="D258" s="13" t="n">
        <v>0</v>
      </c>
      <c r="E258" s="13" t="n">
        <v>0</v>
      </c>
      <c r="F258" s="13" t="n">
        <v>0</v>
      </c>
      <c r="G258" s="17" t="n">
        <v>0</v>
      </c>
      <c r="H258" s="13" t="n">
        <v>1</v>
      </c>
      <c r="I258" s="13" t="n">
        <v>0</v>
      </c>
      <c r="J258" s="13" t="n">
        <v>0</v>
      </c>
      <c r="K258" s="13" t="n">
        <v>0</v>
      </c>
      <c r="L258" s="17" t="n">
        <v>0</v>
      </c>
      <c r="M258" s="18" t="n">
        <f aca="false">IF(H258=0,"",I258/H258)</f>
        <v>0</v>
      </c>
    </row>
    <row r="259" customFormat="false" ht="15" hidden="false" customHeight="false" outlineLevel="0" collapsed="false">
      <c r="A259" s="13" t="s">
        <v>343</v>
      </c>
      <c r="B259" s="13" t="s">
        <v>176</v>
      </c>
      <c r="C259" s="13" t="n">
        <v>1</v>
      </c>
      <c r="D259" s="13" t="n">
        <v>0</v>
      </c>
      <c r="E259" s="13" t="n">
        <v>0</v>
      </c>
      <c r="F259" s="13" t="n">
        <v>0</v>
      </c>
      <c r="G259" s="17" t="n">
        <v>0</v>
      </c>
      <c r="H259" s="13" t="n">
        <v>1</v>
      </c>
      <c r="I259" s="13" t="n">
        <v>0</v>
      </c>
      <c r="J259" s="13" t="n">
        <v>0</v>
      </c>
      <c r="K259" s="13" t="n">
        <v>0</v>
      </c>
      <c r="L259" s="17" t="n">
        <v>0</v>
      </c>
      <c r="M259" s="18" t="n">
        <f aca="false">IF(H259=0,"",I259/H259)</f>
        <v>0</v>
      </c>
    </row>
    <row r="260" customFormat="false" ht="15" hidden="false" customHeight="false" outlineLevel="0" collapsed="false">
      <c r="A260" s="13" t="s">
        <v>105</v>
      </c>
      <c r="B260" s="13" t="s">
        <v>169</v>
      </c>
      <c r="C260" s="13" t="n">
        <v>0</v>
      </c>
      <c r="D260" s="13" t="n">
        <v>0</v>
      </c>
      <c r="E260" s="13" t="n">
        <v>0</v>
      </c>
      <c r="F260" s="13" t="n">
        <v>0</v>
      </c>
      <c r="G260" s="17" t="n">
        <v>0</v>
      </c>
      <c r="H260" s="13" t="n">
        <v>274</v>
      </c>
      <c r="I260" s="13" t="n">
        <v>0</v>
      </c>
      <c r="J260" s="13" t="n">
        <v>100</v>
      </c>
      <c r="K260" s="13" t="n">
        <v>548</v>
      </c>
      <c r="L260" s="17" t="n">
        <v>0</v>
      </c>
      <c r="M260" s="18" t="n">
        <f aca="false">IF(H260=0,"",I260/H260)</f>
        <v>0</v>
      </c>
    </row>
    <row r="261" customFormat="false" ht="15" hidden="false" customHeight="false" outlineLevel="0" collapsed="false">
      <c r="A261" s="13" t="s">
        <v>105</v>
      </c>
      <c r="B261" s="13" t="s">
        <v>170</v>
      </c>
      <c r="C261" s="13" t="n">
        <v>30</v>
      </c>
      <c r="D261" s="13" t="n">
        <v>9</v>
      </c>
      <c r="E261" s="13" t="n">
        <v>0</v>
      </c>
      <c r="F261" s="13" t="n">
        <v>29</v>
      </c>
      <c r="G261" s="17" t="n">
        <v>0</v>
      </c>
      <c r="H261" s="13" t="n">
        <v>132</v>
      </c>
      <c r="I261" s="13" t="n">
        <v>9</v>
      </c>
      <c r="J261" s="13" t="n">
        <v>2</v>
      </c>
      <c r="K261" s="13" t="n">
        <v>29</v>
      </c>
      <c r="L261" s="17" t="n">
        <v>0</v>
      </c>
      <c r="M261" s="18" t="n">
        <f aca="false">IF(H261=0,"",I261/H261)</f>
        <v>0.0681818181818182</v>
      </c>
    </row>
    <row r="262" customFormat="false" ht="15" hidden="false" customHeight="false" outlineLevel="0" collapsed="false">
      <c r="A262" s="13" t="s">
        <v>105</v>
      </c>
      <c r="B262" s="13" t="s">
        <v>171</v>
      </c>
      <c r="C262" s="13" t="n">
        <v>40</v>
      </c>
      <c r="D262" s="13" t="n">
        <v>8</v>
      </c>
      <c r="E262" s="13" t="n">
        <v>10</v>
      </c>
      <c r="F262" s="13" t="n">
        <v>0</v>
      </c>
      <c r="G262" s="17" t="n">
        <v>0.00491679</v>
      </c>
      <c r="H262" s="13" t="n">
        <v>40</v>
      </c>
      <c r="I262" s="13" t="n">
        <v>8</v>
      </c>
      <c r="J262" s="13" t="n">
        <v>10</v>
      </c>
      <c r="K262" s="13" t="n">
        <v>0</v>
      </c>
      <c r="L262" s="17" t="n">
        <v>0.00491679</v>
      </c>
      <c r="M262" s="18" t="n">
        <f aca="false">IF(H262=0,"",I262/H262)</f>
        <v>0.2</v>
      </c>
    </row>
    <row r="263" customFormat="false" ht="15" hidden="false" customHeight="false" outlineLevel="0" collapsed="false">
      <c r="A263" s="13" t="s">
        <v>105</v>
      </c>
      <c r="B263" s="13" t="s">
        <v>172</v>
      </c>
      <c r="C263" s="13" t="n">
        <v>0</v>
      </c>
      <c r="D263" s="13" t="n">
        <v>0</v>
      </c>
      <c r="E263" s="13" t="n">
        <v>0</v>
      </c>
      <c r="F263" s="13" t="n">
        <v>0</v>
      </c>
      <c r="G263" s="17" t="n">
        <v>0</v>
      </c>
      <c r="H263" s="13" t="n">
        <v>379</v>
      </c>
      <c r="I263" s="13" t="n">
        <v>10</v>
      </c>
      <c r="J263" s="13" t="n">
        <v>367</v>
      </c>
      <c r="K263" s="13" t="n">
        <v>0</v>
      </c>
      <c r="L263" s="17" t="n">
        <v>0.0862164114285714</v>
      </c>
      <c r="M263" s="18" t="n">
        <f aca="false">IF(H263=0,"",I263/H263)</f>
        <v>0.0263852242744063</v>
      </c>
    </row>
    <row r="264" customFormat="false" ht="15" hidden="false" customHeight="false" outlineLevel="0" collapsed="false">
      <c r="A264" s="13" t="s">
        <v>105</v>
      </c>
      <c r="B264" s="13" t="s">
        <v>175</v>
      </c>
      <c r="C264" s="13" t="n">
        <v>25</v>
      </c>
      <c r="D264" s="13" t="n">
        <v>0</v>
      </c>
      <c r="E264" s="13" t="n">
        <v>0</v>
      </c>
      <c r="F264" s="13" t="n">
        <v>61</v>
      </c>
      <c r="G264" s="17" t="n">
        <v>0</v>
      </c>
      <c r="H264" s="13" t="n">
        <v>28</v>
      </c>
      <c r="I264" s="13" t="n">
        <v>0</v>
      </c>
      <c r="J264" s="13" t="n">
        <v>0</v>
      </c>
      <c r="K264" s="13" t="n">
        <v>64</v>
      </c>
      <c r="L264" s="17" t="n">
        <v>0</v>
      </c>
      <c r="M264" s="18" t="n">
        <f aca="false">IF(H264=0,"",I264/H264)</f>
        <v>0</v>
      </c>
    </row>
    <row r="265" customFormat="false" ht="15" hidden="false" customHeight="false" outlineLevel="0" collapsed="false">
      <c r="A265" s="13" t="s">
        <v>105</v>
      </c>
      <c r="B265" s="13" t="s">
        <v>176</v>
      </c>
      <c r="C265" s="13" t="n">
        <v>0</v>
      </c>
      <c r="D265" s="13" t="n">
        <v>0</v>
      </c>
      <c r="E265" s="13" t="n">
        <v>0</v>
      </c>
      <c r="F265" s="13" t="n">
        <v>0</v>
      </c>
      <c r="G265" s="17" t="n">
        <v>0</v>
      </c>
      <c r="H265" s="13" t="n">
        <v>368</v>
      </c>
      <c r="I265" s="13" t="n">
        <v>0</v>
      </c>
      <c r="J265" s="13" t="n">
        <v>0</v>
      </c>
      <c r="K265" s="13" t="n">
        <v>0</v>
      </c>
      <c r="L265" s="17" t="n">
        <v>0</v>
      </c>
      <c r="M265" s="18" t="n">
        <f aca="false">IF(H265=0,"",I265/H265)</f>
        <v>0</v>
      </c>
    </row>
    <row r="266" customFormat="false" ht="15" hidden="false" customHeight="false" outlineLevel="0" collapsed="false">
      <c r="A266" s="13" t="s">
        <v>344</v>
      </c>
      <c r="B266" s="13" t="s">
        <v>176</v>
      </c>
      <c r="C266" s="13" t="n">
        <v>1</v>
      </c>
      <c r="D266" s="13" t="n">
        <v>0</v>
      </c>
      <c r="E266" s="13" t="n">
        <v>0</v>
      </c>
      <c r="F266" s="13" t="n">
        <v>0</v>
      </c>
      <c r="G266" s="17" t="n">
        <v>0</v>
      </c>
      <c r="H266" s="13" t="n">
        <v>1</v>
      </c>
      <c r="I266" s="13" t="n">
        <v>0</v>
      </c>
      <c r="J266" s="13" t="n">
        <v>0</v>
      </c>
      <c r="K266" s="13" t="n">
        <v>0</v>
      </c>
      <c r="L266" s="17" t="n">
        <v>0</v>
      </c>
      <c r="M266" s="18" t="n">
        <f aca="false">IF(H266=0,"",I266/H266)</f>
        <v>0</v>
      </c>
    </row>
    <row r="267" customFormat="false" ht="15" hidden="false" customHeight="false" outlineLevel="0" collapsed="false">
      <c r="A267" s="13" t="s">
        <v>345</v>
      </c>
      <c r="B267" s="13" t="s">
        <v>176</v>
      </c>
      <c r="C267" s="13" t="n">
        <v>1</v>
      </c>
      <c r="D267" s="13" t="n">
        <v>0</v>
      </c>
      <c r="E267" s="13" t="n">
        <v>0</v>
      </c>
      <c r="F267" s="13" t="n">
        <v>0</v>
      </c>
      <c r="G267" s="17" t="n">
        <v>0</v>
      </c>
      <c r="H267" s="13" t="n">
        <v>1</v>
      </c>
      <c r="I267" s="13" t="n">
        <v>0</v>
      </c>
      <c r="J267" s="13" t="n">
        <v>0</v>
      </c>
      <c r="K267" s="13" t="n">
        <v>0</v>
      </c>
      <c r="L267" s="17" t="n">
        <v>0</v>
      </c>
      <c r="M267" s="18" t="n">
        <f aca="false">IF(H267=0,"",I267/H267)</f>
        <v>0</v>
      </c>
    </row>
    <row r="268" customFormat="false" ht="15" hidden="false" customHeight="false" outlineLevel="0" collapsed="false">
      <c r="A268" s="13" t="s">
        <v>346</v>
      </c>
      <c r="B268" s="13" t="s">
        <v>176</v>
      </c>
      <c r="C268" s="13" t="n">
        <v>1</v>
      </c>
      <c r="D268" s="13" t="n">
        <v>0</v>
      </c>
      <c r="E268" s="13" t="n">
        <v>0</v>
      </c>
      <c r="F268" s="13" t="n">
        <v>0</v>
      </c>
      <c r="G268" s="17" t="n">
        <v>0</v>
      </c>
      <c r="H268" s="13" t="n">
        <v>2</v>
      </c>
      <c r="I268" s="13" t="n">
        <v>0</v>
      </c>
      <c r="J268" s="13" t="n">
        <v>0</v>
      </c>
      <c r="K268" s="13" t="n">
        <v>0</v>
      </c>
      <c r="L268" s="17" t="n">
        <v>0</v>
      </c>
      <c r="M268" s="18" t="n">
        <f aca="false">IF(H268=0,"",I268/H268)</f>
        <v>0</v>
      </c>
    </row>
    <row r="269" customFormat="false" ht="15" hidden="false" customHeight="false" outlineLevel="0" collapsed="false">
      <c r="A269" s="13" t="s">
        <v>347</v>
      </c>
      <c r="B269" s="13" t="s">
        <v>176</v>
      </c>
      <c r="C269" s="13" t="n">
        <v>1</v>
      </c>
      <c r="D269" s="13" t="n">
        <v>0</v>
      </c>
      <c r="E269" s="13" t="n">
        <v>0</v>
      </c>
      <c r="F269" s="13" t="n">
        <v>0</v>
      </c>
      <c r="G269" s="17" t="n">
        <v>0</v>
      </c>
      <c r="H269" s="13" t="n">
        <v>1</v>
      </c>
      <c r="I269" s="13" t="n">
        <v>0</v>
      </c>
      <c r="J269" s="13" t="n">
        <v>0</v>
      </c>
      <c r="K269" s="13" t="n">
        <v>0</v>
      </c>
      <c r="L269" s="17" t="n">
        <v>0</v>
      </c>
      <c r="M269" s="18" t="n">
        <f aca="false">IF(H269=0,"",I269/H269)</f>
        <v>0</v>
      </c>
    </row>
    <row r="270" customFormat="false" ht="15" hidden="false" customHeight="false" outlineLevel="0" collapsed="false">
      <c r="A270" s="13" t="s">
        <v>348</v>
      </c>
      <c r="B270" s="13" t="s">
        <v>176</v>
      </c>
      <c r="C270" s="13" t="n">
        <v>1</v>
      </c>
      <c r="D270" s="13" t="n">
        <v>0</v>
      </c>
      <c r="E270" s="13" t="n">
        <v>0</v>
      </c>
      <c r="F270" s="13" t="n">
        <v>0</v>
      </c>
      <c r="G270" s="17" t="n">
        <v>0</v>
      </c>
      <c r="H270" s="13" t="n">
        <v>2</v>
      </c>
      <c r="I270" s="13" t="n">
        <v>0</v>
      </c>
      <c r="J270" s="13" t="n">
        <v>0</v>
      </c>
      <c r="K270" s="13" t="n">
        <v>0</v>
      </c>
      <c r="L270" s="17" t="n">
        <v>0</v>
      </c>
      <c r="M270" s="18" t="n">
        <f aca="false">IF(H270=0,"",I270/H270)</f>
        <v>0</v>
      </c>
    </row>
    <row r="271" customFormat="false" ht="15" hidden="false" customHeight="false" outlineLevel="0" collapsed="false">
      <c r="A271" s="13" t="s">
        <v>349</v>
      </c>
      <c r="B271" s="13" t="s">
        <v>176</v>
      </c>
      <c r="C271" s="13" t="n">
        <v>1</v>
      </c>
      <c r="D271" s="13" t="n">
        <v>0</v>
      </c>
      <c r="E271" s="13" t="n">
        <v>0</v>
      </c>
      <c r="F271" s="13" t="n">
        <v>0</v>
      </c>
      <c r="G271" s="17" t="n">
        <v>0</v>
      </c>
      <c r="H271" s="13" t="n">
        <v>1</v>
      </c>
      <c r="I271" s="13" t="n">
        <v>0</v>
      </c>
      <c r="J271" s="13" t="n">
        <v>0</v>
      </c>
      <c r="K271" s="13" t="n">
        <v>0</v>
      </c>
      <c r="L271" s="17" t="n">
        <v>0</v>
      </c>
      <c r="M271" s="18" t="n">
        <f aca="false">IF(H271=0,"",I271/H271)</f>
        <v>0</v>
      </c>
    </row>
    <row r="272" customFormat="false" ht="15" hidden="false" customHeight="false" outlineLevel="0" collapsed="false">
      <c r="A272" s="13" t="s">
        <v>350</v>
      </c>
      <c r="B272" s="13" t="s">
        <v>176</v>
      </c>
      <c r="C272" s="13" t="n">
        <v>1</v>
      </c>
      <c r="D272" s="13" t="n">
        <v>0</v>
      </c>
      <c r="E272" s="13" t="n">
        <v>0</v>
      </c>
      <c r="F272" s="13" t="n">
        <v>0</v>
      </c>
      <c r="G272" s="17" t="n">
        <v>0</v>
      </c>
      <c r="H272" s="13" t="n">
        <v>1</v>
      </c>
      <c r="I272" s="13" t="n">
        <v>0</v>
      </c>
      <c r="J272" s="13" t="n">
        <v>0</v>
      </c>
      <c r="K272" s="13" t="n">
        <v>0</v>
      </c>
      <c r="L272" s="17" t="n">
        <v>0</v>
      </c>
      <c r="M272" s="18" t="n">
        <f aca="false">IF(H272=0,"",I272/H272)</f>
        <v>0</v>
      </c>
    </row>
    <row r="273" customFormat="false" ht="15" hidden="false" customHeight="false" outlineLevel="0" collapsed="false">
      <c r="A273" s="13" t="s">
        <v>351</v>
      </c>
      <c r="B273" s="13" t="s">
        <v>176</v>
      </c>
      <c r="C273" s="13" t="n">
        <v>1</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352</v>
      </c>
      <c r="B274" s="13" t="s">
        <v>176</v>
      </c>
      <c r="C274" s="13" t="n">
        <v>1</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353</v>
      </c>
      <c r="B275" s="13" t="s">
        <v>176</v>
      </c>
      <c r="C275" s="13" t="n">
        <v>1</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354</v>
      </c>
      <c r="B276" s="13" t="s">
        <v>176</v>
      </c>
      <c r="C276" s="13" t="n">
        <v>1</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143</v>
      </c>
      <c r="B277" s="13" t="s">
        <v>169</v>
      </c>
      <c r="C277" s="13" t="n">
        <v>6</v>
      </c>
      <c r="D277" s="13" t="n">
        <v>0</v>
      </c>
      <c r="E277" s="13" t="n">
        <v>0</v>
      </c>
      <c r="F277" s="13" t="n">
        <v>12</v>
      </c>
      <c r="G277" s="17" t="n">
        <v>0</v>
      </c>
      <c r="H277" s="13" t="n">
        <v>6</v>
      </c>
      <c r="I277" s="13" t="n">
        <v>0</v>
      </c>
      <c r="J277" s="13" t="n">
        <v>0</v>
      </c>
      <c r="K277" s="13" t="n">
        <v>12</v>
      </c>
      <c r="L277" s="17" t="n">
        <v>0</v>
      </c>
      <c r="M277" s="18" t="n">
        <f aca="false">IF(H277=0,"",I277/H277)</f>
        <v>0</v>
      </c>
    </row>
    <row r="278" customFormat="false" ht="15" hidden="false" customHeight="false" outlineLevel="0" collapsed="false">
      <c r="A278" s="13" t="s">
        <v>143</v>
      </c>
      <c r="B278" s="13" t="s">
        <v>172</v>
      </c>
      <c r="C278" s="13" t="n">
        <v>3</v>
      </c>
      <c r="D278" s="13" t="n">
        <v>0</v>
      </c>
      <c r="E278" s="13" t="n">
        <v>3</v>
      </c>
      <c r="F278" s="13" t="n">
        <v>0</v>
      </c>
      <c r="G278" s="17" t="n">
        <v>0.0011596</v>
      </c>
      <c r="H278" s="13" t="n">
        <v>3</v>
      </c>
      <c r="I278" s="13" t="n">
        <v>0</v>
      </c>
      <c r="J278" s="13" t="n">
        <v>3</v>
      </c>
      <c r="K278" s="13" t="n">
        <v>0</v>
      </c>
      <c r="L278" s="17" t="n">
        <v>0.0011596</v>
      </c>
      <c r="M278" s="18" t="n">
        <f aca="false">IF(H278=0,"",I278/H278)</f>
        <v>0</v>
      </c>
    </row>
    <row r="279" customFormat="false" ht="15" hidden="false" customHeight="false" outlineLevel="0" collapsed="false">
      <c r="A279" s="13" t="s">
        <v>355</v>
      </c>
      <c r="B279" s="13" t="s">
        <v>176</v>
      </c>
      <c r="C279" s="13" t="n">
        <v>1</v>
      </c>
      <c r="D279" s="13" t="n">
        <v>0</v>
      </c>
      <c r="E279" s="13" t="n">
        <v>0</v>
      </c>
      <c r="F279" s="13" t="n">
        <v>0</v>
      </c>
      <c r="G279" s="17" t="n">
        <v>0</v>
      </c>
      <c r="H279" s="13" t="n">
        <v>1</v>
      </c>
      <c r="I279" s="13" t="n">
        <v>0</v>
      </c>
      <c r="J279" s="13" t="n">
        <v>0</v>
      </c>
      <c r="K279" s="13" t="n">
        <v>0</v>
      </c>
      <c r="L279" s="17" t="n">
        <v>0</v>
      </c>
      <c r="M279" s="18" t="n">
        <f aca="false">IF(H279=0,"",I279/H279)</f>
        <v>0</v>
      </c>
    </row>
    <row r="280" customFormat="false" ht="15" hidden="false" customHeight="false" outlineLevel="0" collapsed="false">
      <c r="A280" s="13" t="s">
        <v>356</v>
      </c>
      <c r="B280" s="13" t="s">
        <v>176</v>
      </c>
      <c r="C280" s="13" t="n">
        <v>1</v>
      </c>
      <c r="D280" s="13" t="n">
        <v>0</v>
      </c>
      <c r="E280" s="13" t="n">
        <v>0</v>
      </c>
      <c r="F280" s="13" t="n">
        <v>0</v>
      </c>
      <c r="G280" s="17" t="n">
        <v>0</v>
      </c>
      <c r="H280" s="13" t="n">
        <v>1</v>
      </c>
      <c r="I280" s="13" t="n">
        <v>0</v>
      </c>
      <c r="J280" s="13" t="n">
        <v>0</v>
      </c>
      <c r="K280" s="13" t="n">
        <v>0</v>
      </c>
      <c r="L280" s="17" t="n">
        <v>0</v>
      </c>
      <c r="M280" s="18" t="n">
        <f aca="false">IF(H280=0,"",I280/H280)</f>
        <v>0</v>
      </c>
    </row>
    <row r="281" customFormat="false" ht="15" hidden="false" customHeight="false" outlineLevel="0" collapsed="false">
      <c r="A281" s="13" t="s">
        <v>357</v>
      </c>
      <c r="B281" s="13" t="s">
        <v>176</v>
      </c>
      <c r="C281" s="13" t="n">
        <v>1</v>
      </c>
      <c r="D281" s="13" t="n">
        <v>0</v>
      </c>
      <c r="E281" s="13" t="n">
        <v>0</v>
      </c>
      <c r="F281" s="13" t="n">
        <v>0</v>
      </c>
      <c r="G281" s="17" t="n">
        <v>0</v>
      </c>
      <c r="H281" s="13" t="n">
        <v>1</v>
      </c>
      <c r="I281" s="13" t="n">
        <v>0</v>
      </c>
      <c r="J281" s="13" t="n">
        <v>0</v>
      </c>
      <c r="K281" s="13" t="n">
        <v>0</v>
      </c>
      <c r="L281" s="17" t="n">
        <v>0</v>
      </c>
      <c r="M281" s="18" t="n">
        <f aca="false">IF(H281=0,"",I281/H281)</f>
        <v>0</v>
      </c>
    </row>
    <row r="282" customFormat="false" ht="15" hidden="false" customHeight="false" outlineLevel="0" collapsed="false">
      <c r="A282" s="13" t="s">
        <v>358</v>
      </c>
      <c r="B282" s="13" t="s">
        <v>176</v>
      </c>
      <c r="C282" s="13" t="n">
        <v>1</v>
      </c>
      <c r="D282" s="13" t="n">
        <v>0</v>
      </c>
      <c r="E282" s="13" t="n">
        <v>0</v>
      </c>
      <c r="F282" s="13" t="n">
        <v>0</v>
      </c>
      <c r="G282" s="17" t="n">
        <v>0</v>
      </c>
      <c r="H282" s="13" t="n">
        <v>1</v>
      </c>
      <c r="I282" s="13" t="n">
        <v>0</v>
      </c>
      <c r="J282" s="13" t="n">
        <v>0</v>
      </c>
      <c r="K282" s="13" t="n">
        <v>0</v>
      </c>
      <c r="L282" s="17" t="n">
        <v>0</v>
      </c>
      <c r="M282" s="18" t="n">
        <f aca="false">IF(H282=0,"",I282/H282)</f>
        <v>0</v>
      </c>
    </row>
    <row r="283" customFormat="false" ht="15" hidden="false" customHeight="false" outlineLevel="0" collapsed="false">
      <c r="A283" s="13" t="s">
        <v>109</v>
      </c>
      <c r="B283" s="13" t="s">
        <v>169</v>
      </c>
      <c r="C283" s="13" t="n">
        <v>22</v>
      </c>
      <c r="D283" s="13" t="n">
        <v>0</v>
      </c>
      <c r="E283" s="13" t="n">
        <v>17</v>
      </c>
      <c r="F283" s="13" t="n">
        <v>44</v>
      </c>
      <c r="G283" s="17" t="n">
        <v>0</v>
      </c>
      <c r="H283" s="13" t="n">
        <v>22</v>
      </c>
      <c r="I283" s="13" t="n">
        <v>0</v>
      </c>
      <c r="J283" s="13" t="n">
        <v>17</v>
      </c>
      <c r="K283" s="13" t="n">
        <v>44</v>
      </c>
      <c r="L283" s="17" t="n">
        <v>0</v>
      </c>
      <c r="M283" s="18" t="n">
        <f aca="false">IF(H283=0,"",I283/H283)</f>
        <v>0</v>
      </c>
    </row>
    <row r="284" customFormat="false" ht="15" hidden="false" customHeight="false" outlineLevel="0" collapsed="false">
      <c r="A284" s="13" t="s">
        <v>109</v>
      </c>
      <c r="B284" s="13" t="s">
        <v>170</v>
      </c>
      <c r="C284" s="13" t="n">
        <v>17</v>
      </c>
      <c r="D284" s="13" t="n">
        <v>0</v>
      </c>
      <c r="E284" s="13" t="n">
        <v>0</v>
      </c>
      <c r="F284" s="13" t="n">
        <v>0</v>
      </c>
      <c r="G284" s="17" t="n">
        <v>0</v>
      </c>
      <c r="H284" s="13" t="n">
        <v>17</v>
      </c>
      <c r="I284" s="13" t="n">
        <v>0</v>
      </c>
      <c r="J284" s="13" t="n">
        <v>0</v>
      </c>
      <c r="K284" s="13" t="n">
        <v>0</v>
      </c>
      <c r="L284" s="17" t="n">
        <v>0</v>
      </c>
      <c r="M284" s="18" t="n">
        <f aca="false">IF(H284=0,"",I284/H284)</f>
        <v>0</v>
      </c>
    </row>
    <row r="285" customFormat="false" ht="15" hidden="false" customHeight="false" outlineLevel="0" collapsed="false">
      <c r="A285" s="13" t="s">
        <v>109</v>
      </c>
      <c r="B285" s="13" t="s">
        <v>172</v>
      </c>
      <c r="C285" s="13" t="n">
        <v>49</v>
      </c>
      <c r="D285" s="13" t="n">
        <v>7</v>
      </c>
      <c r="E285" s="13" t="n">
        <v>41</v>
      </c>
      <c r="F285" s="13" t="n">
        <v>0</v>
      </c>
      <c r="G285" s="17" t="n">
        <v>0.0176824</v>
      </c>
      <c r="H285" s="13" t="n">
        <v>49</v>
      </c>
      <c r="I285" s="13" t="n">
        <v>7</v>
      </c>
      <c r="J285" s="13" t="n">
        <v>41</v>
      </c>
      <c r="K285" s="13" t="n">
        <v>0</v>
      </c>
      <c r="L285" s="17" t="n">
        <v>0.0176824</v>
      </c>
      <c r="M285" s="18" t="n">
        <f aca="false">IF(H285=0,"",I285/H285)</f>
        <v>0.142857142857143</v>
      </c>
    </row>
    <row r="286" customFormat="false" ht="15" hidden="false" customHeight="false" outlineLevel="0" collapsed="false">
      <c r="A286" s="13" t="s">
        <v>109</v>
      </c>
      <c r="B286" s="13" t="s">
        <v>176</v>
      </c>
      <c r="C286" s="13" t="n">
        <v>41</v>
      </c>
      <c r="D286" s="13" t="n">
        <v>0</v>
      </c>
      <c r="E286" s="13" t="n">
        <v>0</v>
      </c>
      <c r="F286" s="13" t="n">
        <v>0</v>
      </c>
      <c r="G286" s="17" t="n">
        <v>0</v>
      </c>
      <c r="H286" s="13" t="n">
        <v>41</v>
      </c>
      <c r="I286" s="13" t="n">
        <v>0</v>
      </c>
      <c r="J286" s="13" t="n">
        <v>0</v>
      </c>
      <c r="K286" s="13" t="n">
        <v>0</v>
      </c>
      <c r="L286" s="17" t="n">
        <v>0</v>
      </c>
      <c r="M286" s="18" t="n">
        <f aca="false">IF(H286=0,"",I286/H286)</f>
        <v>0</v>
      </c>
    </row>
    <row r="287" customFormat="false" ht="15" hidden="false" customHeight="false" outlineLevel="0" collapsed="false">
      <c r="A287" s="13" t="s">
        <v>83</v>
      </c>
      <c r="B287" s="13" t="s">
        <v>169</v>
      </c>
      <c r="C287" s="13" t="n">
        <v>0</v>
      </c>
      <c r="D287" s="13" t="n">
        <v>0</v>
      </c>
      <c r="E287" s="13" t="n">
        <v>0</v>
      </c>
      <c r="F287" s="13" t="n">
        <v>0</v>
      </c>
      <c r="G287" s="17" t="n">
        <v>0</v>
      </c>
      <c r="H287" s="13" t="n">
        <v>64</v>
      </c>
      <c r="I287" s="13" t="n">
        <v>0</v>
      </c>
      <c r="J287" s="13" t="n">
        <v>0</v>
      </c>
      <c r="K287" s="13" t="n">
        <v>128</v>
      </c>
      <c r="L287" s="17" t="n">
        <v>0</v>
      </c>
      <c r="M287" s="18" t="n">
        <f aca="false">IF(H287=0,"",I287/H287)</f>
        <v>0</v>
      </c>
    </row>
    <row r="288" customFormat="false" ht="15" hidden="false" customHeight="false" outlineLevel="0" collapsed="false">
      <c r="A288" s="13" t="s">
        <v>83</v>
      </c>
      <c r="B288" s="13" t="s">
        <v>170</v>
      </c>
      <c r="C288" s="13" t="n">
        <v>1</v>
      </c>
      <c r="D288" s="13" t="n">
        <v>0</v>
      </c>
      <c r="E288" s="13" t="n">
        <v>1</v>
      </c>
      <c r="F288" s="13" t="n">
        <v>0</v>
      </c>
      <c r="G288" s="17" t="n">
        <v>0</v>
      </c>
      <c r="H288" s="13" t="n">
        <v>1</v>
      </c>
      <c r="I288" s="13" t="n">
        <v>0</v>
      </c>
      <c r="J288" s="13" t="n">
        <v>1</v>
      </c>
      <c r="K288" s="13" t="n">
        <v>0</v>
      </c>
      <c r="L288" s="17" t="n">
        <v>0</v>
      </c>
      <c r="M288" s="18" t="n">
        <f aca="false">IF(H288=0,"",I288/H288)</f>
        <v>0</v>
      </c>
    </row>
    <row r="289" customFormat="false" ht="15" hidden="false" customHeight="false" outlineLevel="0" collapsed="false">
      <c r="A289" s="13" t="s">
        <v>83</v>
      </c>
      <c r="B289" s="13" t="s">
        <v>176</v>
      </c>
      <c r="C289" s="13" t="n">
        <v>0</v>
      </c>
      <c r="D289" s="13" t="n">
        <v>0</v>
      </c>
      <c r="E289" s="13" t="n">
        <v>0</v>
      </c>
      <c r="F289" s="13" t="n">
        <v>0</v>
      </c>
      <c r="G289" s="17" t="n">
        <v>0</v>
      </c>
      <c r="H289" s="13" t="n">
        <v>1</v>
      </c>
      <c r="I289" s="13" t="n">
        <v>0</v>
      </c>
      <c r="J289" s="13" t="n">
        <v>0</v>
      </c>
      <c r="K289" s="13" t="n">
        <v>0</v>
      </c>
      <c r="L289" s="17" t="n">
        <v>0</v>
      </c>
      <c r="M289" s="18" t="n">
        <f aca="false">IF(H289=0,"",I289/H289)</f>
        <v>0</v>
      </c>
    </row>
    <row r="290" customFormat="false" ht="15" hidden="false" customHeight="false" outlineLevel="0" collapsed="false">
      <c r="A290" s="13" t="s">
        <v>359</v>
      </c>
      <c r="B290" s="13" t="s">
        <v>176</v>
      </c>
      <c r="C290" s="13" t="n">
        <v>1</v>
      </c>
      <c r="D290" s="13" t="n">
        <v>0</v>
      </c>
      <c r="E290" s="13" t="n">
        <v>0</v>
      </c>
      <c r="F290" s="13" t="n">
        <v>0</v>
      </c>
      <c r="G290" s="17" t="n">
        <v>0</v>
      </c>
      <c r="H290" s="13" t="n">
        <v>1</v>
      </c>
      <c r="I290" s="13" t="n">
        <v>0</v>
      </c>
      <c r="J290" s="13" t="n">
        <v>0</v>
      </c>
      <c r="K290" s="13" t="n">
        <v>0</v>
      </c>
      <c r="L290" s="17" t="n">
        <v>0</v>
      </c>
      <c r="M290" s="18" t="n">
        <f aca="false">IF(H290=0,"",I290/H290)</f>
        <v>0</v>
      </c>
    </row>
    <row r="291" customFormat="false" ht="15" hidden="false" customHeight="false" outlineLevel="0" collapsed="false">
      <c r="A291" s="13" t="s">
        <v>101</v>
      </c>
      <c r="B291" s="13" t="s">
        <v>172</v>
      </c>
      <c r="C291" s="13" t="n">
        <v>172</v>
      </c>
      <c r="D291" s="13" t="n">
        <v>138</v>
      </c>
      <c r="E291" s="13" t="n">
        <v>25</v>
      </c>
      <c r="F291" s="13" t="n">
        <v>0</v>
      </c>
      <c r="G291" s="17" t="n">
        <v>0.024978</v>
      </c>
      <c r="H291" s="13" t="n">
        <v>172</v>
      </c>
      <c r="I291" s="13" t="n">
        <v>138</v>
      </c>
      <c r="J291" s="13" t="n">
        <v>25</v>
      </c>
      <c r="K291" s="13" t="n">
        <v>0</v>
      </c>
      <c r="L291" s="17" t="n">
        <v>0.024978</v>
      </c>
      <c r="M291" s="18" t="n">
        <f aca="false">IF(H291=0,"",I291/H291)</f>
        <v>0.802325581395349</v>
      </c>
    </row>
    <row r="292" customFormat="false" ht="15" hidden="false" customHeight="false" outlineLevel="0" collapsed="false">
      <c r="A292" s="13" t="s">
        <v>101</v>
      </c>
      <c r="B292" s="13" t="s">
        <v>174</v>
      </c>
      <c r="C292" s="13" t="n">
        <v>75</v>
      </c>
      <c r="D292" s="13" t="n">
        <v>63</v>
      </c>
      <c r="E292" s="13" t="n">
        <v>0</v>
      </c>
      <c r="F292" s="13" t="n">
        <v>0</v>
      </c>
      <c r="G292" s="17" t="n">
        <v>0.02667899</v>
      </c>
      <c r="H292" s="13" t="n">
        <v>75</v>
      </c>
      <c r="I292" s="13" t="n">
        <v>63</v>
      </c>
      <c r="J292" s="13" t="n">
        <v>0</v>
      </c>
      <c r="K292" s="13" t="n">
        <v>0</v>
      </c>
      <c r="L292" s="17" t="n">
        <v>0.02667899</v>
      </c>
      <c r="M292" s="18" t="n">
        <f aca="false">IF(H292=0,"",I292/H292)</f>
        <v>0.84</v>
      </c>
    </row>
    <row r="293" customFormat="false" ht="15" hidden="false" customHeight="false" outlineLevel="0" collapsed="false">
      <c r="A293" s="13" t="s">
        <v>101</v>
      </c>
      <c r="B293" s="13" t="s">
        <v>175</v>
      </c>
      <c r="C293" s="13" t="n">
        <v>67</v>
      </c>
      <c r="D293" s="13" t="n">
        <v>0</v>
      </c>
      <c r="E293" s="13" t="n">
        <v>0</v>
      </c>
      <c r="F293" s="13" t="n">
        <v>67</v>
      </c>
      <c r="G293" s="17" t="n">
        <v>0</v>
      </c>
      <c r="H293" s="13" t="n">
        <v>67</v>
      </c>
      <c r="I293" s="13" t="n">
        <v>0</v>
      </c>
      <c r="J293" s="13" t="n">
        <v>0</v>
      </c>
      <c r="K293" s="13" t="n">
        <v>67</v>
      </c>
      <c r="L293" s="17" t="n">
        <v>0</v>
      </c>
      <c r="M293" s="18" t="n">
        <f aca="false">IF(H293=0,"",I293/H293)</f>
        <v>0</v>
      </c>
    </row>
    <row r="294" customFormat="false" ht="15" hidden="false" customHeight="false" outlineLevel="0" collapsed="false">
      <c r="A294" s="13" t="s">
        <v>101</v>
      </c>
      <c r="B294" s="13" t="s">
        <v>176</v>
      </c>
      <c r="C294" s="13" t="n">
        <v>25</v>
      </c>
      <c r="D294" s="13" t="n">
        <v>0</v>
      </c>
      <c r="E294" s="13" t="n">
        <v>0</v>
      </c>
      <c r="F294" s="13" t="n">
        <v>0</v>
      </c>
      <c r="G294" s="17" t="n">
        <v>0</v>
      </c>
      <c r="H294" s="13" t="n">
        <v>26</v>
      </c>
      <c r="I294" s="13" t="n">
        <v>0</v>
      </c>
      <c r="J294" s="13" t="n">
        <v>0</v>
      </c>
      <c r="K294" s="13" t="n">
        <v>0</v>
      </c>
      <c r="L294" s="17" t="n">
        <v>0</v>
      </c>
      <c r="M294" s="18" t="n">
        <f aca="false">IF(H294=0,"",I294/H294)</f>
        <v>0</v>
      </c>
    </row>
    <row r="295" customFormat="false" ht="15" hidden="false" customHeight="false" outlineLevel="0" collapsed="false">
      <c r="A295" s="13" t="s">
        <v>360</v>
      </c>
      <c r="B295" s="13" t="s">
        <v>176</v>
      </c>
      <c r="C295" s="13" t="n">
        <v>1</v>
      </c>
      <c r="D295" s="13" t="n">
        <v>0</v>
      </c>
      <c r="E295" s="13" t="n">
        <v>0</v>
      </c>
      <c r="F295" s="13" t="n">
        <v>0</v>
      </c>
      <c r="G295" s="17" t="n">
        <v>0</v>
      </c>
      <c r="H295" s="13" t="n">
        <v>2</v>
      </c>
      <c r="I295" s="13" t="n">
        <v>0</v>
      </c>
      <c r="J295" s="13" t="n">
        <v>0</v>
      </c>
      <c r="K295" s="13" t="n">
        <v>0</v>
      </c>
      <c r="L295" s="17" t="n">
        <v>0</v>
      </c>
      <c r="M295" s="18" t="n">
        <f aca="false">IF(H295=0,"",I295/H295)</f>
        <v>0</v>
      </c>
    </row>
    <row r="296" customFormat="false" ht="15" hidden="false" customHeight="false" outlineLevel="0" collapsed="false">
      <c r="A296" s="13" t="s">
        <v>361</v>
      </c>
      <c r="B296" s="13" t="s">
        <v>176</v>
      </c>
      <c r="C296" s="13" t="n">
        <v>1</v>
      </c>
      <c r="D296" s="13" t="n">
        <v>0</v>
      </c>
      <c r="E296" s="13" t="n">
        <v>0</v>
      </c>
      <c r="F296" s="13" t="n">
        <v>0</v>
      </c>
      <c r="G296" s="17" t="n">
        <v>0</v>
      </c>
      <c r="H296" s="13" t="n">
        <v>1</v>
      </c>
      <c r="I296" s="13" t="n">
        <v>0</v>
      </c>
      <c r="J296" s="13" t="n">
        <v>0</v>
      </c>
      <c r="K296" s="13" t="n">
        <v>0</v>
      </c>
      <c r="L296" s="17" t="n">
        <v>0</v>
      </c>
      <c r="M296" s="18" t="n">
        <f aca="false">IF(H296=0,"",I296/H296)</f>
        <v>0</v>
      </c>
    </row>
    <row r="297" customFormat="false" ht="15" hidden="false" customHeight="false" outlineLevel="0" collapsed="false">
      <c r="A297" s="13" t="s">
        <v>362</v>
      </c>
      <c r="B297" s="13" t="s">
        <v>176</v>
      </c>
      <c r="C297" s="13" t="n">
        <v>1</v>
      </c>
      <c r="D297" s="13" t="n">
        <v>0</v>
      </c>
      <c r="E297" s="13" t="n">
        <v>0</v>
      </c>
      <c r="F297" s="13" t="n">
        <v>0</v>
      </c>
      <c r="G297" s="17" t="n">
        <v>0</v>
      </c>
      <c r="H297" s="13" t="n">
        <v>1</v>
      </c>
      <c r="I297" s="13" t="n">
        <v>0</v>
      </c>
      <c r="J297" s="13" t="n">
        <v>0</v>
      </c>
      <c r="K297" s="13" t="n">
        <v>0</v>
      </c>
      <c r="L297" s="17" t="n">
        <v>0</v>
      </c>
      <c r="M297" s="18" t="n">
        <f aca="false">IF(H297=0,"",I297/H297)</f>
        <v>0</v>
      </c>
    </row>
    <row r="298" customFormat="false" ht="15" hidden="false" customHeight="false" outlineLevel="0" collapsed="false">
      <c r="A298" s="13" t="s">
        <v>363</v>
      </c>
      <c r="B298" s="13" t="s">
        <v>176</v>
      </c>
      <c r="C298" s="13" t="n">
        <v>1</v>
      </c>
      <c r="D298" s="13" t="n">
        <v>0</v>
      </c>
      <c r="E298" s="13" t="n">
        <v>0</v>
      </c>
      <c r="F298" s="13" t="n">
        <v>0</v>
      </c>
      <c r="G298" s="17" t="n">
        <v>0</v>
      </c>
      <c r="H298" s="13" t="n">
        <v>1</v>
      </c>
      <c r="I298" s="13" t="n">
        <v>0</v>
      </c>
      <c r="J298" s="13" t="n">
        <v>0</v>
      </c>
      <c r="K298" s="13" t="n">
        <v>0</v>
      </c>
      <c r="L298" s="17" t="n">
        <v>0</v>
      </c>
      <c r="M298" s="18" t="n">
        <f aca="false">IF(H298=0,"",I298/H298)</f>
        <v>0</v>
      </c>
    </row>
    <row r="299" customFormat="false" ht="15" hidden="false" customHeight="false" outlineLevel="0" collapsed="false">
      <c r="A299" s="13" t="s">
        <v>364</v>
      </c>
      <c r="B299" s="13" t="s">
        <v>176</v>
      </c>
      <c r="C299" s="13" t="n">
        <v>1</v>
      </c>
      <c r="D299" s="13" t="n">
        <v>0</v>
      </c>
      <c r="E299" s="13" t="n">
        <v>0</v>
      </c>
      <c r="F299" s="13" t="n">
        <v>0</v>
      </c>
      <c r="G299" s="17" t="n">
        <v>0</v>
      </c>
      <c r="H299" s="13" t="n">
        <v>1</v>
      </c>
      <c r="I299" s="13" t="n">
        <v>0</v>
      </c>
      <c r="J299" s="13" t="n">
        <v>0</v>
      </c>
      <c r="K299" s="13" t="n">
        <v>0</v>
      </c>
      <c r="L299" s="17" t="n">
        <v>0</v>
      </c>
      <c r="M299" s="18" t="n">
        <f aca="false">IF(H299=0,"",I299/H299)</f>
        <v>0</v>
      </c>
    </row>
    <row r="300" customFormat="false" ht="15" hidden="false" customHeight="false" outlineLevel="0" collapsed="false">
      <c r="A300" s="13" t="s">
        <v>87</v>
      </c>
      <c r="B300" s="13" t="s">
        <v>169</v>
      </c>
      <c r="C300" s="13" t="n">
        <v>9</v>
      </c>
      <c r="D300" s="13" t="n">
        <v>0</v>
      </c>
      <c r="E300" s="13" t="n">
        <v>0</v>
      </c>
      <c r="F300" s="13" t="n">
        <v>18</v>
      </c>
      <c r="G300" s="17" t="n">
        <v>0</v>
      </c>
      <c r="H300" s="13" t="n">
        <v>9</v>
      </c>
      <c r="I300" s="13" t="n">
        <v>0</v>
      </c>
      <c r="J300" s="13" t="n">
        <v>0</v>
      </c>
      <c r="K300" s="13" t="n">
        <v>18</v>
      </c>
      <c r="L300" s="17" t="n">
        <v>0</v>
      </c>
      <c r="M300" s="18" t="n">
        <f aca="false">IF(H300=0,"",I300/H300)</f>
        <v>0</v>
      </c>
    </row>
    <row r="301" customFormat="false" ht="15" hidden="false" customHeight="false" outlineLevel="0" collapsed="false">
      <c r="A301" s="13" t="s">
        <v>87</v>
      </c>
      <c r="B301" s="13" t="s">
        <v>170</v>
      </c>
      <c r="C301" s="13" t="n">
        <v>0</v>
      </c>
      <c r="D301" s="13" t="n">
        <v>0</v>
      </c>
      <c r="E301" s="13" t="n">
        <v>0</v>
      </c>
      <c r="F301" s="13" t="n">
        <v>0</v>
      </c>
      <c r="G301" s="17" t="n">
        <v>0</v>
      </c>
      <c r="H301" s="13" t="n">
        <v>9</v>
      </c>
      <c r="I301" s="13" t="n">
        <v>0</v>
      </c>
      <c r="J301" s="13" t="n">
        <v>9</v>
      </c>
      <c r="K301" s="13" t="n">
        <v>0</v>
      </c>
      <c r="L301" s="17" t="n">
        <v>0</v>
      </c>
      <c r="M301" s="18" t="n">
        <f aca="false">IF(H301=0,"",I301/H301)</f>
        <v>0</v>
      </c>
    </row>
    <row r="302" customFormat="false" ht="15" hidden="false" customHeight="false" outlineLevel="0" collapsed="false">
      <c r="A302" s="13" t="s">
        <v>87</v>
      </c>
      <c r="B302" s="13" t="s">
        <v>172</v>
      </c>
      <c r="C302" s="13" t="n">
        <v>4</v>
      </c>
      <c r="D302" s="13" t="n">
        <v>1</v>
      </c>
      <c r="E302" s="13" t="n">
        <v>2</v>
      </c>
      <c r="F302" s="13" t="n">
        <v>0</v>
      </c>
      <c r="G302" s="17" t="n">
        <v>0.0044488</v>
      </c>
      <c r="H302" s="13" t="n">
        <v>4</v>
      </c>
      <c r="I302" s="13" t="n">
        <v>1</v>
      </c>
      <c r="J302" s="13" t="n">
        <v>2</v>
      </c>
      <c r="K302" s="13" t="n">
        <v>0</v>
      </c>
      <c r="L302" s="17" t="n">
        <v>0.0044488</v>
      </c>
      <c r="M302" s="18" t="n">
        <f aca="false">IF(H302=0,"",I302/H302)</f>
        <v>0.25</v>
      </c>
    </row>
    <row r="303" customFormat="false" ht="15" hidden="false" customHeight="false" outlineLevel="0" collapsed="false">
      <c r="A303" s="13" t="s">
        <v>87</v>
      </c>
      <c r="B303" s="13" t="s">
        <v>174</v>
      </c>
      <c r="C303" s="13" t="n">
        <v>0</v>
      </c>
      <c r="D303" s="13" t="n">
        <v>0</v>
      </c>
      <c r="E303" s="13" t="n">
        <v>0</v>
      </c>
      <c r="F303" s="13" t="n">
        <v>0</v>
      </c>
      <c r="G303" s="17" t="n">
        <v>0</v>
      </c>
      <c r="H303" s="13" t="n">
        <v>6</v>
      </c>
      <c r="I303" s="13" t="n">
        <v>5</v>
      </c>
      <c r="J303" s="13" t="n">
        <v>0</v>
      </c>
      <c r="K303" s="13" t="n">
        <v>0</v>
      </c>
      <c r="L303" s="17" t="n">
        <v>0.00361942</v>
      </c>
      <c r="M303" s="18" t="n">
        <f aca="false">IF(H303=0,"",I303/H303)</f>
        <v>0.833333333333333</v>
      </c>
    </row>
    <row r="304" customFormat="false" ht="15" hidden="false" customHeight="false" outlineLevel="0" collapsed="false">
      <c r="A304" s="13" t="s">
        <v>87</v>
      </c>
      <c r="B304" s="13" t="s">
        <v>175</v>
      </c>
      <c r="C304" s="13" t="n">
        <v>0</v>
      </c>
      <c r="D304" s="13" t="n">
        <v>0</v>
      </c>
      <c r="E304" s="13" t="n">
        <v>0</v>
      </c>
      <c r="F304" s="13" t="n">
        <v>0</v>
      </c>
      <c r="G304" s="17" t="n">
        <v>0</v>
      </c>
      <c r="H304" s="13" t="n">
        <v>8</v>
      </c>
      <c r="I304" s="13" t="n">
        <v>0</v>
      </c>
      <c r="J304" s="13" t="n">
        <v>0</v>
      </c>
      <c r="K304" s="13" t="n">
        <v>8</v>
      </c>
      <c r="L304" s="17" t="n">
        <v>0</v>
      </c>
      <c r="M304" s="18" t="n">
        <f aca="false">IF(H304=0,"",I304/H304)</f>
        <v>0</v>
      </c>
    </row>
    <row r="305" customFormat="false" ht="15" hidden="false" customHeight="false" outlineLevel="0" collapsed="false">
      <c r="A305" s="13" t="s">
        <v>365</v>
      </c>
      <c r="B305" s="13" t="s">
        <v>176</v>
      </c>
      <c r="C305" s="13" t="n">
        <v>1</v>
      </c>
      <c r="D305" s="13" t="n">
        <v>0</v>
      </c>
      <c r="E305" s="13" t="n">
        <v>0</v>
      </c>
      <c r="F305" s="13" t="n">
        <v>0</v>
      </c>
      <c r="G305" s="17" t="n">
        <v>0</v>
      </c>
      <c r="H305" s="13" t="n">
        <v>1</v>
      </c>
      <c r="I305" s="13" t="n">
        <v>0</v>
      </c>
      <c r="J305" s="13" t="n">
        <v>0</v>
      </c>
      <c r="K305" s="13" t="n">
        <v>0</v>
      </c>
      <c r="L305" s="17" t="n">
        <v>0</v>
      </c>
      <c r="M305" s="18" t="n">
        <f aca="false">IF(H305=0,"",I305/H305)</f>
        <v>0</v>
      </c>
    </row>
    <row r="306" customFormat="false" ht="15" hidden="false" customHeight="false" outlineLevel="0" collapsed="false">
      <c r="A306" s="13" t="s">
        <v>93</v>
      </c>
      <c r="B306" s="13" t="s">
        <v>169</v>
      </c>
      <c r="C306" s="13" t="n">
        <v>1</v>
      </c>
      <c r="D306" s="13" t="n">
        <v>0</v>
      </c>
      <c r="E306" s="13" t="n">
        <v>1</v>
      </c>
      <c r="F306" s="13" t="n">
        <v>2</v>
      </c>
      <c r="G306" s="17" t="n">
        <v>0</v>
      </c>
      <c r="H306" s="13" t="n">
        <v>1</v>
      </c>
      <c r="I306" s="13" t="n">
        <v>0</v>
      </c>
      <c r="J306" s="13" t="n">
        <v>1</v>
      </c>
      <c r="K306" s="13" t="n">
        <v>2</v>
      </c>
      <c r="L306" s="17" t="n">
        <v>0</v>
      </c>
      <c r="M306" s="18" t="n">
        <f aca="false">IF(H306=0,"",I306/H306)</f>
        <v>0</v>
      </c>
    </row>
    <row r="307" customFormat="false" ht="15" hidden="false" customHeight="false" outlineLevel="0" collapsed="false">
      <c r="A307" s="13" t="s">
        <v>93</v>
      </c>
      <c r="B307" s="13" t="s">
        <v>170</v>
      </c>
      <c r="C307" s="13" t="n">
        <v>1</v>
      </c>
      <c r="D307" s="13" t="n">
        <v>0</v>
      </c>
      <c r="E307" s="13" t="n">
        <v>0</v>
      </c>
      <c r="F307" s="13" t="n">
        <v>0</v>
      </c>
      <c r="G307" s="17" t="n">
        <v>0</v>
      </c>
      <c r="H307" s="13" t="n">
        <v>1</v>
      </c>
      <c r="I307" s="13" t="n">
        <v>0</v>
      </c>
      <c r="J307" s="13" t="n">
        <v>0</v>
      </c>
      <c r="K307" s="13" t="n">
        <v>0</v>
      </c>
      <c r="L307" s="17" t="n">
        <v>0</v>
      </c>
      <c r="M307" s="18" t="n">
        <f aca="false">IF(H307=0,"",I307/H307)</f>
        <v>0</v>
      </c>
    </row>
    <row r="308" customFormat="false" ht="15" hidden="false" customHeight="false" outlineLevel="0" collapsed="false">
      <c r="A308" s="13" t="s">
        <v>93</v>
      </c>
      <c r="B308" s="13" t="s">
        <v>172</v>
      </c>
      <c r="C308" s="13" t="n">
        <v>4</v>
      </c>
      <c r="D308" s="13" t="n">
        <v>1</v>
      </c>
      <c r="E308" s="13" t="n">
        <v>3</v>
      </c>
      <c r="F308" s="13" t="n">
        <v>0</v>
      </c>
      <c r="G308" s="17" t="n">
        <v>0.0035252</v>
      </c>
      <c r="H308" s="13" t="n">
        <v>4</v>
      </c>
      <c r="I308" s="13" t="n">
        <v>1</v>
      </c>
      <c r="J308" s="13" t="n">
        <v>3</v>
      </c>
      <c r="K308" s="13" t="n">
        <v>0</v>
      </c>
      <c r="L308" s="17" t="n">
        <v>0.0035252</v>
      </c>
      <c r="M308" s="18" t="n">
        <f aca="false">IF(H308=0,"",I308/H308)</f>
        <v>0.25</v>
      </c>
    </row>
    <row r="309" customFormat="false" ht="15" hidden="false" customHeight="false" outlineLevel="0" collapsed="false">
      <c r="A309" s="13" t="s">
        <v>93</v>
      </c>
      <c r="B309" s="13" t="s">
        <v>175</v>
      </c>
      <c r="C309" s="13" t="n">
        <v>16</v>
      </c>
      <c r="D309" s="13" t="n">
        <v>0</v>
      </c>
      <c r="E309" s="13" t="n">
        <v>0</v>
      </c>
      <c r="F309" s="13" t="n">
        <v>16</v>
      </c>
      <c r="G309" s="17" t="n">
        <v>0</v>
      </c>
      <c r="H309" s="13" t="n">
        <v>16</v>
      </c>
      <c r="I309" s="13" t="n">
        <v>0</v>
      </c>
      <c r="J309" s="13" t="n">
        <v>0</v>
      </c>
      <c r="K309" s="13" t="n">
        <v>16</v>
      </c>
      <c r="L309" s="17" t="n">
        <v>0</v>
      </c>
      <c r="M309" s="18" t="n">
        <f aca="false">IF(H309=0,"",I309/H309)</f>
        <v>0</v>
      </c>
    </row>
    <row r="310" customFormat="false" ht="15" hidden="false" customHeight="false" outlineLevel="0" collapsed="false">
      <c r="A310" s="13" t="s">
        <v>93</v>
      </c>
      <c r="B310" s="13" t="s">
        <v>176</v>
      </c>
      <c r="C310" s="13" t="n">
        <v>2</v>
      </c>
      <c r="D310" s="13" t="n">
        <v>0</v>
      </c>
      <c r="E310" s="13" t="n">
        <v>0</v>
      </c>
      <c r="F310" s="13" t="n">
        <v>0</v>
      </c>
      <c r="G310" s="17" t="n">
        <v>0</v>
      </c>
      <c r="H310" s="13" t="n">
        <v>2</v>
      </c>
      <c r="I310" s="13" t="n">
        <v>0</v>
      </c>
      <c r="J310" s="13" t="n">
        <v>0</v>
      </c>
      <c r="K310" s="13" t="n">
        <v>0</v>
      </c>
      <c r="L310" s="17" t="n">
        <v>0</v>
      </c>
      <c r="M310" s="18" t="n">
        <f aca="false">IF(H310=0,"",I310/H310)</f>
        <v>0</v>
      </c>
    </row>
    <row r="311" customFormat="false" ht="15" hidden="false" customHeight="false" outlineLevel="0" collapsed="false">
      <c r="A311" s="13" t="s">
        <v>366</v>
      </c>
      <c r="B311" s="13" t="s">
        <v>176</v>
      </c>
      <c r="C311" s="13" t="n">
        <v>1</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367</v>
      </c>
      <c r="B312" s="13" t="s">
        <v>176</v>
      </c>
      <c r="C312" s="13" t="n">
        <v>1</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368</v>
      </c>
      <c r="B313" s="13" t="s">
        <v>176</v>
      </c>
      <c r="C313" s="13" t="n">
        <v>1</v>
      </c>
      <c r="D313" s="13" t="n">
        <v>0</v>
      </c>
      <c r="E313" s="13" t="n">
        <v>0</v>
      </c>
      <c r="F313" s="13" t="n">
        <v>0</v>
      </c>
      <c r="G313" s="17" t="n">
        <v>0</v>
      </c>
      <c r="H313" s="13" t="n">
        <v>1</v>
      </c>
      <c r="I313" s="13" t="n">
        <v>0</v>
      </c>
      <c r="J313" s="13" t="n">
        <v>0</v>
      </c>
      <c r="K313" s="13" t="n">
        <v>0</v>
      </c>
      <c r="L313" s="17" t="n">
        <v>0</v>
      </c>
      <c r="M313" s="18" t="n">
        <f aca="false">IF(H313=0,"",I313/H313)</f>
        <v>0</v>
      </c>
    </row>
    <row r="314" customFormat="false" ht="15" hidden="false" customHeight="false" outlineLevel="0" collapsed="false">
      <c r="A314" s="13" t="s">
        <v>369</v>
      </c>
      <c r="B314" s="13" t="s">
        <v>176</v>
      </c>
      <c r="C314" s="13" t="n">
        <v>1</v>
      </c>
      <c r="D314" s="13" t="n">
        <v>0</v>
      </c>
      <c r="E314" s="13" t="n">
        <v>0</v>
      </c>
      <c r="F314" s="13" t="n">
        <v>0</v>
      </c>
      <c r="G314" s="17" t="n">
        <v>0</v>
      </c>
      <c r="H314" s="13" t="n">
        <v>1</v>
      </c>
      <c r="I314" s="13" t="n">
        <v>0</v>
      </c>
      <c r="J314" s="13" t="n">
        <v>0</v>
      </c>
      <c r="K314" s="13" t="n">
        <v>0</v>
      </c>
      <c r="L314" s="17" t="n">
        <v>0</v>
      </c>
      <c r="M314" s="18" t="n">
        <f aca="false">IF(H314=0,"",I314/H314)</f>
        <v>0</v>
      </c>
    </row>
    <row r="315" customFormat="false" ht="15" hidden="false" customHeight="false" outlineLevel="0" collapsed="false">
      <c r="A315" s="13" t="s">
        <v>370</v>
      </c>
      <c r="B315" s="13" t="s">
        <v>176</v>
      </c>
      <c r="C315" s="13" t="n">
        <v>1</v>
      </c>
      <c r="D315" s="13" t="n">
        <v>0</v>
      </c>
      <c r="E315" s="13" t="n">
        <v>0</v>
      </c>
      <c r="F315" s="13" t="n">
        <v>0</v>
      </c>
      <c r="G315" s="17" t="n">
        <v>0</v>
      </c>
      <c r="H315" s="13" t="n">
        <v>1</v>
      </c>
      <c r="I315" s="13" t="n">
        <v>0</v>
      </c>
      <c r="J315" s="13" t="n">
        <v>0</v>
      </c>
      <c r="K315" s="13" t="n">
        <v>0</v>
      </c>
      <c r="L315" s="17" t="n">
        <v>0</v>
      </c>
      <c r="M315" s="18" t="n">
        <f aca="false">IF(H315=0,"",I315/H315)</f>
        <v>0</v>
      </c>
    </row>
    <row r="316" customFormat="false" ht="15" hidden="false" customHeight="false" outlineLevel="0" collapsed="false">
      <c r="A316" s="13" t="s">
        <v>371</v>
      </c>
      <c r="B316" s="13" t="s">
        <v>176</v>
      </c>
      <c r="C316" s="13" t="n">
        <v>1</v>
      </c>
      <c r="D316" s="13" t="n">
        <v>0</v>
      </c>
      <c r="E316" s="13" t="n">
        <v>0</v>
      </c>
      <c r="F316" s="13" t="n">
        <v>0</v>
      </c>
      <c r="G316" s="17" t="n">
        <v>0</v>
      </c>
      <c r="H316" s="13" t="n">
        <v>1</v>
      </c>
      <c r="I316" s="13" t="n">
        <v>0</v>
      </c>
      <c r="J316" s="13" t="n">
        <v>0</v>
      </c>
      <c r="K316" s="13" t="n">
        <v>0</v>
      </c>
      <c r="L316" s="17" t="n">
        <v>0</v>
      </c>
      <c r="M316" s="18" t="n">
        <f aca="false">IF(H316=0,"",I316/H316)</f>
        <v>0</v>
      </c>
    </row>
    <row r="317" customFormat="false" ht="15" hidden="false" customHeight="false" outlineLevel="0" collapsed="false">
      <c r="A317" s="13" t="s">
        <v>372</v>
      </c>
      <c r="B317" s="13" t="s">
        <v>176</v>
      </c>
      <c r="C317" s="13" t="n">
        <v>1</v>
      </c>
      <c r="D317" s="13" t="n">
        <v>0</v>
      </c>
      <c r="E317" s="13" t="n">
        <v>0</v>
      </c>
      <c r="F317" s="13" t="n">
        <v>0</v>
      </c>
      <c r="G317" s="17" t="n">
        <v>0</v>
      </c>
      <c r="H317" s="13" t="n">
        <v>1</v>
      </c>
      <c r="I317" s="13" t="n">
        <v>0</v>
      </c>
      <c r="J317" s="13" t="n">
        <v>0</v>
      </c>
      <c r="K317" s="13" t="n">
        <v>0</v>
      </c>
      <c r="L317" s="17" t="n">
        <v>0</v>
      </c>
      <c r="M317" s="18" t="n">
        <f aca="false">IF(H317=0,"",I317/H317)</f>
        <v>0</v>
      </c>
    </row>
    <row r="318" customFormat="false" ht="15" hidden="false" customHeight="false" outlineLevel="0" collapsed="false">
      <c r="A318" s="13" t="s">
        <v>373</v>
      </c>
      <c r="B318" s="13" t="s">
        <v>176</v>
      </c>
      <c r="C318" s="13" t="n">
        <v>1</v>
      </c>
      <c r="D318" s="13" t="n">
        <v>0</v>
      </c>
      <c r="E318" s="13" t="n">
        <v>0</v>
      </c>
      <c r="F318" s="13" t="n">
        <v>0</v>
      </c>
      <c r="G318" s="17" t="n">
        <v>0</v>
      </c>
      <c r="H318" s="13" t="n">
        <v>2</v>
      </c>
      <c r="I318" s="13" t="n">
        <v>0</v>
      </c>
      <c r="J318" s="13" t="n">
        <v>0</v>
      </c>
      <c r="K318" s="13" t="n">
        <v>0</v>
      </c>
      <c r="L318" s="17" t="n">
        <v>0</v>
      </c>
      <c r="M318" s="18" t="n">
        <f aca="false">IF(H318=0,"",I318/H318)</f>
        <v>0</v>
      </c>
    </row>
    <row r="319" customFormat="false" ht="15" hidden="false" customHeight="false" outlineLevel="0" collapsed="false">
      <c r="A319" s="13" t="s">
        <v>374</v>
      </c>
      <c r="B319" s="13" t="s">
        <v>176</v>
      </c>
      <c r="C319" s="13" t="n">
        <v>1</v>
      </c>
      <c r="D319" s="13" t="n">
        <v>0</v>
      </c>
      <c r="E319" s="13" t="n">
        <v>0</v>
      </c>
      <c r="F319" s="13" t="n">
        <v>0</v>
      </c>
      <c r="G319" s="17" t="n">
        <v>0</v>
      </c>
      <c r="H319" s="13" t="n">
        <v>1</v>
      </c>
      <c r="I319" s="13" t="n">
        <v>0</v>
      </c>
      <c r="J319" s="13" t="n">
        <v>0</v>
      </c>
      <c r="K319" s="13" t="n">
        <v>0</v>
      </c>
      <c r="L319" s="17" t="n">
        <v>0</v>
      </c>
      <c r="M319" s="18" t="n">
        <f aca="false">IF(H319=0,"",I319/H319)</f>
        <v>0</v>
      </c>
    </row>
    <row r="320" customFormat="false" ht="15" hidden="false" customHeight="false" outlineLevel="0" collapsed="false">
      <c r="A320" s="13" t="s">
        <v>375</v>
      </c>
      <c r="B320" s="13" t="s">
        <v>176</v>
      </c>
      <c r="C320" s="13" t="n">
        <v>1</v>
      </c>
      <c r="D320" s="13" t="n">
        <v>0</v>
      </c>
      <c r="E320" s="13" t="n">
        <v>0</v>
      </c>
      <c r="F320" s="13" t="n">
        <v>0</v>
      </c>
      <c r="G320" s="17" t="n">
        <v>0</v>
      </c>
      <c r="H320" s="13" t="n">
        <v>1</v>
      </c>
      <c r="I320" s="13" t="n">
        <v>0</v>
      </c>
      <c r="J320" s="13" t="n">
        <v>0</v>
      </c>
      <c r="K320" s="13" t="n">
        <v>0</v>
      </c>
      <c r="L320" s="17" t="n">
        <v>0</v>
      </c>
      <c r="M320" s="18" t="n">
        <f aca="false">IF(H320=0,"",I320/H320)</f>
        <v>0</v>
      </c>
    </row>
    <row r="321" customFormat="false" ht="15" hidden="false" customHeight="false" outlineLevel="0" collapsed="false">
      <c r="A321" s="13" t="s">
        <v>376</v>
      </c>
      <c r="B321" s="13" t="s">
        <v>176</v>
      </c>
      <c r="C321" s="13" t="n">
        <v>1</v>
      </c>
      <c r="D321" s="13" t="n">
        <v>0</v>
      </c>
      <c r="E321" s="13" t="n">
        <v>0</v>
      </c>
      <c r="F321" s="13" t="n">
        <v>0</v>
      </c>
      <c r="G321" s="17" t="n">
        <v>0</v>
      </c>
      <c r="H321" s="13" t="n">
        <v>1</v>
      </c>
      <c r="I321" s="13" t="n">
        <v>0</v>
      </c>
      <c r="J321" s="13" t="n">
        <v>0</v>
      </c>
      <c r="K321" s="13" t="n">
        <v>0</v>
      </c>
      <c r="L321" s="17" t="n">
        <v>0</v>
      </c>
      <c r="M321" s="18" t="n">
        <f aca="false">IF(H321=0,"",I321/H321)</f>
        <v>0</v>
      </c>
    </row>
    <row r="322" customFormat="false" ht="15" hidden="false" customHeight="false" outlineLevel="0" collapsed="false">
      <c r="A322" s="13" t="s">
        <v>376</v>
      </c>
      <c r="B322" s="13" t="s">
        <v>176</v>
      </c>
      <c r="C322" s="13" t="n">
        <v>1</v>
      </c>
      <c r="D322" s="13" t="n">
        <v>0</v>
      </c>
      <c r="E322" s="13" t="n">
        <v>0</v>
      </c>
      <c r="F322" s="13" t="n">
        <v>0</v>
      </c>
      <c r="G322" s="17" t="n">
        <v>0</v>
      </c>
      <c r="H322" s="13" t="n">
        <v>1</v>
      </c>
      <c r="I322" s="13" t="n">
        <v>0</v>
      </c>
      <c r="J322" s="13" t="n">
        <v>0</v>
      </c>
      <c r="K322" s="13" t="n">
        <v>0</v>
      </c>
      <c r="L322" s="17" t="n">
        <v>0</v>
      </c>
      <c r="M322" s="18" t="n">
        <f aca="false">IF(H322=0,"",I322/H322)</f>
        <v>0</v>
      </c>
    </row>
    <row r="323" customFormat="false" ht="15" hidden="false" customHeight="false" outlineLevel="0" collapsed="false">
      <c r="A323" s="13" t="s">
        <v>377</v>
      </c>
      <c r="B323" s="13" t="s">
        <v>176</v>
      </c>
      <c r="C323" s="13" t="n">
        <v>1</v>
      </c>
      <c r="D323" s="13" t="n">
        <v>0</v>
      </c>
      <c r="E323" s="13" t="n">
        <v>0</v>
      </c>
      <c r="F323" s="13" t="n">
        <v>0</v>
      </c>
      <c r="G323" s="17" t="n">
        <v>0</v>
      </c>
      <c r="H323" s="13" t="n">
        <v>1</v>
      </c>
      <c r="I323" s="13" t="n">
        <v>0</v>
      </c>
      <c r="J323" s="13" t="n">
        <v>0</v>
      </c>
      <c r="K323" s="13" t="n">
        <v>0</v>
      </c>
      <c r="L323" s="17" t="n">
        <v>0</v>
      </c>
      <c r="M323" s="18" t="n">
        <f aca="false">IF(H323=0,"",I323/H323)</f>
        <v>0</v>
      </c>
    </row>
    <row r="324" customFormat="false" ht="15" hidden="false" customHeight="false" outlineLevel="0" collapsed="false">
      <c r="A324" s="13" t="s">
        <v>378</v>
      </c>
      <c r="B324" s="13" t="s">
        <v>176</v>
      </c>
      <c r="C324" s="13" t="n">
        <v>1</v>
      </c>
      <c r="D324" s="13" t="n">
        <v>0</v>
      </c>
      <c r="E324" s="13" t="n">
        <v>0</v>
      </c>
      <c r="F324" s="13" t="n">
        <v>0</v>
      </c>
      <c r="G324" s="17" t="n">
        <v>0</v>
      </c>
      <c r="H324" s="13" t="n">
        <v>2</v>
      </c>
      <c r="I324" s="13" t="n">
        <v>0</v>
      </c>
      <c r="J324" s="13" t="n">
        <v>0</v>
      </c>
      <c r="K324" s="13" t="n">
        <v>0</v>
      </c>
      <c r="L324" s="17" t="n">
        <v>0</v>
      </c>
      <c r="M324" s="18" t="n">
        <f aca="false">IF(H324=0,"",I324/H324)</f>
        <v>0</v>
      </c>
    </row>
    <row r="325" customFormat="false" ht="15" hidden="false" customHeight="false" outlineLevel="0" collapsed="false">
      <c r="A325" s="13" t="s">
        <v>145</v>
      </c>
      <c r="B325" s="13" t="s">
        <v>169</v>
      </c>
      <c r="C325" s="13" t="n">
        <v>0</v>
      </c>
      <c r="D325" s="13" t="n">
        <v>0</v>
      </c>
      <c r="E325" s="13" t="n">
        <v>0</v>
      </c>
      <c r="F325" s="13" t="n">
        <v>0</v>
      </c>
      <c r="G325" s="17" t="n">
        <v>0</v>
      </c>
      <c r="H325" s="13" t="n">
        <v>7</v>
      </c>
      <c r="I325" s="13" t="n">
        <v>0</v>
      </c>
      <c r="J325" s="13" t="n">
        <v>0</v>
      </c>
      <c r="K325" s="13" t="n">
        <v>14</v>
      </c>
      <c r="L325" s="17" t="n">
        <v>0</v>
      </c>
      <c r="M325" s="18" t="n">
        <f aca="false">IF(H325=0,"",I325/H325)</f>
        <v>0</v>
      </c>
    </row>
    <row r="326" customFormat="false" ht="15" hidden="false" customHeight="false" outlineLevel="0" collapsed="false">
      <c r="A326" s="13" t="s">
        <v>145</v>
      </c>
      <c r="B326" s="13" t="s">
        <v>174</v>
      </c>
      <c r="C326" s="13" t="n">
        <v>0</v>
      </c>
      <c r="D326" s="13" t="n">
        <v>0</v>
      </c>
      <c r="E326" s="13" t="n">
        <v>0</v>
      </c>
      <c r="F326" s="13" t="n">
        <v>0</v>
      </c>
      <c r="G326" s="17" t="n">
        <v>0</v>
      </c>
      <c r="H326" s="13" t="n">
        <v>92</v>
      </c>
      <c r="I326" s="13" t="n">
        <v>67</v>
      </c>
      <c r="J326" s="13" t="n">
        <v>0</v>
      </c>
      <c r="K326" s="13" t="n">
        <v>0</v>
      </c>
      <c r="L326" s="17" t="n">
        <v>0.03903551</v>
      </c>
      <c r="M326" s="18" t="n">
        <f aca="false">IF(H326=0,"",I326/H326)</f>
        <v>0.728260869565217</v>
      </c>
    </row>
    <row r="327" customFormat="false" ht="15" hidden="false" customHeight="false" outlineLevel="0" collapsed="false">
      <c r="A327" s="13" t="s">
        <v>145</v>
      </c>
      <c r="B327" s="13" t="s">
        <v>175</v>
      </c>
      <c r="C327" s="13" t="n">
        <v>0</v>
      </c>
      <c r="D327" s="13" t="n">
        <v>0</v>
      </c>
      <c r="E327" s="13" t="n">
        <v>0</v>
      </c>
      <c r="F327" s="13" t="n">
        <v>0</v>
      </c>
      <c r="G327" s="17" t="n">
        <v>0</v>
      </c>
      <c r="H327" s="13" t="n">
        <v>68</v>
      </c>
      <c r="I327" s="13" t="n">
        <v>0</v>
      </c>
      <c r="J327" s="13" t="n">
        <v>0</v>
      </c>
      <c r="K327" s="13" t="n">
        <v>68</v>
      </c>
      <c r="L327" s="17" t="n">
        <v>0</v>
      </c>
      <c r="M327" s="18" t="n">
        <f aca="false">IF(H327=0,"",I327/H327)</f>
        <v>0</v>
      </c>
    </row>
    <row r="328" customFormat="false" ht="15" hidden="false" customHeight="false" outlineLevel="0" collapsed="false">
      <c r="A328" s="13" t="s">
        <v>379</v>
      </c>
      <c r="B328" s="13" t="s">
        <v>176</v>
      </c>
      <c r="C328" s="13" t="n">
        <v>1</v>
      </c>
      <c r="D328" s="13" t="n">
        <v>0</v>
      </c>
      <c r="E328" s="13" t="n">
        <v>0</v>
      </c>
      <c r="F328" s="13" t="n">
        <v>0</v>
      </c>
      <c r="G328" s="17" t="n">
        <v>0</v>
      </c>
      <c r="H328" s="13" t="n">
        <v>1</v>
      </c>
      <c r="I328" s="13" t="n">
        <v>0</v>
      </c>
      <c r="J328" s="13" t="n">
        <v>0</v>
      </c>
      <c r="K328" s="13" t="n">
        <v>0</v>
      </c>
      <c r="L328" s="17" t="n">
        <v>0</v>
      </c>
      <c r="M328" s="18" t="n">
        <f aca="false">IF(H328=0,"",I328/H328)</f>
        <v>0</v>
      </c>
    </row>
    <row r="329" customFormat="false" ht="15" hidden="false" customHeight="false" outlineLevel="0" collapsed="false">
      <c r="A329" s="13" t="s">
        <v>107</v>
      </c>
      <c r="B329" s="13" t="s">
        <v>169</v>
      </c>
      <c r="C329" s="13" t="n">
        <v>5</v>
      </c>
      <c r="D329" s="13" t="n">
        <v>0</v>
      </c>
      <c r="E329" s="13" t="n">
        <v>0</v>
      </c>
      <c r="F329" s="13" t="n">
        <v>10</v>
      </c>
      <c r="G329" s="17" t="n">
        <v>0</v>
      </c>
      <c r="H329" s="13" t="n">
        <v>5</v>
      </c>
      <c r="I329" s="13" t="n">
        <v>0</v>
      </c>
      <c r="J329" s="13" t="n">
        <v>0</v>
      </c>
      <c r="K329" s="13" t="n">
        <v>10</v>
      </c>
      <c r="L329" s="17" t="n">
        <v>0</v>
      </c>
      <c r="M329" s="18" t="n">
        <f aca="false">IF(H329=0,"",I329/H329)</f>
        <v>0</v>
      </c>
    </row>
    <row r="330" customFormat="false" ht="15" hidden="false" customHeight="false" outlineLevel="0" collapsed="false">
      <c r="A330" s="13" t="s">
        <v>107</v>
      </c>
      <c r="B330" s="13" t="s">
        <v>170</v>
      </c>
      <c r="C330" s="13" t="n">
        <v>5</v>
      </c>
      <c r="D330" s="13" t="n">
        <v>0</v>
      </c>
      <c r="E330" s="13" t="n">
        <v>5</v>
      </c>
      <c r="F330" s="13" t="n">
        <v>0</v>
      </c>
      <c r="G330" s="17" t="n">
        <v>0</v>
      </c>
      <c r="H330" s="13" t="n">
        <v>5</v>
      </c>
      <c r="I330" s="13" t="n">
        <v>0</v>
      </c>
      <c r="J330" s="13" t="n">
        <v>5</v>
      </c>
      <c r="K330" s="13" t="n">
        <v>0</v>
      </c>
      <c r="L330" s="17" t="n">
        <v>0</v>
      </c>
      <c r="M330" s="18" t="n">
        <f aca="false">IF(H330=0,"",I330/H330)</f>
        <v>0</v>
      </c>
    </row>
    <row r="331" customFormat="false" ht="15" hidden="false" customHeight="false" outlineLevel="0" collapsed="false">
      <c r="A331" s="13" t="s">
        <v>107</v>
      </c>
      <c r="B331" s="13" t="s">
        <v>175</v>
      </c>
      <c r="C331" s="13" t="n">
        <v>16</v>
      </c>
      <c r="D331" s="13" t="n">
        <v>0</v>
      </c>
      <c r="E331" s="13" t="n">
        <v>0</v>
      </c>
      <c r="F331" s="13" t="n">
        <v>16</v>
      </c>
      <c r="G331" s="17" t="n">
        <v>0</v>
      </c>
      <c r="H331" s="13" t="n">
        <v>17</v>
      </c>
      <c r="I331" s="13" t="n">
        <v>0</v>
      </c>
      <c r="J331" s="13" t="n">
        <v>0</v>
      </c>
      <c r="K331" s="13" t="n">
        <v>17</v>
      </c>
      <c r="L331" s="17" t="n">
        <v>0</v>
      </c>
      <c r="M331" s="18" t="n">
        <f aca="false">IF(H331=0,"",I331/H331)</f>
        <v>0</v>
      </c>
    </row>
    <row r="332" customFormat="false" ht="15" hidden="false" customHeight="false" outlineLevel="0" collapsed="false">
      <c r="A332" s="13" t="s">
        <v>107</v>
      </c>
      <c r="B332" s="13" t="s">
        <v>176</v>
      </c>
      <c r="C332" s="13" t="n">
        <v>1</v>
      </c>
      <c r="D332" s="13" t="n">
        <v>0</v>
      </c>
      <c r="E332" s="13" t="n">
        <v>0</v>
      </c>
      <c r="F332" s="13" t="n">
        <v>0</v>
      </c>
      <c r="G332" s="17" t="n">
        <v>0</v>
      </c>
      <c r="H332" s="13" t="n">
        <v>1</v>
      </c>
      <c r="I332" s="13" t="n">
        <v>0</v>
      </c>
      <c r="J332" s="13" t="n">
        <v>0</v>
      </c>
      <c r="K332" s="13" t="n">
        <v>0</v>
      </c>
      <c r="L332" s="17" t="n">
        <v>0</v>
      </c>
      <c r="M332" s="18" t="n">
        <f aca="false">IF(H332=0,"",I332/H332)</f>
        <v>0</v>
      </c>
    </row>
    <row r="333" customFormat="false" ht="15" hidden="false" customHeight="false" outlineLevel="0" collapsed="false">
      <c r="A333" s="13" t="s">
        <v>380</v>
      </c>
      <c r="B333" s="13" t="s">
        <v>176</v>
      </c>
      <c r="C333" s="13" t="n">
        <v>1</v>
      </c>
      <c r="D333" s="13" t="n">
        <v>0</v>
      </c>
      <c r="E333" s="13" t="n">
        <v>0</v>
      </c>
      <c r="F333" s="13" t="n">
        <v>0</v>
      </c>
      <c r="G333" s="17" t="n">
        <v>0</v>
      </c>
      <c r="H333" s="13" t="n">
        <v>2</v>
      </c>
      <c r="I333" s="13" t="n">
        <v>0</v>
      </c>
      <c r="J333" s="13" t="n">
        <v>0</v>
      </c>
      <c r="K333" s="13" t="n">
        <v>0</v>
      </c>
      <c r="L333" s="17" t="n">
        <v>0</v>
      </c>
      <c r="M333" s="18" t="n">
        <f aca="false">IF(H333=0,"",I333/H333)</f>
        <v>0</v>
      </c>
    </row>
    <row r="334" customFormat="false" ht="15" hidden="false" customHeight="false" outlineLevel="0" collapsed="false">
      <c r="A334" s="13" t="s">
        <v>381</v>
      </c>
      <c r="B334" s="13" t="s">
        <v>176</v>
      </c>
      <c r="C334" s="13" t="n">
        <v>1</v>
      </c>
      <c r="D334" s="13" t="n">
        <v>0</v>
      </c>
      <c r="E334" s="13" t="n">
        <v>0</v>
      </c>
      <c r="F334" s="13" t="n">
        <v>0</v>
      </c>
      <c r="G334" s="17" t="n">
        <v>0</v>
      </c>
      <c r="H334" s="13" t="n">
        <v>1</v>
      </c>
      <c r="I334" s="13" t="n">
        <v>0</v>
      </c>
      <c r="J334" s="13" t="n">
        <v>0</v>
      </c>
      <c r="K334" s="13" t="n">
        <v>0</v>
      </c>
      <c r="L334" s="17" t="n">
        <v>0</v>
      </c>
      <c r="M334" s="18" t="n">
        <f aca="false">IF(H334=0,"",I334/H334)</f>
        <v>0</v>
      </c>
    </row>
    <row r="335" customFormat="false" ht="15" hidden="false" customHeight="false" outlineLevel="0" collapsed="false">
      <c r="A335" s="13" t="s">
        <v>382</v>
      </c>
      <c r="B335" s="13" t="s">
        <v>176</v>
      </c>
      <c r="C335" s="13" t="n">
        <v>1</v>
      </c>
      <c r="D335" s="13" t="n">
        <v>0</v>
      </c>
      <c r="E335" s="13" t="n">
        <v>0</v>
      </c>
      <c r="F335" s="13" t="n">
        <v>0</v>
      </c>
      <c r="G335" s="17" t="n">
        <v>0</v>
      </c>
      <c r="H335" s="13" t="n">
        <v>1</v>
      </c>
      <c r="I335" s="13" t="n">
        <v>0</v>
      </c>
      <c r="J335" s="13" t="n">
        <v>0</v>
      </c>
      <c r="K335" s="13" t="n">
        <v>0</v>
      </c>
      <c r="L335" s="17" t="n">
        <v>0</v>
      </c>
      <c r="M335" s="18" t="n">
        <f aca="false">IF(H335=0,"",I335/H335)</f>
        <v>0</v>
      </c>
    </row>
    <row r="336" customFormat="false" ht="15" hidden="false" customHeight="false" outlineLevel="0" collapsed="false">
      <c r="A336" s="13" t="s">
        <v>383</v>
      </c>
      <c r="B336" s="13" t="s">
        <v>176</v>
      </c>
      <c r="C336" s="13" t="n">
        <v>1</v>
      </c>
      <c r="D336" s="13" t="n">
        <v>0</v>
      </c>
      <c r="E336" s="13" t="n">
        <v>0</v>
      </c>
      <c r="F336" s="13" t="n">
        <v>0</v>
      </c>
      <c r="G336" s="17" t="n">
        <v>0</v>
      </c>
      <c r="H336" s="13" t="n">
        <v>1</v>
      </c>
      <c r="I336" s="13" t="n">
        <v>0</v>
      </c>
      <c r="J336" s="13" t="n">
        <v>0</v>
      </c>
      <c r="K336" s="13" t="n">
        <v>0</v>
      </c>
      <c r="L336" s="17" t="n">
        <v>0</v>
      </c>
      <c r="M336" s="18" t="n">
        <f aca="false">IF(H336=0,"",I336/H336)</f>
        <v>0</v>
      </c>
    </row>
    <row r="337" customFormat="false" ht="15" hidden="false" customHeight="false" outlineLevel="0" collapsed="false">
      <c r="A337" s="13" t="s">
        <v>384</v>
      </c>
      <c r="B337" s="13" t="s">
        <v>176</v>
      </c>
      <c r="C337" s="13" t="n">
        <v>1</v>
      </c>
      <c r="D337" s="13" t="n">
        <v>0</v>
      </c>
      <c r="E337" s="13" t="n">
        <v>0</v>
      </c>
      <c r="F337" s="13" t="n">
        <v>0</v>
      </c>
      <c r="G337" s="17" t="n">
        <v>0</v>
      </c>
      <c r="H337" s="13" t="n">
        <v>1</v>
      </c>
      <c r="I337" s="13" t="n">
        <v>0</v>
      </c>
      <c r="J337" s="13" t="n">
        <v>0</v>
      </c>
      <c r="K337" s="13" t="n">
        <v>0</v>
      </c>
      <c r="L337" s="17" t="n">
        <v>0</v>
      </c>
      <c r="M337" s="18" t="n">
        <f aca="false">IF(H337=0,"",I337/H337)</f>
        <v>0</v>
      </c>
    </row>
    <row r="338" customFormat="false" ht="15" hidden="false" customHeight="false" outlineLevel="0" collapsed="false">
      <c r="A338" s="13" t="s">
        <v>385</v>
      </c>
      <c r="B338" s="13" t="s">
        <v>176</v>
      </c>
      <c r="C338" s="13" t="n">
        <v>1</v>
      </c>
      <c r="D338" s="13" t="n">
        <v>0</v>
      </c>
      <c r="E338" s="13" t="n">
        <v>0</v>
      </c>
      <c r="F338" s="13" t="n">
        <v>0</v>
      </c>
      <c r="G338" s="17" t="n">
        <v>0</v>
      </c>
      <c r="H338" s="13" t="n">
        <v>1</v>
      </c>
      <c r="I338" s="13" t="n">
        <v>0</v>
      </c>
      <c r="J338" s="13" t="n">
        <v>0</v>
      </c>
      <c r="K338" s="13" t="n">
        <v>0</v>
      </c>
      <c r="L338" s="17" t="n">
        <v>0</v>
      </c>
      <c r="M338" s="18" t="n">
        <f aca="false">IF(H338=0,"",I338/H338)</f>
        <v>0</v>
      </c>
    </row>
    <row r="339" customFormat="false" ht="15" hidden="false" customHeight="false" outlineLevel="0" collapsed="false">
      <c r="A339" s="13" t="s">
        <v>123</v>
      </c>
      <c r="B339" s="13" t="s">
        <v>169</v>
      </c>
      <c r="C339" s="13" t="n">
        <v>0</v>
      </c>
      <c r="D339" s="13" t="n">
        <v>0</v>
      </c>
      <c r="E339" s="13" t="n">
        <v>25</v>
      </c>
      <c r="F339" s="13" t="n">
        <v>0</v>
      </c>
      <c r="G339" s="17" t="n">
        <v>0</v>
      </c>
      <c r="H339" s="13" t="n">
        <v>43</v>
      </c>
      <c r="I339" s="13" t="n">
        <v>0</v>
      </c>
      <c r="J339" s="13" t="n">
        <v>28</v>
      </c>
      <c r="K339" s="13" t="n">
        <v>86</v>
      </c>
      <c r="L339" s="17" t="n">
        <v>0</v>
      </c>
      <c r="M339" s="18" t="n">
        <f aca="false">IF(H339=0,"",I339/H339)</f>
        <v>0</v>
      </c>
    </row>
    <row r="340" customFormat="false" ht="15" hidden="false" customHeight="false" outlineLevel="0" collapsed="false">
      <c r="A340" s="13" t="s">
        <v>123</v>
      </c>
      <c r="B340" s="13" t="s">
        <v>170</v>
      </c>
      <c r="C340" s="13" t="n">
        <v>24</v>
      </c>
      <c r="D340" s="13" t="n">
        <v>0</v>
      </c>
      <c r="E340" s="13" t="n">
        <v>0</v>
      </c>
      <c r="F340" s="13" t="n">
        <v>0</v>
      </c>
      <c r="G340" s="17" t="n">
        <v>0</v>
      </c>
      <c r="H340" s="13" t="n">
        <v>27</v>
      </c>
      <c r="I340" s="13" t="n">
        <v>0</v>
      </c>
      <c r="J340" s="13" t="n">
        <v>0</v>
      </c>
      <c r="K340" s="13" t="n">
        <v>0</v>
      </c>
      <c r="L340" s="17" t="n">
        <v>0</v>
      </c>
      <c r="M340" s="18" t="n">
        <f aca="false">IF(H340=0,"",I340/H340)</f>
        <v>0</v>
      </c>
    </row>
    <row r="341" customFormat="false" ht="15" hidden="false" customHeight="false" outlineLevel="0" collapsed="false">
      <c r="A341" s="13" t="s">
        <v>123</v>
      </c>
      <c r="B341" s="13" t="s">
        <v>172</v>
      </c>
      <c r="C341" s="13" t="n">
        <v>4</v>
      </c>
      <c r="D341" s="13" t="n">
        <v>0</v>
      </c>
      <c r="E341" s="13" t="n">
        <v>4</v>
      </c>
      <c r="F341" s="13" t="n">
        <v>0</v>
      </c>
      <c r="G341" s="17" t="n">
        <v>0.002762</v>
      </c>
      <c r="H341" s="13" t="n">
        <v>22</v>
      </c>
      <c r="I341" s="13" t="n">
        <v>4</v>
      </c>
      <c r="J341" s="13" t="n">
        <v>17</v>
      </c>
      <c r="K341" s="13" t="n">
        <v>0</v>
      </c>
      <c r="L341" s="17" t="n">
        <v>0.0171215142857143</v>
      </c>
      <c r="M341" s="18" t="n">
        <f aca="false">IF(H341=0,"",I341/H341)</f>
        <v>0.181818181818182</v>
      </c>
    </row>
    <row r="342" customFormat="false" ht="15" hidden="false" customHeight="false" outlineLevel="0" collapsed="false">
      <c r="A342" s="13" t="s">
        <v>123</v>
      </c>
      <c r="B342" s="13" t="s">
        <v>174</v>
      </c>
      <c r="C342" s="13" t="n">
        <v>0</v>
      </c>
      <c r="D342" s="13" t="n">
        <v>0</v>
      </c>
      <c r="E342" s="13" t="n">
        <v>0</v>
      </c>
      <c r="F342" s="13" t="n">
        <v>0</v>
      </c>
      <c r="G342" s="17" t="n">
        <v>0</v>
      </c>
      <c r="H342" s="13" t="n">
        <v>59</v>
      </c>
      <c r="I342" s="13" t="n">
        <v>37</v>
      </c>
      <c r="J342" s="13" t="n">
        <v>1</v>
      </c>
      <c r="K342" s="13" t="n">
        <v>0</v>
      </c>
      <c r="L342" s="17" t="n">
        <v>0.03064577</v>
      </c>
      <c r="M342" s="18" t="n">
        <f aca="false">IF(H342=0,"",I342/H342)</f>
        <v>0.627118644067797</v>
      </c>
    </row>
    <row r="343" customFormat="false" ht="15" hidden="false" customHeight="false" outlineLevel="0" collapsed="false">
      <c r="A343" s="13" t="s">
        <v>123</v>
      </c>
      <c r="B343" s="13" t="s">
        <v>175</v>
      </c>
      <c r="C343" s="13" t="n">
        <v>0</v>
      </c>
      <c r="D343" s="13" t="n">
        <v>0</v>
      </c>
      <c r="E343" s="13" t="n">
        <v>0</v>
      </c>
      <c r="F343" s="13" t="n">
        <v>0</v>
      </c>
      <c r="G343" s="17" t="n">
        <v>0</v>
      </c>
      <c r="H343" s="13" t="n">
        <v>50</v>
      </c>
      <c r="I343" s="13" t="n">
        <v>0</v>
      </c>
      <c r="J343" s="13" t="n">
        <v>0</v>
      </c>
      <c r="K343" s="13" t="n">
        <v>50</v>
      </c>
      <c r="L343" s="17" t="n">
        <v>0</v>
      </c>
      <c r="M343" s="18" t="n">
        <f aca="false">IF(H343=0,"",I343/H343)</f>
        <v>0</v>
      </c>
    </row>
    <row r="344" customFormat="false" ht="15" hidden="false" customHeight="false" outlineLevel="0" collapsed="false">
      <c r="A344" s="13" t="s">
        <v>123</v>
      </c>
      <c r="B344" s="13" t="s">
        <v>176</v>
      </c>
      <c r="C344" s="13" t="n">
        <v>3</v>
      </c>
      <c r="D344" s="13" t="n">
        <v>0</v>
      </c>
      <c r="E344" s="13" t="n">
        <v>0</v>
      </c>
      <c r="F344" s="13" t="n">
        <v>0</v>
      </c>
      <c r="G344" s="17" t="n">
        <v>0</v>
      </c>
      <c r="H344" s="13" t="n">
        <v>12</v>
      </c>
      <c r="I344" s="13" t="n">
        <v>0</v>
      </c>
      <c r="J344" s="13" t="n">
        <v>0</v>
      </c>
      <c r="K344" s="13" t="n">
        <v>0</v>
      </c>
      <c r="L344" s="17" t="n">
        <v>0</v>
      </c>
      <c r="M344" s="18" t="n">
        <f aca="false">IF(H344=0,"",I344/H344)</f>
        <v>0</v>
      </c>
    </row>
    <row r="345" customFormat="false" ht="15" hidden="false" customHeight="false" outlineLevel="0" collapsed="false">
      <c r="A345" s="13" t="s">
        <v>386</v>
      </c>
      <c r="B345" s="13" t="s">
        <v>176</v>
      </c>
      <c r="C345" s="13" t="n">
        <v>1</v>
      </c>
      <c r="D345" s="13" t="n">
        <v>0</v>
      </c>
      <c r="E345" s="13" t="n">
        <v>0</v>
      </c>
      <c r="F345" s="13" t="n">
        <v>0</v>
      </c>
      <c r="G345" s="17" t="n">
        <v>0</v>
      </c>
      <c r="H345" s="13" t="n">
        <v>1</v>
      </c>
      <c r="I345" s="13" t="n">
        <v>0</v>
      </c>
      <c r="J345" s="13" t="n">
        <v>0</v>
      </c>
      <c r="K345" s="13" t="n">
        <v>0</v>
      </c>
      <c r="L345" s="17" t="n">
        <v>0</v>
      </c>
      <c r="M345" s="18" t="n">
        <f aca="false">IF(H345=0,"",I345/H345)</f>
        <v>0</v>
      </c>
    </row>
    <row r="346" customFormat="false" ht="15" hidden="false" customHeight="false" outlineLevel="0" collapsed="false">
      <c r="A346" s="13" t="s">
        <v>387</v>
      </c>
      <c r="B346" s="13" t="s">
        <v>176</v>
      </c>
      <c r="C346" s="13" t="n">
        <v>1</v>
      </c>
      <c r="D346" s="13" t="n">
        <v>0</v>
      </c>
      <c r="E346" s="13" t="n">
        <v>0</v>
      </c>
      <c r="F346" s="13" t="n">
        <v>0</v>
      </c>
      <c r="G346" s="17" t="n">
        <v>0</v>
      </c>
      <c r="H346" s="13" t="n">
        <v>1</v>
      </c>
      <c r="I346" s="13" t="n">
        <v>0</v>
      </c>
      <c r="J346" s="13" t="n">
        <v>0</v>
      </c>
      <c r="K346" s="13" t="n">
        <v>0</v>
      </c>
      <c r="L346" s="17" t="n">
        <v>0</v>
      </c>
      <c r="M346" s="18" t="n">
        <f aca="false">IF(H346=0,"",I346/H346)</f>
        <v>0</v>
      </c>
    </row>
    <row r="347" customFormat="false" ht="15" hidden="false" customHeight="false" outlineLevel="0" collapsed="false">
      <c r="A347" s="13" t="s">
        <v>388</v>
      </c>
      <c r="B347" s="13" t="s">
        <v>176</v>
      </c>
      <c r="C347" s="13" t="n">
        <v>0</v>
      </c>
      <c r="D347" s="13" t="n">
        <v>0</v>
      </c>
      <c r="E347" s="13" t="n">
        <v>0</v>
      </c>
      <c r="F347" s="13" t="n">
        <v>0</v>
      </c>
      <c r="G347" s="17" t="n">
        <v>0</v>
      </c>
      <c r="H347" s="13" t="n">
        <v>1</v>
      </c>
      <c r="I347" s="13" t="n">
        <v>0</v>
      </c>
      <c r="J347" s="13" t="n">
        <v>0</v>
      </c>
      <c r="K347" s="13" t="n">
        <v>0</v>
      </c>
      <c r="L347" s="17" t="n">
        <v>0</v>
      </c>
      <c r="M347" s="18" t="n">
        <f aca="false">IF(H347=0,"",I347/H347)</f>
        <v>0</v>
      </c>
    </row>
    <row r="348" customFormat="false" ht="15" hidden="false" customHeight="false" outlineLevel="0" collapsed="false">
      <c r="A348" s="13" t="s">
        <v>141</v>
      </c>
      <c r="B348" s="13" t="s">
        <v>174</v>
      </c>
      <c r="C348" s="13" t="n">
        <v>0</v>
      </c>
      <c r="D348" s="13" t="n">
        <v>0</v>
      </c>
      <c r="E348" s="13" t="n">
        <v>0</v>
      </c>
      <c r="F348" s="13" t="n">
        <v>0</v>
      </c>
      <c r="G348" s="17" t="n">
        <v>0</v>
      </c>
      <c r="H348" s="13" t="n">
        <v>7</v>
      </c>
      <c r="I348" s="13" t="n">
        <v>6</v>
      </c>
      <c r="J348" s="13" t="n">
        <v>0</v>
      </c>
      <c r="K348" s="13" t="n">
        <v>0</v>
      </c>
      <c r="L348" s="17" t="n">
        <v>0.00225228</v>
      </c>
      <c r="M348" s="18" t="n">
        <f aca="false">IF(H348=0,"",I348/H348)</f>
        <v>0.857142857142857</v>
      </c>
    </row>
    <row r="349" customFormat="false" ht="15" hidden="false" customHeight="false" outlineLevel="0" collapsed="false">
      <c r="A349" s="13" t="s">
        <v>141</v>
      </c>
      <c r="B349" s="13" t="s">
        <v>175</v>
      </c>
      <c r="C349" s="13" t="n">
        <v>0</v>
      </c>
      <c r="D349" s="13" t="n">
        <v>0</v>
      </c>
      <c r="E349" s="13" t="n">
        <v>0</v>
      </c>
      <c r="F349" s="13" t="n">
        <v>0</v>
      </c>
      <c r="G349" s="17" t="n">
        <v>0</v>
      </c>
      <c r="H349" s="13" t="n">
        <v>7</v>
      </c>
      <c r="I349" s="13" t="n">
        <v>0</v>
      </c>
      <c r="J349" s="13" t="n">
        <v>0</v>
      </c>
      <c r="K349" s="13" t="n">
        <v>7</v>
      </c>
      <c r="L349" s="17" t="n">
        <v>0</v>
      </c>
      <c r="M349" s="18" t="n">
        <f aca="false">IF(H349=0,"",I349/H349)</f>
        <v>0</v>
      </c>
    </row>
    <row r="350" customFormat="false" ht="15" hidden="false" customHeight="false" outlineLevel="0" collapsed="false">
      <c r="A350" s="13" t="s">
        <v>389</v>
      </c>
      <c r="B350" s="13" t="s">
        <v>176</v>
      </c>
      <c r="C350" s="13" t="n">
        <v>1</v>
      </c>
      <c r="D350" s="13" t="n">
        <v>0</v>
      </c>
      <c r="E350" s="13" t="n">
        <v>0</v>
      </c>
      <c r="F350" s="13" t="n">
        <v>0</v>
      </c>
      <c r="G350" s="17" t="n">
        <v>0</v>
      </c>
      <c r="H350" s="13" t="n">
        <v>1</v>
      </c>
      <c r="I350" s="13" t="n">
        <v>0</v>
      </c>
      <c r="J350" s="13" t="n">
        <v>0</v>
      </c>
      <c r="K350" s="13" t="n">
        <v>0</v>
      </c>
      <c r="L350" s="17" t="n">
        <v>0</v>
      </c>
      <c r="M350" s="18" t="n">
        <f aca="false">IF(H350=0,"",I350/H350)</f>
        <v>0</v>
      </c>
    </row>
    <row r="351" customFormat="false" ht="15" hidden="false" customHeight="false" outlineLevel="0" collapsed="false">
      <c r="A351" s="13" t="s">
        <v>390</v>
      </c>
      <c r="B351" s="13" t="s">
        <v>176</v>
      </c>
      <c r="C351" s="13" t="n">
        <v>1</v>
      </c>
      <c r="D351" s="13" t="n">
        <v>0</v>
      </c>
      <c r="E351" s="13" t="n">
        <v>0</v>
      </c>
      <c r="F351" s="13" t="n">
        <v>0</v>
      </c>
      <c r="G351" s="17" t="n">
        <v>0</v>
      </c>
      <c r="H351" s="13" t="n">
        <v>1</v>
      </c>
      <c r="I351" s="13" t="n">
        <v>0</v>
      </c>
      <c r="J351" s="13" t="n">
        <v>0</v>
      </c>
      <c r="K351" s="13" t="n">
        <v>0</v>
      </c>
      <c r="L351" s="17" t="n">
        <v>0</v>
      </c>
      <c r="M351" s="18" t="n">
        <f aca="false">IF(H351=0,"",I351/H351)</f>
        <v>0</v>
      </c>
    </row>
    <row r="352" customFormat="false" ht="15" hidden="false" customHeight="false" outlineLevel="0" collapsed="false">
      <c r="A352" s="13" t="s">
        <v>139</v>
      </c>
      <c r="B352" s="13" t="s">
        <v>174</v>
      </c>
      <c r="C352" s="13" t="n">
        <v>10</v>
      </c>
      <c r="D352" s="13" t="n">
        <v>10</v>
      </c>
      <c r="E352" s="13" t="n">
        <v>0</v>
      </c>
      <c r="F352" s="13" t="n">
        <v>0</v>
      </c>
      <c r="G352" s="17" t="n">
        <v>0.00270807</v>
      </c>
      <c r="H352" s="13" t="n">
        <v>10</v>
      </c>
      <c r="I352" s="13" t="n">
        <v>10</v>
      </c>
      <c r="J352" s="13" t="n">
        <v>0</v>
      </c>
      <c r="K352" s="13" t="n">
        <v>0</v>
      </c>
      <c r="L352" s="17" t="n">
        <v>0.00270807</v>
      </c>
      <c r="M352" s="18" t="n">
        <f aca="false">IF(H352=0,"",I352/H352)</f>
        <v>1</v>
      </c>
    </row>
    <row r="353" customFormat="false" ht="15" hidden="false" customHeight="false" outlineLevel="0" collapsed="false">
      <c r="A353" s="13" t="s">
        <v>139</v>
      </c>
      <c r="B353" s="13" t="s">
        <v>175</v>
      </c>
      <c r="C353" s="13" t="n">
        <v>11</v>
      </c>
      <c r="D353" s="13" t="n">
        <v>0</v>
      </c>
      <c r="E353" s="13" t="n">
        <v>0</v>
      </c>
      <c r="F353" s="13" t="n">
        <v>11</v>
      </c>
      <c r="G353" s="17" t="n">
        <v>0</v>
      </c>
      <c r="H353" s="13" t="n">
        <v>11</v>
      </c>
      <c r="I353" s="13" t="n">
        <v>0</v>
      </c>
      <c r="J353" s="13" t="n">
        <v>0</v>
      </c>
      <c r="K353" s="13" t="n">
        <v>11</v>
      </c>
      <c r="L353" s="17" t="n">
        <v>0</v>
      </c>
      <c r="M353" s="18" t="n">
        <f aca="false">IF(H353=0,"",I353/H353)</f>
        <v>0</v>
      </c>
    </row>
    <row r="354" customFormat="false" ht="15" hidden="false" customHeight="false" outlineLevel="0" collapsed="false">
      <c r="A354" s="13" t="s">
        <v>139</v>
      </c>
      <c r="B354" s="13" t="s">
        <v>176</v>
      </c>
      <c r="C354" s="13" t="n">
        <v>1</v>
      </c>
      <c r="D354" s="13" t="n">
        <v>0</v>
      </c>
      <c r="E354" s="13" t="n">
        <v>0</v>
      </c>
      <c r="F354" s="13" t="n">
        <v>0</v>
      </c>
      <c r="G354" s="17" t="n">
        <v>0</v>
      </c>
      <c r="H354" s="13" t="n">
        <v>1</v>
      </c>
      <c r="I354" s="13" t="n">
        <v>0</v>
      </c>
      <c r="J354" s="13" t="n">
        <v>0</v>
      </c>
      <c r="K354" s="13" t="n">
        <v>0</v>
      </c>
      <c r="L354" s="17" t="n">
        <v>0</v>
      </c>
      <c r="M354" s="18" t="n">
        <f aca="false">IF(H354=0,"",I354/H354)</f>
        <v>0</v>
      </c>
    </row>
    <row r="355" customFormat="false" ht="15" hidden="false" customHeight="false" outlineLevel="0" collapsed="false">
      <c r="A355" s="13" t="s">
        <v>391</v>
      </c>
      <c r="B355" s="13" t="s">
        <v>176</v>
      </c>
      <c r="C355" s="13" t="n">
        <v>1</v>
      </c>
      <c r="D355" s="13" t="n">
        <v>0</v>
      </c>
      <c r="E355" s="13" t="n">
        <v>0</v>
      </c>
      <c r="F355" s="13" t="n">
        <v>0</v>
      </c>
      <c r="G355" s="17" t="n">
        <v>0</v>
      </c>
      <c r="H355" s="13" t="n">
        <v>1</v>
      </c>
      <c r="I355" s="13" t="n">
        <v>0</v>
      </c>
      <c r="J355" s="13" t="n">
        <v>0</v>
      </c>
      <c r="K355" s="13" t="n">
        <v>0</v>
      </c>
      <c r="L355" s="17" t="n">
        <v>0</v>
      </c>
      <c r="M355" s="18" t="n">
        <f aca="false">IF(H355=0,"",I355/H355)</f>
        <v>0</v>
      </c>
    </row>
    <row r="356" customFormat="false" ht="15" hidden="false" customHeight="false" outlineLevel="0" collapsed="false">
      <c r="A356" s="13" t="s">
        <v>392</v>
      </c>
      <c r="B356" s="13" t="s">
        <v>176</v>
      </c>
      <c r="C356" s="13" t="n">
        <v>1</v>
      </c>
      <c r="D356" s="13" t="n">
        <v>0</v>
      </c>
      <c r="E356" s="13" t="n">
        <v>0</v>
      </c>
      <c r="F356" s="13" t="n">
        <v>0</v>
      </c>
      <c r="G356" s="17" t="n">
        <v>0</v>
      </c>
      <c r="H356" s="13" t="n">
        <v>1</v>
      </c>
      <c r="I356" s="13" t="n">
        <v>0</v>
      </c>
      <c r="J356" s="13" t="n">
        <v>0</v>
      </c>
      <c r="K356" s="13" t="n">
        <v>0</v>
      </c>
      <c r="L356" s="17" t="n">
        <v>0</v>
      </c>
      <c r="M356" s="18" t="n">
        <f aca="false">IF(H356=0,"",I356/H356)</f>
        <v>0</v>
      </c>
    </row>
    <row r="357" customFormat="false" ht="15" hidden="false" customHeight="false" outlineLevel="0" collapsed="false">
      <c r="A357" s="13" t="s">
        <v>75</v>
      </c>
      <c r="B357" s="13" t="s">
        <v>172</v>
      </c>
      <c r="C357" s="13" t="n">
        <v>306</v>
      </c>
      <c r="D357" s="13" t="n">
        <v>297</v>
      </c>
      <c r="E357" s="13" t="n">
        <v>2</v>
      </c>
      <c r="F357" s="13" t="n">
        <v>0</v>
      </c>
      <c r="G357" s="17" t="n">
        <v>0.013626</v>
      </c>
      <c r="H357" s="13" t="n">
        <v>306</v>
      </c>
      <c r="I357" s="13" t="n">
        <v>297</v>
      </c>
      <c r="J357" s="13" t="n">
        <v>2</v>
      </c>
      <c r="K357" s="13" t="n">
        <v>0</v>
      </c>
      <c r="L357" s="17" t="n">
        <v>0.013626</v>
      </c>
      <c r="M357" s="18" t="n">
        <f aca="false">IF(H357=0,"",I357/H357)</f>
        <v>0.970588235294118</v>
      </c>
    </row>
    <row r="358" customFormat="false" ht="15" hidden="false" customHeight="false" outlineLevel="0" collapsed="false">
      <c r="A358" s="13" t="s">
        <v>75</v>
      </c>
      <c r="B358" s="13" t="s">
        <v>174</v>
      </c>
      <c r="C358" s="13" t="n">
        <v>22</v>
      </c>
      <c r="D358" s="13" t="n">
        <v>20</v>
      </c>
      <c r="E358" s="13" t="n">
        <v>0</v>
      </c>
      <c r="F358" s="13" t="n">
        <v>0</v>
      </c>
      <c r="G358" s="17" t="n">
        <v>0.0067593</v>
      </c>
      <c r="H358" s="13" t="n">
        <v>22</v>
      </c>
      <c r="I358" s="13" t="n">
        <v>20</v>
      </c>
      <c r="J358" s="13" t="n">
        <v>0</v>
      </c>
      <c r="K358" s="13" t="n">
        <v>0</v>
      </c>
      <c r="L358" s="17" t="n">
        <v>0.0067593</v>
      </c>
      <c r="M358" s="18" t="n">
        <f aca="false">IF(H358=0,"",I358/H358)</f>
        <v>0.909090909090909</v>
      </c>
    </row>
    <row r="359" customFormat="false" ht="15" hidden="false" customHeight="false" outlineLevel="0" collapsed="false">
      <c r="A359" s="13" t="s">
        <v>75</v>
      </c>
      <c r="B359" s="13" t="s">
        <v>175</v>
      </c>
      <c r="C359" s="13" t="n">
        <v>21</v>
      </c>
      <c r="D359" s="13" t="n">
        <v>0</v>
      </c>
      <c r="E359" s="13" t="n">
        <v>0</v>
      </c>
      <c r="F359" s="13" t="n">
        <v>21</v>
      </c>
      <c r="G359" s="17" t="n">
        <v>0</v>
      </c>
      <c r="H359" s="13" t="n">
        <v>23</v>
      </c>
      <c r="I359" s="13" t="n">
        <v>0</v>
      </c>
      <c r="J359" s="13" t="n">
        <v>0</v>
      </c>
      <c r="K359" s="13" t="n">
        <v>23</v>
      </c>
      <c r="L359" s="17" t="n">
        <v>0</v>
      </c>
      <c r="M359" s="18" t="n">
        <f aca="false">IF(H359=0,"",I359/H359)</f>
        <v>0</v>
      </c>
    </row>
    <row r="360" customFormat="false" ht="15" hidden="false" customHeight="false" outlineLevel="0" collapsed="false">
      <c r="A360" s="13" t="s">
        <v>75</v>
      </c>
      <c r="B360" s="13" t="s">
        <v>176</v>
      </c>
      <c r="C360" s="13" t="n">
        <v>2</v>
      </c>
      <c r="D360" s="13" t="n">
        <v>0</v>
      </c>
      <c r="E360" s="13" t="n">
        <v>0</v>
      </c>
      <c r="F360" s="13" t="n">
        <v>0</v>
      </c>
      <c r="G360" s="17" t="n">
        <v>0</v>
      </c>
      <c r="H360" s="13" t="n">
        <v>2</v>
      </c>
      <c r="I360" s="13" t="n">
        <v>0</v>
      </c>
      <c r="J360" s="13" t="n">
        <v>0</v>
      </c>
      <c r="K360" s="13" t="n">
        <v>0</v>
      </c>
      <c r="L360" s="17" t="n">
        <v>0</v>
      </c>
      <c r="M360" s="18" t="n">
        <f aca="false">IF(H360=0,"",I360/H360)</f>
        <v>0</v>
      </c>
    </row>
    <row r="361" customFormat="false" ht="15" hidden="false" customHeight="false" outlineLevel="0" collapsed="false">
      <c r="A361" s="13" t="s">
        <v>153</v>
      </c>
      <c r="B361" s="13" t="s">
        <v>169</v>
      </c>
      <c r="C361" s="13" t="n">
        <v>1</v>
      </c>
      <c r="D361" s="13" t="n">
        <v>0</v>
      </c>
      <c r="E361" s="13" t="n">
        <v>0</v>
      </c>
      <c r="F361" s="13" t="n">
        <v>2</v>
      </c>
      <c r="G361" s="17" t="n">
        <v>0</v>
      </c>
      <c r="H361" s="13" t="n">
        <v>1</v>
      </c>
      <c r="I361" s="13" t="n">
        <v>0</v>
      </c>
      <c r="J361" s="13" t="n">
        <v>0</v>
      </c>
      <c r="K361" s="13" t="n">
        <v>2</v>
      </c>
      <c r="L361" s="17" t="n">
        <v>0</v>
      </c>
      <c r="M361" s="18" t="n">
        <f aca="false">IF(H361=0,"",I361/H361)</f>
        <v>0</v>
      </c>
    </row>
    <row r="362" customFormat="false" ht="15" hidden="false" customHeight="false" outlineLevel="0" collapsed="false">
      <c r="A362" s="13" t="s">
        <v>153</v>
      </c>
      <c r="B362" s="13" t="s">
        <v>172</v>
      </c>
      <c r="C362" s="13" t="n">
        <v>4</v>
      </c>
      <c r="D362" s="13" t="n">
        <v>0</v>
      </c>
      <c r="E362" s="13" t="n">
        <v>4</v>
      </c>
      <c r="F362" s="13" t="n">
        <v>0</v>
      </c>
      <c r="G362" s="17" t="n">
        <v>0.0036284</v>
      </c>
      <c r="H362" s="13" t="n">
        <v>4</v>
      </c>
      <c r="I362" s="13" t="n">
        <v>0</v>
      </c>
      <c r="J362" s="13" t="n">
        <v>4</v>
      </c>
      <c r="K362" s="13" t="n">
        <v>0</v>
      </c>
      <c r="L362" s="17" t="n">
        <v>0.0036284</v>
      </c>
      <c r="M362" s="18" t="n">
        <f aca="false">IF(H362=0,"",I362/H362)</f>
        <v>0</v>
      </c>
    </row>
    <row r="363" customFormat="false" ht="15" hidden="false" customHeight="false" outlineLevel="0" collapsed="false">
      <c r="A363" s="13" t="s">
        <v>153</v>
      </c>
      <c r="B363" s="13" t="s">
        <v>176</v>
      </c>
      <c r="C363" s="13" t="n">
        <v>3</v>
      </c>
      <c r="D363" s="13" t="n">
        <v>0</v>
      </c>
      <c r="E363" s="13" t="n">
        <v>0</v>
      </c>
      <c r="F363" s="13" t="n">
        <v>0</v>
      </c>
      <c r="G363" s="17" t="n">
        <v>0</v>
      </c>
      <c r="H363" s="13" t="n">
        <v>3</v>
      </c>
      <c r="I363" s="13" t="n">
        <v>0</v>
      </c>
      <c r="J363" s="13" t="n">
        <v>0</v>
      </c>
      <c r="K363" s="13" t="n">
        <v>0</v>
      </c>
      <c r="L363" s="17" t="n">
        <v>0</v>
      </c>
      <c r="M363" s="18" t="n">
        <f aca="false">IF(H363=0,"",I363/H363)</f>
        <v>0</v>
      </c>
    </row>
    <row r="364" customFormat="false" ht="15" hidden="false" customHeight="false" outlineLevel="0" collapsed="false">
      <c r="A364" s="13" t="s">
        <v>393</v>
      </c>
      <c r="B364" s="13" t="s">
        <v>176</v>
      </c>
      <c r="C364" s="13" t="n">
        <v>1</v>
      </c>
      <c r="D364" s="13" t="n">
        <v>0</v>
      </c>
      <c r="E364" s="13" t="n">
        <v>0</v>
      </c>
      <c r="F364" s="13" t="n">
        <v>0</v>
      </c>
      <c r="G364" s="17" t="n">
        <v>0</v>
      </c>
      <c r="H364" s="13" t="n">
        <v>1</v>
      </c>
      <c r="I364" s="13" t="n">
        <v>0</v>
      </c>
      <c r="J364" s="13" t="n">
        <v>0</v>
      </c>
      <c r="K364" s="13" t="n">
        <v>0</v>
      </c>
      <c r="L364" s="17" t="n">
        <v>0</v>
      </c>
      <c r="M364" s="18" t="n">
        <f aca="false">IF(H364=0,"",I364/H364)</f>
        <v>0</v>
      </c>
    </row>
    <row r="365" customFormat="false" ht="15" hidden="false" customHeight="false" outlineLevel="0" collapsed="false">
      <c r="A365" s="13" t="s">
        <v>394</v>
      </c>
      <c r="B365" s="13" t="s">
        <v>176</v>
      </c>
      <c r="C365" s="13" t="n">
        <v>1</v>
      </c>
      <c r="D365" s="13" t="n">
        <v>0</v>
      </c>
      <c r="E365" s="13" t="n">
        <v>0</v>
      </c>
      <c r="F365" s="13" t="n">
        <v>0</v>
      </c>
      <c r="G365" s="17" t="n">
        <v>0</v>
      </c>
      <c r="H365" s="13" t="n">
        <v>1</v>
      </c>
      <c r="I365" s="13" t="n">
        <v>0</v>
      </c>
      <c r="J365" s="13" t="n">
        <v>0</v>
      </c>
      <c r="K365" s="13" t="n">
        <v>0</v>
      </c>
      <c r="L365" s="17" t="n">
        <v>0</v>
      </c>
      <c r="M365" s="18" t="n">
        <f aca="false">IF(H365=0,"",I365/H365)</f>
        <v>0</v>
      </c>
    </row>
    <row r="366" customFormat="false" ht="15" hidden="false" customHeight="false" outlineLevel="0" collapsed="false">
      <c r="A366" s="13" t="s">
        <v>395</v>
      </c>
      <c r="B366" s="13" t="s">
        <v>176</v>
      </c>
      <c r="C366" s="13" t="n">
        <v>1</v>
      </c>
      <c r="D366" s="13" t="n">
        <v>0</v>
      </c>
      <c r="E366" s="13" t="n">
        <v>0</v>
      </c>
      <c r="F366" s="13" t="n">
        <v>0</v>
      </c>
      <c r="G366" s="17" t="n">
        <v>0</v>
      </c>
      <c r="H366" s="13" t="n">
        <v>2</v>
      </c>
      <c r="I366" s="13" t="n">
        <v>0</v>
      </c>
      <c r="J366" s="13" t="n">
        <v>0</v>
      </c>
      <c r="K366" s="13" t="n">
        <v>0</v>
      </c>
      <c r="L366" s="17" t="n">
        <v>0</v>
      </c>
      <c r="M366" s="18" t="n">
        <f aca="false">IF(H366=0,"",I366/H366)</f>
        <v>0</v>
      </c>
    </row>
    <row r="367" customFormat="false" ht="15" hidden="false" customHeight="false" outlineLevel="0" collapsed="false">
      <c r="A367" s="13" t="s">
        <v>396</v>
      </c>
      <c r="B367" s="13" t="s">
        <v>176</v>
      </c>
      <c r="C367" s="13" t="n">
        <v>1</v>
      </c>
      <c r="D367" s="13" t="n">
        <v>0</v>
      </c>
      <c r="E367" s="13" t="n">
        <v>0</v>
      </c>
      <c r="F367" s="13" t="n">
        <v>0</v>
      </c>
      <c r="G367" s="17" t="n">
        <v>0</v>
      </c>
      <c r="H367" s="13" t="n">
        <v>1</v>
      </c>
      <c r="I367" s="13" t="n">
        <v>0</v>
      </c>
      <c r="J367" s="13" t="n">
        <v>0</v>
      </c>
      <c r="K367" s="13" t="n">
        <v>0</v>
      </c>
      <c r="L367" s="17" t="n">
        <v>0</v>
      </c>
      <c r="M367" s="18" t="n">
        <f aca="false">IF(H367=0,"",I367/H367)</f>
        <v>0</v>
      </c>
    </row>
    <row r="368" customFormat="false" ht="15" hidden="false" customHeight="false" outlineLevel="0" collapsed="false">
      <c r="A368" s="13" t="s">
        <v>397</v>
      </c>
      <c r="B368" s="13" t="s">
        <v>176</v>
      </c>
      <c r="C368" s="13" t="n">
        <v>1</v>
      </c>
      <c r="D368" s="13" t="n">
        <v>0</v>
      </c>
      <c r="E368" s="13" t="n">
        <v>0</v>
      </c>
      <c r="F368" s="13" t="n">
        <v>0</v>
      </c>
      <c r="G368" s="17" t="n">
        <v>0</v>
      </c>
      <c r="H368" s="13" t="n">
        <v>2</v>
      </c>
      <c r="I368" s="13" t="n">
        <v>0</v>
      </c>
      <c r="J368" s="13" t="n">
        <v>0</v>
      </c>
      <c r="K368" s="13" t="n">
        <v>0</v>
      </c>
      <c r="L368" s="17" t="n">
        <v>0</v>
      </c>
      <c r="M368" s="18" t="n">
        <f aca="false">IF(H368=0,"",I368/H368)</f>
        <v>0</v>
      </c>
    </row>
    <row r="369" customFormat="false" ht="15" hidden="false" customHeight="false" outlineLevel="0" collapsed="false">
      <c r="A369" s="13" t="s">
        <v>398</v>
      </c>
      <c r="B369" s="13" t="s">
        <v>176</v>
      </c>
      <c r="C369" s="13" t="n">
        <v>1</v>
      </c>
      <c r="D369" s="13" t="n">
        <v>0</v>
      </c>
      <c r="E369" s="13" t="n">
        <v>0</v>
      </c>
      <c r="F369" s="13" t="n">
        <v>0</v>
      </c>
      <c r="G369" s="17" t="n">
        <v>0</v>
      </c>
      <c r="H369" s="13" t="n">
        <v>1</v>
      </c>
      <c r="I369" s="13" t="n">
        <v>0</v>
      </c>
      <c r="J369" s="13" t="n">
        <v>0</v>
      </c>
      <c r="K369" s="13" t="n">
        <v>0</v>
      </c>
      <c r="L369" s="17" t="n">
        <v>0</v>
      </c>
      <c r="M369" s="18" t="n">
        <f aca="false">IF(H369=0,"",I369/H369)</f>
        <v>0</v>
      </c>
    </row>
    <row r="370" customFormat="false" ht="15" hidden="false" customHeight="false" outlineLevel="0" collapsed="false">
      <c r="A370" s="13" t="s">
        <v>399</v>
      </c>
      <c r="B370" s="13" t="s">
        <v>176</v>
      </c>
      <c r="C370" s="13" t="n">
        <v>1</v>
      </c>
      <c r="D370" s="13" t="n">
        <v>0</v>
      </c>
      <c r="E370" s="13" t="n">
        <v>0</v>
      </c>
      <c r="F370" s="13" t="n">
        <v>0</v>
      </c>
      <c r="G370" s="17" t="n">
        <v>0</v>
      </c>
      <c r="H370" s="13" t="n">
        <v>1</v>
      </c>
      <c r="I370" s="13" t="n">
        <v>0</v>
      </c>
      <c r="J370" s="13" t="n">
        <v>0</v>
      </c>
      <c r="K370" s="13" t="n">
        <v>0</v>
      </c>
      <c r="L370" s="17" t="n">
        <v>0</v>
      </c>
      <c r="M370" s="18" t="n">
        <f aca="false">IF(H370=0,"",I370/H370)</f>
        <v>0</v>
      </c>
    </row>
    <row r="371" customFormat="false" ht="15" hidden="false" customHeight="false" outlineLevel="0" collapsed="false">
      <c r="A371" s="13" t="s">
        <v>400</v>
      </c>
      <c r="B371" s="13" t="s">
        <v>176</v>
      </c>
      <c r="C371" s="13" t="n">
        <v>1</v>
      </c>
      <c r="D371" s="13" t="n">
        <v>0</v>
      </c>
      <c r="E371" s="13" t="n">
        <v>0</v>
      </c>
      <c r="F371" s="13" t="n">
        <v>0</v>
      </c>
      <c r="G371" s="17" t="n">
        <v>0</v>
      </c>
      <c r="H371" s="13" t="n">
        <v>2</v>
      </c>
      <c r="I371" s="13" t="n">
        <v>0</v>
      </c>
      <c r="J371" s="13" t="n">
        <v>0</v>
      </c>
      <c r="K371" s="13" t="n">
        <v>0</v>
      </c>
      <c r="L371" s="17" t="n">
        <v>0</v>
      </c>
      <c r="M371" s="18" t="n">
        <f aca="false">IF(H371=0,"",I371/H371)</f>
        <v>0</v>
      </c>
    </row>
    <row r="372" customFormat="false" ht="15" hidden="false" customHeight="false" outlineLevel="0" collapsed="false">
      <c r="A372" s="13" t="s">
        <v>401</v>
      </c>
      <c r="B372" s="13" t="s">
        <v>176</v>
      </c>
      <c r="C372" s="13" t="n">
        <v>1</v>
      </c>
      <c r="D372" s="13" t="n">
        <v>0</v>
      </c>
      <c r="E372" s="13" t="n">
        <v>0</v>
      </c>
      <c r="F372" s="13" t="n">
        <v>0</v>
      </c>
      <c r="G372" s="17" t="n">
        <v>0</v>
      </c>
      <c r="H372" s="13" t="n">
        <v>1</v>
      </c>
      <c r="I372" s="13" t="n">
        <v>0</v>
      </c>
      <c r="J372" s="13" t="n">
        <v>0</v>
      </c>
      <c r="K372" s="13" t="n">
        <v>0</v>
      </c>
      <c r="L372" s="17" t="n">
        <v>0</v>
      </c>
      <c r="M372" s="18" t="n">
        <f aca="false">IF(H372=0,"",I372/H372)</f>
        <v>0</v>
      </c>
    </row>
    <row r="373" customFormat="false" ht="15" hidden="false" customHeight="false" outlineLevel="0" collapsed="false">
      <c r="A373" s="13" t="s">
        <v>402</v>
      </c>
      <c r="B373" s="13" t="s">
        <v>176</v>
      </c>
      <c r="C373" s="13" t="n">
        <v>1</v>
      </c>
      <c r="D373" s="13" t="n">
        <v>0</v>
      </c>
      <c r="E373" s="13" t="n">
        <v>0</v>
      </c>
      <c r="F373" s="13" t="n">
        <v>0</v>
      </c>
      <c r="G373" s="17" t="n">
        <v>0</v>
      </c>
      <c r="H373" s="13" t="n">
        <v>1</v>
      </c>
      <c r="I373" s="13" t="n">
        <v>0</v>
      </c>
      <c r="J373" s="13" t="n">
        <v>0</v>
      </c>
      <c r="K373" s="13" t="n">
        <v>0</v>
      </c>
      <c r="L373" s="17" t="n">
        <v>0</v>
      </c>
      <c r="M373" s="18" t="n">
        <f aca="false">IF(H373=0,"",I373/H373)</f>
        <v>0</v>
      </c>
    </row>
    <row r="374" customFormat="false" ht="15" hidden="false" customHeight="false" outlineLevel="0" collapsed="false">
      <c r="A374" s="13" t="s">
        <v>403</v>
      </c>
      <c r="B374" s="13" t="s">
        <v>176</v>
      </c>
      <c r="C374" s="13" t="n">
        <v>1</v>
      </c>
      <c r="D374" s="13" t="n">
        <v>0</v>
      </c>
      <c r="E374" s="13" t="n">
        <v>0</v>
      </c>
      <c r="F374" s="13" t="n">
        <v>0</v>
      </c>
      <c r="G374" s="17" t="n">
        <v>0</v>
      </c>
      <c r="H374" s="13" t="n">
        <v>1</v>
      </c>
      <c r="I374" s="13" t="n">
        <v>0</v>
      </c>
      <c r="J374" s="13" t="n">
        <v>0</v>
      </c>
      <c r="K374" s="13" t="n">
        <v>0</v>
      </c>
      <c r="L374" s="17" t="n">
        <v>0</v>
      </c>
      <c r="M374" s="18" t="n">
        <f aca="false">IF(H374=0,"",I374/H374)</f>
        <v>0</v>
      </c>
    </row>
    <row r="375" customFormat="false" ht="15" hidden="false" customHeight="false" outlineLevel="0" collapsed="false">
      <c r="A375" s="13" t="s">
        <v>404</v>
      </c>
      <c r="B375" s="13" t="s">
        <v>176</v>
      </c>
      <c r="C375" s="13" t="n">
        <v>1</v>
      </c>
      <c r="D375" s="13" t="n">
        <v>0</v>
      </c>
      <c r="E375" s="13" t="n">
        <v>0</v>
      </c>
      <c r="F375" s="13" t="n">
        <v>0</v>
      </c>
      <c r="G375" s="17" t="n">
        <v>0</v>
      </c>
      <c r="H375" s="13" t="n">
        <v>1</v>
      </c>
      <c r="I375" s="13" t="n">
        <v>0</v>
      </c>
      <c r="J375" s="13" t="n">
        <v>0</v>
      </c>
      <c r="K375" s="13" t="n">
        <v>0</v>
      </c>
      <c r="L375" s="17" t="n">
        <v>0</v>
      </c>
      <c r="M375" s="18" t="n">
        <f aca="false">IF(H375=0,"",I375/H375)</f>
        <v>0</v>
      </c>
    </row>
    <row r="376" customFormat="false" ht="15" hidden="false" customHeight="false" outlineLevel="0" collapsed="false">
      <c r="A376" s="13" t="s">
        <v>405</v>
      </c>
      <c r="B376" s="13" t="s">
        <v>176</v>
      </c>
      <c r="C376" s="13" t="n">
        <v>1</v>
      </c>
      <c r="D376" s="13" t="n">
        <v>0</v>
      </c>
      <c r="E376" s="13" t="n">
        <v>0</v>
      </c>
      <c r="F376" s="13" t="n">
        <v>0</v>
      </c>
      <c r="G376" s="17" t="n">
        <v>0</v>
      </c>
      <c r="H376" s="13" t="n">
        <v>1</v>
      </c>
      <c r="I376" s="13" t="n">
        <v>0</v>
      </c>
      <c r="J376" s="13" t="n">
        <v>0</v>
      </c>
      <c r="K376" s="13" t="n">
        <v>0</v>
      </c>
      <c r="L376" s="17" t="n">
        <v>0</v>
      </c>
      <c r="M376" s="18" t="n">
        <f aca="false">IF(H376=0,"",I376/H376)</f>
        <v>0</v>
      </c>
    </row>
    <row r="377" customFormat="false" ht="15" hidden="false" customHeight="false" outlineLevel="0" collapsed="false">
      <c r="A377" s="13" t="s">
        <v>406</v>
      </c>
      <c r="B377" s="13" t="s">
        <v>176</v>
      </c>
      <c r="C377" s="13" t="n">
        <v>1</v>
      </c>
      <c r="D377" s="13" t="n">
        <v>0</v>
      </c>
      <c r="E377" s="13" t="n">
        <v>0</v>
      </c>
      <c r="F377" s="13" t="n">
        <v>0</v>
      </c>
      <c r="G377" s="17" t="n">
        <v>0</v>
      </c>
      <c r="H377" s="13" t="n">
        <v>1</v>
      </c>
      <c r="I377" s="13" t="n">
        <v>0</v>
      </c>
      <c r="J377" s="13" t="n">
        <v>0</v>
      </c>
      <c r="K377" s="13" t="n">
        <v>0</v>
      </c>
      <c r="L377" s="17" t="n">
        <v>0</v>
      </c>
      <c r="M377" s="18" t="n">
        <f aca="false">IF(H377=0,"",I377/H377)</f>
        <v>0</v>
      </c>
    </row>
    <row r="378" customFormat="false" ht="15" hidden="false" customHeight="false" outlineLevel="0" collapsed="false">
      <c r="A378" s="13" t="s">
        <v>407</v>
      </c>
      <c r="B378" s="13" t="s">
        <v>176</v>
      </c>
      <c r="C378" s="13" t="n">
        <v>1</v>
      </c>
      <c r="D378" s="13" t="n">
        <v>0</v>
      </c>
      <c r="E378" s="13" t="n">
        <v>0</v>
      </c>
      <c r="F378" s="13" t="n">
        <v>0</v>
      </c>
      <c r="G378" s="17" t="n">
        <v>0</v>
      </c>
      <c r="H378" s="13" t="n">
        <v>1</v>
      </c>
      <c r="I378" s="13" t="n">
        <v>0</v>
      </c>
      <c r="J378" s="13" t="n">
        <v>0</v>
      </c>
      <c r="K378" s="13" t="n">
        <v>0</v>
      </c>
      <c r="L378" s="17" t="n">
        <v>0</v>
      </c>
      <c r="M378" s="18" t="n">
        <f aca="false">IF(H378=0,"",I378/H378)</f>
        <v>0</v>
      </c>
    </row>
    <row r="379" customFormat="false" ht="15" hidden="false" customHeight="false" outlineLevel="0" collapsed="false">
      <c r="A379" s="13" t="s">
        <v>408</v>
      </c>
      <c r="B379" s="13" t="s">
        <v>176</v>
      </c>
      <c r="C379" s="13" t="n">
        <v>1</v>
      </c>
      <c r="D379" s="13" t="n">
        <v>0</v>
      </c>
      <c r="E379" s="13" t="n">
        <v>0</v>
      </c>
      <c r="F379" s="13" t="n">
        <v>0</v>
      </c>
      <c r="G379" s="17" t="n">
        <v>0</v>
      </c>
      <c r="H379" s="13" t="n">
        <v>1</v>
      </c>
      <c r="I379" s="13" t="n">
        <v>0</v>
      </c>
      <c r="J379" s="13" t="n">
        <v>0</v>
      </c>
      <c r="K379" s="13" t="n">
        <v>0</v>
      </c>
      <c r="L379" s="17" t="n">
        <v>0</v>
      </c>
      <c r="M379" s="18" t="n">
        <f aca="false">IF(H379=0,"",I379/H379)</f>
        <v>0</v>
      </c>
    </row>
    <row r="380" customFormat="false" ht="15" hidden="false" customHeight="false" outlineLevel="0" collapsed="false">
      <c r="A380" s="13" t="s">
        <v>409</v>
      </c>
      <c r="B380" s="13" t="s">
        <v>176</v>
      </c>
      <c r="C380" s="13" t="n">
        <v>1</v>
      </c>
      <c r="D380" s="13" t="n">
        <v>0</v>
      </c>
      <c r="E380" s="13" t="n">
        <v>0</v>
      </c>
      <c r="F380" s="13" t="n">
        <v>0</v>
      </c>
      <c r="G380" s="17" t="n">
        <v>0</v>
      </c>
      <c r="H380" s="13" t="n">
        <v>1</v>
      </c>
      <c r="I380" s="13" t="n">
        <v>0</v>
      </c>
      <c r="J380" s="13" t="n">
        <v>0</v>
      </c>
      <c r="K380" s="13" t="n">
        <v>0</v>
      </c>
      <c r="L380" s="17" t="n">
        <v>0</v>
      </c>
      <c r="M380" s="18" t="n">
        <f aca="false">IF(H380=0,"",I380/H380)</f>
        <v>0</v>
      </c>
    </row>
    <row r="381" customFormat="false" ht="15" hidden="false" customHeight="false" outlineLevel="0" collapsed="false">
      <c r="A381" s="13" t="s">
        <v>410</v>
      </c>
      <c r="B381" s="13" t="s">
        <v>176</v>
      </c>
      <c r="C381" s="13" t="n">
        <v>1</v>
      </c>
      <c r="D381" s="13" t="n">
        <v>0</v>
      </c>
      <c r="E381" s="13" t="n">
        <v>0</v>
      </c>
      <c r="F381" s="13" t="n">
        <v>0</v>
      </c>
      <c r="G381" s="17" t="n">
        <v>0</v>
      </c>
      <c r="H381" s="13" t="n">
        <v>1</v>
      </c>
      <c r="I381" s="13" t="n">
        <v>0</v>
      </c>
      <c r="J381" s="13" t="n">
        <v>0</v>
      </c>
      <c r="K381" s="13" t="n">
        <v>0</v>
      </c>
      <c r="L381" s="17" t="n">
        <v>0</v>
      </c>
      <c r="M381" s="18" t="n">
        <f aca="false">IF(H381=0,"",I381/H381)</f>
        <v>0</v>
      </c>
    </row>
    <row r="382" customFormat="false" ht="15" hidden="false" customHeight="false" outlineLevel="0" collapsed="false">
      <c r="A382" s="13" t="s">
        <v>411</v>
      </c>
      <c r="B382" s="13" t="s">
        <v>176</v>
      </c>
      <c r="C382" s="13" t="n">
        <v>1</v>
      </c>
      <c r="D382" s="13" t="n">
        <v>0</v>
      </c>
      <c r="E382" s="13" t="n">
        <v>0</v>
      </c>
      <c r="F382" s="13" t="n">
        <v>0</v>
      </c>
      <c r="G382" s="17" t="n">
        <v>0</v>
      </c>
      <c r="H382" s="13" t="n">
        <v>1</v>
      </c>
      <c r="I382" s="13" t="n">
        <v>0</v>
      </c>
      <c r="J382" s="13" t="n">
        <v>0</v>
      </c>
      <c r="K382" s="13" t="n">
        <v>0</v>
      </c>
      <c r="L382" s="17" t="n">
        <v>0</v>
      </c>
      <c r="M382" s="18" t="n">
        <f aca="false">IF(H382=0,"",I382/H382)</f>
        <v>0</v>
      </c>
    </row>
    <row r="383" customFormat="false" ht="15" hidden="false" customHeight="false" outlineLevel="0" collapsed="false">
      <c r="A383" s="13" t="s">
        <v>412</v>
      </c>
      <c r="B383" s="13" t="s">
        <v>176</v>
      </c>
      <c r="C383" s="13" t="n">
        <v>1</v>
      </c>
      <c r="D383" s="13" t="n">
        <v>0</v>
      </c>
      <c r="E383" s="13" t="n">
        <v>0</v>
      </c>
      <c r="F383" s="13" t="n">
        <v>0</v>
      </c>
      <c r="G383" s="17" t="n">
        <v>0</v>
      </c>
      <c r="H383" s="13" t="n">
        <v>1</v>
      </c>
      <c r="I383" s="13" t="n">
        <v>0</v>
      </c>
      <c r="J383" s="13" t="n">
        <v>0</v>
      </c>
      <c r="K383" s="13" t="n">
        <v>0</v>
      </c>
      <c r="L383" s="17" t="n">
        <v>0</v>
      </c>
      <c r="M383" s="18" t="n">
        <f aca="false">IF(H383=0,"",I383/H383)</f>
        <v>0</v>
      </c>
    </row>
    <row r="384" customFormat="false" ht="15" hidden="false" customHeight="false" outlineLevel="0" collapsed="false">
      <c r="A384" s="13" t="s">
        <v>413</v>
      </c>
      <c r="B384" s="13" t="s">
        <v>176</v>
      </c>
      <c r="C384" s="13" t="n">
        <v>0</v>
      </c>
      <c r="D384" s="13" t="n">
        <v>0</v>
      </c>
      <c r="E384" s="13" t="n">
        <v>0</v>
      </c>
      <c r="F384" s="13" t="n">
        <v>0</v>
      </c>
      <c r="G384" s="17" t="n">
        <v>0</v>
      </c>
      <c r="H384" s="13" t="n">
        <v>1</v>
      </c>
      <c r="I384" s="13" t="n">
        <v>0</v>
      </c>
      <c r="J384" s="13" t="n">
        <v>0</v>
      </c>
      <c r="K384" s="13" t="n">
        <v>0</v>
      </c>
      <c r="L384" s="17" t="n">
        <v>0</v>
      </c>
      <c r="M384" s="18" t="n">
        <f aca="false">IF(H384=0,"",I384/H384)</f>
        <v>0</v>
      </c>
    </row>
    <row r="385" customFormat="false" ht="15" hidden="false" customHeight="false" outlineLevel="0" collapsed="false">
      <c r="A385" s="13" t="s">
        <v>414</v>
      </c>
      <c r="B385" s="13" t="s">
        <v>176</v>
      </c>
      <c r="C385" s="13" t="n">
        <v>1</v>
      </c>
      <c r="D385" s="13" t="n">
        <v>0</v>
      </c>
      <c r="E385" s="13" t="n">
        <v>0</v>
      </c>
      <c r="F385" s="13" t="n">
        <v>0</v>
      </c>
      <c r="G385" s="17" t="n">
        <v>0</v>
      </c>
      <c r="H385" s="13" t="n">
        <v>1</v>
      </c>
      <c r="I385" s="13" t="n">
        <v>0</v>
      </c>
      <c r="J385" s="13" t="n">
        <v>0</v>
      </c>
      <c r="K385" s="13" t="n">
        <v>0</v>
      </c>
      <c r="L385" s="17" t="n">
        <v>0</v>
      </c>
      <c r="M385" s="18" t="n">
        <f aca="false">IF(H385=0,"",I385/H385)</f>
        <v>0</v>
      </c>
    </row>
    <row r="386" customFormat="false" ht="15" hidden="false" customHeight="false" outlineLevel="0" collapsed="false">
      <c r="A386" s="13" t="s">
        <v>415</v>
      </c>
      <c r="B386" s="13" t="s">
        <v>176</v>
      </c>
      <c r="C386" s="13" t="n">
        <v>1</v>
      </c>
      <c r="D386" s="13" t="n">
        <v>0</v>
      </c>
      <c r="E386" s="13" t="n">
        <v>0</v>
      </c>
      <c r="F386" s="13" t="n">
        <v>0</v>
      </c>
      <c r="G386" s="17" t="n">
        <v>0</v>
      </c>
      <c r="H386" s="13" t="n">
        <v>1</v>
      </c>
      <c r="I386" s="13" t="n">
        <v>0</v>
      </c>
      <c r="J386" s="13" t="n">
        <v>0</v>
      </c>
      <c r="K386" s="13" t="n">
        <v>0</v>
      </c>
      <c r="L386" s="17" t="n">
        <v>0</v>
      </c>
      <c r="M386" s="18" t="n">
        <f aca="false">IF(H386=0,"",I386/H386)</f>
        <v>0</v>
      </c>
    </row>
    <row r="387" customFormat="false" ht="15" hidden="false" customHeight="false" outlineLevel="0" collapsed="false">
      <c r="A387" s="13" t="s">
        <v>416</v>
      </c>
      <c r="B387" s="13" t="s">
        <v>176</v>
      </c>
      <c r="C387" s="13" t="n">
        <v>1</v>
      </c>
      <c r="D387" s="13" t="n">
        <v>0</v>
      </c>
      <c r="E387" s="13" t="n">
        <v>0</v>
      </c>
      <c r="F387" s="13" t="n">
        <v>0</v>
      </c>
      <c r="G387" s="17" t="n">
        <v>0</v>
      </c>
      <c r="H387" s="13" t="n">
        <v>1</v>
      </c>
      <c r="I387" s="13" t="n">
        <v>0</v>
      </c>
      <c r="J387" s="13" t="n">
        <v>0</v>
      </c>
      <c r="K387" s="13" t="n">
        <v>0</v>
      </c>
      <c r="L387" s="17" t="n">
        <v>0</v>
      </c>
      <c r="M387" s="18" t="n">
        <f aca="false">IF(H387=0,"",I387/H387)</f>
        <v>0</v>
      </c>
    </row>
    <row r="388" customFormat="false" ht="15" hidden="false" customHeight="false" outlineLevel="0" collapsed="false">
      <c r="A388" s="13" t="s">
        <v>417</v>
      </c>
      <c r="B388" s="13" t="s">
        <v>176</v>
      </c>
      <c r="C388" s="13" t="n">
        <v>1</v>
      </c>
      <c r="D388" s="13" t="n">
        <v>0</v>
      </c>
      <c r="E388" s="13" t="n">
        <v>0</v>
      </c>
      <c r="F388" s="13" t="n">
        <v>0</v>
      </c>
      <c r="G388" s="17" t="n">
        <v>0</v>
      </c>
      <c r="H388" s="13" t="n">
        <v>2</v>
      </c>
      <c r="I388" s="13" t="n">
        <v>0</v>
      </c>
      <c r="J388" s="13" t="n">
        <v>0</v>
      </c>
      <c r="K388" s="13" t="n">
        <v>0</v>
      </c>
      <c r="L388" s="17" t="n">
        <v>0</v>
      </c>
      <c r="M388" s="18" t="n">
        <f aca="false">IF(H388=0,"",I388/H388)</f>
        <v>0</v>
      </c>
    </row>
    <row r="389" customFormat="false" ht="15" hidden="false" customHeight="false" outlineLevel="0" collapsed="false">
      <c r="A389" s="13" t="s">
        <v>418</v>
      </c>
      <c r="B389" s="13" t="s">
        <v>176</v>
      </c>
      <c r="C389" s="13" t="n">
        <v>1</v>
      </c>
      <c r="D389" s="13" t="n">
        <v>0</v>
      </c>
      <c r="E389" s="13" t="n">
        <v>0</v>
      </c>
      <c r="F389" s="13" t="n">
        <v>0</v>
      </c>
      <c r="G389" s="17" t="n">
        <v>0</v>
      </c>
      <c r="H389" s="13" t="n">
        <v>1</v>
      </c>
      <c r="I389" s="13" t="n">
        <v>0</v>
      </c>
      <c r="J389" s="13" t="n">
        <v>0</v>
      </c>
      <c r="K389" s="13" t="n">
        <v>0</v>
      </c>
      <c r="L389" s="17" t="n">
        <v>0</v>
      </c>
      <c r="M389" s="18" t="n">
        <f aca="false">IF(H389=0,"",I389/H389)</f>
        <v>0</v>
      </c>
    </row>
    <row r="390" customFormat="false" ht="15" hidden="false" customHeight="false" outlineLevel="0" collapsed="false">
      <c r="A390" s="13" t="s">
        <v>419</v>
      </c>
      <c r="B390" s="13" t="s">
        <v>176</v>
      </c>
      <c r="C390" s="13" t="n">
        <v>0</v>
      </c>
      <c r="D390" s="13" t="n">
        <v>0</v>
      </c>
      <c r="E390" s="13" t="n">
        <v>0</v>
      </c>
      <c r="F390" s="13" t="n">
        <v>0</v>
      </c>
      <c r="G390" s="17" t="n">
        <v>0</v>
      </c>
      <c r="H390" s="13" t="n">
        <v>1</v>
      </c>
      <c r="I390" s="13" t="n">
        <v>0</v>
      </c>
      <c r="J390" s="13" t="n">
        <v>0</v>
      </c>
      <c r="K390" s="13" t="n">
        <v>0</v>
      </c>
      <c r="L390" s="17" t="n">
        <v>0</v>
      </c>
      <c r="M390" s="18" t="n">
        <f aca="false">IF(H390=0,"",I390/H390)</f>
        <v>0</v>
      </c>
    </row>
    <row r="391" customFormat="false" ht="15" hidden="false" customHeight="false" outlineLevel="0" collapsed="false">
      <c r="A391" s="13" t="s">
        <v>420</v>
      </c>
      <c r="B391" s="13" t="s">
        <v>176</v>
      </c>
      <c r="C391" s="13" t="n">
        <v>1</v>
      </c>
      <c r="D391" s="13" t="n">
        <v>0</v>
      </c>
      <c r="E391" s="13" t="n">
        <v>0</v>
      </c>
      <c r="F391" s="13" t="n">
        <v>0</v>
      </c>
      <c r="G391" s="17" t="n">
        <v>0</v>
      </c>
      <c r="H391" s="13" t="n">
        <v>1</v>
      </c>
      <c r="I391" s="13" t="n">
        <v>0</v>
      </c>
      <c r="J391" s="13" t="n">
        <v>0</v>
      </c>
      <c r="K391" s="13" t="n">
        <v>0</v>
      </c>
      <c r="L391" s="17" t="n">
        <v>0</v>
      </c>
      <c r="M391" s="18" t="n">
        <f aca="false">IF(H391=0,"",I391/H391)</f>
        <v>0</v>
      </c>
    </row>
    <row r="392" customFormat="false" ht="15" hidden="false" customHeight="false" outlineLevel="0" collapsed="false">
      <c r="A392" s="13" t="s">
        <v>421</v>
      </c>
      <c r="B392" s="13" t="s">
        <v>176</v>
      </c>
      <c r="C392" s="13" t="n">
        <v>1</v>
      </c>
      <c r="D392" s="13" t="n">
        <v>0</v>
      </c>
      <c r="E392" s="13" t="n">
        <v>0</v>
      </c>
      <c r="F392" s="13" t="n">
        <v>0</v>
      </c>
      <c r="G392" s="17" t="n">
        <v>0</v>
      </c>
      <c r="H392" s="13" t="n">
        <v>1</v>
      </c>
      <c r="I392" s="13" t="n">
        <v>0</v>
      </c>
      <c r="J392" s="13" t="n">
        <v>0</v>
      </c>
      <c r="K392" s="13" t="n">
        <v>0</v>
      </c>
      <c r="L392" s="17" t="n">
        <v>0</v>
      </c>
      <c r="M392" s="18" t="n">
        <f aca="false">IF(H392=0,"",I392/H392)</f>
        <v>0</v>
      </c>
    </row>
    <row r="393" customFormat="false" ht="15" hidden="false" customHeight="false" outlineLevel="0" collapsed="false">
      <c r="A393" s="13" t="s">
        <v>422</v>
      </c>
      <c r="B393" s="13" t="s">
        <v>176</v>
      </c>
      <c r="C393" s="13" t="n">
        <v>1</v>
      </c>
      <c r="D393" s="13" t="n">
        <v>0</v>
      </c>
      <c r="E393" s="13" t="n">
        <v>0</v>
      </c>
      <c r="F393" s="13" t="n">
        <v>0</v>
      </c>
      <c r="G393" s="17" t="n">
        <v>0</v>
      </c>
      <c r="H393" s="13" t="n">
        <v>1</v>
      </c>
      <c r="I393" s="13" t="n">
        <v>0</v>
      </c>
      <c r="J393" s="13" t="n">
        <v>0</v>
      </c>
      <c r="K393" s="13" t="n">
        <v>0</v>
      </c>
      <c r="L393" s="17" t="n">
        <v>0</v>
      </c>
      <c r="M393" s="18" t="n">
        <f aca="false">IF(H393=0,"",I393/H393)</f>
        <v>0</v>
      </c>
    </row>
    <row r="394" customFormat="false" ht="15" hidden="false" customHeight="false" outlineLevel="0" collapsed="false">
      <c r="A394" s="13" t="s">
        <v>111</v>
      </c>
      <c r="B394" s="13" t="s">
        <v>169</v>
      </c>
      <c r="C394" s="13" t="n">
        <v>14</v>
      </c>
      <c r="D394" s="13" t="n">
        <v>0</v>
      </c>
      <c r="E394" s="13" t="n">
        <v>0</v>
      </c>
      <c r="F394" s="13" t="n">
        <v>28</v>
      </c>
      <c r="G394" s="17" t="n">
        <v>0</v>
      </c>
      <c r="H394" s="13" t="n">
        <v>14</v>
      </c>
      <c r="I394" s="13" t="n">
        <v>0</v>
      </c>
      <c r="J394" s="13" t="n">
        <v>0</v>
      </c>
      <c r="K394" s="13" t="n">
        <v>28</v>
      </c>
      <c r="L394" s="17" t="n">
        <v>0</v>
      </c>
      <c r="M394" s="18" t="n">
        <f aca="false">IF(H394=0,"",I394/H394)</f>
        <v>0</v>
      </c>
    </row>
    <row r="395" customFormat="false" ht="15" hidden="false" customHeight="false" outlineLevel="0" collapsed="false">
      <c r="A395" s="13" t="s">
        <v>111</v>
      </c>
      <c r="B395" s="13" t="s">
        <v>172</v>
      </c>
      <c r="C395" s="13" t="n">
        <v>4</v>
      </c>
      <c r="D395" s="13" t="n">
        <v>1</v>
      </c>
      <c r="E395" s="13" t="n">
        <v>2</v>
      </c>
      <c r="F395" s="13" t="n">
        <v>0</v>
      </c>
      <c r="G395" s="17" t="n">
        <v>0.0043168</v>
      </c>
      <c r="H395" s="13" t="n">
        <v>4</v>
      </c>
      <c r="I395" s="13" t="n">
        <v>1</v>
      </c>
      <c r="J395" s="13" t="n">
        <v>2</v>
      </c>
      <c r="K395" s="13" t="n">
        <v>0</v>
      </c>
      <c r="L395" s="17" t="n">
        <v>0.0043168</v>
      </c>
      <c r="M395" s="18" t="n">
        <f aca="false">IF(H395=0,"",I395/H395)</f>
        <v>0.25</v>
      </c>
    </row>
    <row r="396" customFormat="false" ht="15" hidden="false" customHeight="false" outlineLevel="0" collapsed="false">
      <c r="A396" s="13" t="s">
        <v>111</v>
      </c>
      <c r="B396" s="13" t="s">
        <v>176</v>
      </c>
      <c r="C396" s="13" t="n">
        <v>1</v>
      </c>
      <c r="D396" s="13" t="n">
        <v>0</v>
      </c>
      <c r="E396" s="13" t="n">
        <v>0</v>
      </c>
      <c r="F396" s="13" t="n">
        <v>0</v>
      </c>
      <c r="G396" s="17" t="n">
        <v>0</v>
      </c>
      <c r="H396" s="13" t="n">
        <v>1</v>
      </c>
      <c r="I396" s="13" t="n">
        <v>0</v>
      </c>
      <c r="J396" s="13" t="n">
        <v>0</v>
      </c>
      <c r="K396" s="13" t="n">
        <v>0</v>
      </c>
      <c r="L396" s="17" t="n">
        <v>0</v>
      </c>
      <c r="M396" s="18" t="n">
        <f aca="false">IF(H396=0,"",I396/H396)</f>
        <v>0</v>
      </c>
    </row>
    <row r="397" customFormat="false" ht="15" hidden="false" customHeight="false" outlineLevel="0" collapsed="false">
      <c r="A397" s="13" t="s">
        <v>423</v>
      </c>
      <c r="B397" s="13" t="s">
        <v>176</v>
      </c>
      <c r="C397" s="13" t="n">
        <v>1</v>
      </c>
      <c r="D397" s="13" t="n">
        <v>0</v>
      </c>
      <c r="E397" s="13" t="n">
        <v>0</v>
      </c>
      <c r="F397" s="13" t="n">
        <v>0</v>
      </c>
      <c r="G397" s="17" t="n">
        <v>0</v>
      </c>
      <c r="H397" s="13" t="n">
        <v>1</v>
      </c>
      <c r="I397" s="13" t="n">
        <v>0</v>
      </c>
      <c r="J397" s="13" t="n">
        <v>0</v>
      </c>
      <c r="K397" s="13" t="n">
        <v>0</v>
      </c>
      <c r="L397" s="17" t="n">
        <v>0</v>
      </c>
      <c r="M397" s="18" t="n">
        <f aca="false">IF(H397=0,"",I397/H397)</f>
        <v>0</v>
      </c>
    </row>
    <row r="398" customFormat="false" ht="15" hidden="false" customHeight="false" outlineLevel="0" collapsed="false">
      <c r="A398" s="13" t="s">
        <v>424</v>
      </c>
      <c r="B398" s="13" t="s">
        <v>176</v>
      </c>
      <c r="C398" s="13" t="n">
        <v>1</v>
      </c>
      <c r="D398" s="13" t="n">
        <v>0</v>
      </c>
      <c r="E398" s="13" t="n">
        <v>0</v>
      </c>
      <c r="F398" s="13" t="n">
        <v>0</v>
      </c>
      <c r="G398" s="17" t="n">
        <v>0</v>
      </c>
      <c r="H398" s="13" t="n">
        <v>1</v>
      </c>
      <c r="I398" s="13" t="n">
        <v>0</v>
      </c>
      <c r="J398" s="13" t="n">
        <v>0</v>
      </c>
      <c r="K398" s="13" t="n">
        <v>0</v>
      </c>
      <c r="L398" s="17" t="n">
        <v>0</v>
      </c>
      <c r="M398" s="18" t="n">
        <f aca="false">IF(H398=0,"",I398/H398)</f>
        <v>0</v>
      </c>
    </row>
    <row r="399" customFormat="false" ht="15" hidden="false" customHeight="false" outlineLevel="0" collapsed="false">
      <c r="A399" s="13" t="s">
        <v>425</v>
      </c>
      <c r="B399" s="13" t="s">
        <v>176</v>
      </c>
      <c r="C399" s="13" t="n">
        <v>1</v>
      </c>
      <c r="D399" s="13" t="n">
        <v>0</v>
      </c>
      <c r="E399" s="13" t="n">
        <v>0</v>
      </c>
      <c r="F399" s="13" t="n">
        <v>0</v>
      </c>
      <c r="G399" s="17" t="n">
        <v>0</v>
      </c>
      <c r="H399" s="13" t="n">
        <v>1</v>
      </c>
      <c r="I399" s="13" t="n">
        <v>0</v>
      </c>
      <c r="J399" s="13" t="n">
        <v>0</v>
      </c>
      <c r="K399" s="13" t="n">
        <v>0</v>
      </c>
      <c r="L399" s="17" t="n">
        <v>0</v>
      </c>
      <c r="M399" s="18" t="n">
        <f aca="false">IF(H399=0,"",I399/H399)</f>
        <v>0</v>
      </c>
    </row>
    <row r="400" customFormat="false" ht="15" hidden="false" customHeight="false" outlineLevel="0" collapsed="false">
      <c r="A400" s="13" t="s">
        <v>426</v>
      </c>
      <c r="B400" s="13" t="s">
        <v>176</v>
      </c>
      <c r="C400" s="13" t="n">
        <v>1</v>
      </c>
      <c r="D400" s="13" t="n">
        <v>0</v>
      </c>
      <c r="E400" s="13" t="n">
        <v>0</v>
      </c>
      <c r="F400" s="13" t="n">
        <v>0</v>
      </c>
      <c r="G400" s="17" t="n">
        <v>0</v>
      </c>
      <c r="H400" s="13" t="n">
        <v>1</v>
      </c>
      <c r="I400" s="13" t="n">
        <v>0</v>
      </c>
      <c r="J400" s="13" t="n">
        <v>0</v>
      </c>
      <c r="K400" s="13" t="n">
        <v>0</v>
      </c>
      <c r="L400" s="17" t="n">
        <v>0</v>
      </c>
      <c r="M400" s="18" t="n">
        <f aca="false">IF(H400=0,"",I400/H400)</f>
        <v>0</v>
      </c>
    </row>
    <row r="401" customFormat="false" ht="15" hidden="false" customHeight="false" outlineLevel="0" collapsed="false">
      <c r="A401" s="13" t="s">
        <v>127</v>
      </c>
      <c r="B401" s="13" t="s">
        <v>172</v>
      </c>
      <c r="C401" s="13" t="n">
        <v>62</v>
      </c>
      <c r="D401" s="13" t="n">
        <v>56</v>
      </c>
      <c r="E401" s="13" t="n">
        <v>2</v>
      </c>
      <c r="F401" s="13" t="n">
        <v>0</v>
      </c>
      <c r="G401" s="17" t="n">
        <v>0.0266016</v>
      </c>
      <c r="H401" s="13" t="n">
        <v>62</v>
      </c>
      <c r="I401" s="13" t="n">
        <v>56</v>
      </c>
      <c r="J401" s="13" t="n">
        <v>2</v>
      </c>
      <c r="K401" s="13" t="n">
        <v>0</v>
      </c>
      <c r="L401" s="17" t="n">
        <v>0.0266016</v>
      </c>
      <c r="M401" s="18" t="n">
        <f aca="false">IF(H401=0,"",I401/H401)</f>
        <v>0.903225806451613</v>
      </c>
    </row>
    <row r="402" customFormat="false" ht="15" hidden="false" customHeight="false" outlineLevel="0" collapsed="false">
      <c r="A402" s="13" t="s">
        <v>127</v>
      </c>
      <c r="B402" s="13" t="s">
        <v>176</v>
      </c>
      <c r="C402" s="13" t="n">
        <v>2</v>
      </c>
      <c r="D402" s="13" t="n">
        <v>0</v>
      </c>
      <c r="E402" s="13" t="n">
        <v>0</v>
      </c>
      <c r="F402" s="13" t="n">
        <v>0</v>
      </c>
      <c r="G402" s="17" t="n">
        <v>0</v>
      </c>
      <c r="H402" s="13" t="n">
        <v>2</v>
      </c>
      <c r="I402" s="13" t="n">
        <v>0</v>
      </c>
      <c r="J402" s="13" t="n">
        <v>0</v>
      </c>
      <c r="K402" s="13" t="n">
        <v>0</v>
      </c>
      <c r="L402" s="17" t="n">
        <v>0</v>
      </c>
      <c r="M402" s="18" t="n">
        <f aca="false">IF(H402=0,"",I402/H402)</f>
        <v>0</v>
      </c>
    </row>
    <row r="403" customFormat="false" ht="15" hidden="false" customHeight="false" outlineLevel="0" collapsed="false">
      <c r="A403" s="13" t="s">
        <v>427</v>
      </c>
      <c r="B403" s="13" t="s">
        <v>176</v>
      </c>
      <c r="C403" s="13" t="n">
        <v>1</v>
      </c>
      <c r="D403" s="13" t="n">
        <v>0</v>
      </c>
      <c r="E403" s="13" t="n">
        <v>0</v>
      </c>
      <c r="F403" s="13" t="n">
        <v>0</v>
      </c>
      <c r="G403" s="17" t="n">
        <v>0</v>
      </c>
      <c r="H403" s="13" t="n">
        <v>1</v>
      </c>
      <c r="I403" s="13" t="n">
        <v>0</v>
      </c>
      <c r="J403" s="13" t="n">
        <v>0</v>
      </c>
      <c r="K403" s="13" t="n">
        <v>0</v>
      </c>
      <c r="L403" s="17" t="n">
        <v>0</v>
      </c>
      <c r="M403" s="18" t="n">
        <f aca="false">IF(H403=0,"",I403/H403)</f>
        <v>0</v>
      </c>
    </row>
    <row r="404" customFormat="false" ht="15" hidden="false" customHeight="false" outlineLevel="0" collapsed="false">
      <c r="A404" s="13" t="s">
        <v>69</v>
      </c>
      <c r="B404" s="13" t="s">
        <v>169</v>
      </c>
      <c r="C404" s="13" t="n">
        <v>36</v>
      </c>
      <c r="D404" s="13" t="n">
        <v>0</v>
      </c>
      <c r="E404" s="13" t="n">
        <v>34</v>
      </c>
      <c r="F404" s="13" t="n">
        <v>72</v>
      </c>
      <c r="G404" s="17" t="n">
        <v>0</v>
      </c>
      <c r="H404" s="13" t="n">
        <v>112</v>
      </c>
      <c r="I404" s="13" t="n">
        <v>0</v>
      </c>
      <c r="J404" s="13" t="n">
        <v>34</v>
      </c>
      <c r="K404" s="13" t="n">
        <v>224</v>
      </c>
      <c r="L404" s="17" t="n">
        <v>0</v>
      </c>
      <c r="M404" s="18" t="n">
        <f aca="false">IF(H404=0,"",I404/H404)</f>
        <v>0</v>
      </c>
    </row>
    <row r="405" customFormat="false" ht="15" hidden="false" customHeight="false" outlineLevel="0" collapsed="false">
      <c r="A405" s="13" t="s">
        <v>69</v>
      </c>
      <c r="B405" s="13" t="s">
        <v>170</v>
      </c>
      <c r="C405" s="13" t="n">
        <v>35</v>
      </c>
      <c r="D405" s="13" t="n">
        <v>0</v>
      </c>
      <c r="E405" s="13" t="n">
        <v>2</v>
      </c>
      <c r="F405" s="13" t="n">
        <v>0</v>
      </c>
      <c r="G405" s="17" t="n">
        <v>0</v>
      </c>
      <c r="H405" s="13" t="n">
        <v>73</v>
      </c>
      <c r="I405" s="13" t="n">
        <v>2</v>
      </c>
      <c r="J405" s="13" t="n">
        <v>2</v>
      </c>
      <c r="K405" s="13" t="n">
        <v>0</v>
      </c>
      <c r="L405" s="17" t="n">
        <v>0</v>
      </c>
      <c r="M405" s="18" t="n">
        <f aca="false">IF(H405=0,"",I405/H405)</f>
        <v>0.0273972602739726</v>
      </c>
    </row>
    <row r="406" customFormat="false" ht="15" hidden="false" customHeight="false" outlineLevel="0" collapsed="false">
      <c r="A406" s="13" t="s">
        <v>69</v>
      </c>
      <c r="B406" s="13" t="s">
        <v>172</v>
      </c>
      <c r="C406" s="13" t="n">
        <v>48</v>
      </c>
      <c r="D406" s="13" t="n">
        <v>8</v>
      </c>
      <c r="E406" s="13" t="n">
        <v>37</v>
      </c>
      <c r="F406" s="13" t="n">
        <v>0</v>
      </c>
      <c r="G406" s="17" t="n">
        <v>0.0394430666666667</v>
      </c>
      <c r="H406" s="13" t="n">
        <v>96</v>
      </c>
      <c r="I406" s="13" t="n">
        <v>16</v>
      </c>
      <c r="J406" s="13" t="n">
        <v>76</v>
      </c>
      <c r="K406" s="13" t="n">
        <v>0</v>
      </c>
      <c r="L406" s="17" t="n">
        <v>0.049003580952381</v>
      </c>
      <c r="M406" s="18" t="n">
        <f aca="false">IF(H406=0,"",I406/H406)</f>
        <v>0.166666666666667</v>
      </c>
    </row>
    <row r="407" customFormat="false" ht="15" hidden="false" customHeight="false" outlineLevel="0" collapsed="false">
      <c r="A407" s="13" t="s">
        <v>69</v>
      </c>
      <c r="B407" s="13" t="s">
        <v>176</v>
      </c>
      <c r="C407" s="13" t="n">
        <v>26</v>
      </c>
      <c r="D407" s="13" t="n">
        <v>0</v>
      </c>
      <c r="E407" s="13" t="n">
        <v>0</v>
      </c>
      <c r="F407" s="13" t="n">
        <v>0</v>
      </c>
      <c r="G407" s="17" t="n">
        <v>0</v>
      </c>
      <c r="H407" s="13" t="n">
        <v>64</v>
      </c>
      <c r="I407" s="13" t="n">
        <v>0</v>
      </c>
      <c r="J407" s="13" t="n">
        <v>0</v>
      </c>
      <c r="K407" s="13" t="n">
        <v>0</v>
      </c>
      <c r="L407" s="17" t="n">
        <v>0</v>
      </c>
      <c r="M407" s="18" t="n">
        <f aca="false">IF(H407=0,"",I407/H407)</f>
        <v>0</v>
      </c>
    </row>
    <row r="408" customFormat="false" ht="15" hidden="false" customHeight="false" outlineLevel="0" collapsed="false">
      <c r="A408" s="13" t="s">
        <v>59</v>
      </c>
      <c r="B408" s="13" t="s">
        <v>169</v>
      </c>
      <c r="C408" s="13" t="n">
        <v>0</v>
      </c>
      <c r="D408" s="13" t="n">
        <v>0</v>
      </c>
      <c r="E408" s="13" t="n">
        <v>0</v>
      </c>
      <c r="F408" s="13" t="n">
        <v>0</v>
      </c>
      <c r="G408" s="17" t="n">
        <v>0</v>
      </c>
      <c r="H408" s="13" t="n">
        <v>56</v>
      </c>
      <c r="I408" s="13" t="n">
        <v>1</v>
      </c>
      <c r="J408" s="13" t="n">
        <v>51</v>
      </c>
      <c r="K408" s="13" t="n">
        <v>112</v>
      </c>
      <c r="L408" s="17" t="n">
        <v>0</v>
      </c>
      <c r="M408" s="18" t="n">
        <f aca="false">IF(H408=0,"",I408/H408)</f>
        <v>0.0178571428571429</v>
      </c>
    </row>
    <row r="409" customFormat="false" ht="15" hidden="false" customHeight="false" outlineLevel="0" collapsed="false">
      <c r="A409" s="13" t="s">
        <v>59</v>
      </c>
      <c r="B409" s="13" t="s">
        <v>170</v>
      </c>
      <c r="C409" s="13" t="n">
        <v>1</v>
      </c>
      <c r="D409" s="13" t="n">
        <v>0</v>
      </c>
      <c r="E409" s="13" t="n">
        <v>1</v>
      </c>
      <c r="F409" s="13" t="n">
        <v>0</v>
      </c>
      <c r="G409" s="17" t="n">
        <v>0</v>
      </c>
      <c r="H409" s="13" t="n">
        <v>55</v>
      </c>
      <c r="I409" s="13" t="n">
        <v>1</v>
      </c>
      <c r="J409" s="13" t="n">
        <v>4</v>
      </c>
      <c r="K409" s="13" t="n">
        <v>0</v>
      </c>
      <c r="L409" s="17" t="n">
        <v>0</v>
      </c>
      <c r="M409" s="18" t="n">
        <f aca="false">IF(H409=0,"",I409/H409)</f>
        <v>0.0181818181818182</v>
      </c>
    </row>
    <row r="410" customFormat="false" ht="15" hidden="false" customHeight="false" outlineLevel="0" collapsed="false">
      <c r="A410" s="13" t="s">
        <v>59</v>
      </c>
      <c r="B410" s="13" t="s">
        <v>171</v>
      </c>
      <c r="C410" s="13" t="n">
        <v>51</v>
      </c>
      <c r="D410" s="13" t="n">
        <v>0</v>
      </c>
      <c r="E410" s="13" t="n">
        <v>51</v>
      </c>
      <c r="F410" s="13" t="n">
        <v>0</v>
      </c>
      <c r="G410" s="17" t="n">
        <v>0.00430464</v>
      </c>
      <c r="H410" s="13" t="n">
        <v>51</v>
      </c>
      <c r="I410" s="13" t="n">
        <v>0</v>
      </c>
      <c r="J410" s="13" t="n">
        <v>51</v>
      </c>
      <c r="K410" s="13" t="n">
        <v>0</v>
      </c>
      <c r="L410" s="17" t="n">
        <v>0.00430464</v>
      </c>
      <c r="M410" s="18" t="n">
        <f aca="false">IF(H410=0,"",I410/H410)</f>
        <v>0</v>
      </c>
    </row>
    <row r="411" customFormat="false" ht="15" hidden="false" customHeight="false" outlineLevel="0" collapsed="false">
      <c r="A411" s="13" t="s">
        <v>59</v>
      </c>
      <c r="B411" s="13" t="s">
        <v>172</v>
      </c>
      <c r="C411" s="13" t="n">
        <v>0</v>
      </c>
      <c r="D411" s="13" t="n">
        <v>0</v>
      </c>
      <c r="E411" s="13" t="n">
        <v>0</v>
      </c>
      <c r="F411" s="13" t="n">
        <v>0</v>
      </c>
      <c r="G411" s="17" t="n">
        <v>0</v>
      </c>
      <c r="H411" s="13" t="n">
        <v>100</v>
      </c>
      <c r="I411" s="13" t="n">
        <v>13</v>
      </c>
      <c r="J411" s="13" t="n">
        <v>84</v>
      </c>
      <c r="K411" s="13" t="n">
        <v>0</v>
      </c>
      <c r="L411" s="17" t="n">
        <v>0.0619688</v>
      </c>
      <c r="M411" s="18" t="n">
        <f aca="false">IF(H411=0,"",I411/H411)</f>
        <v>0.13</v>
      </c>
    </row>
    <row r="412" customFormat="false" ht="15" hidden="false" customHeight="false" outlineLevel="0" collapsed="false">
      <c r="A412" s="13" t="s">
        <v>59</v>
      </c>
      <c r="B412" s="13" t="s">
        <v>175</v>
      </c>
      <c r="C412" s="13" t="n">
        <v>0</v>
      </c>
      <c r="D412" s="13" t="n">
        <v>0</v>
      </c>
      <c r="E412" s="13" t="n">
        <v>0</v>
      </c>
      <c r="F412" s="13" t="n">
        <v>0</v>
      </c>
      <c r="G412" s="17" t="n">
        <v>0</v>
      </c>
      <c r="H412" s="13" t="n">
        <v>1</v>
      </c>
      <c r="I412" s="13" t="n">
        <v>0</v>
      </c>
      <c r="J412" s="13" t="n">
        <v>0</v>
      </c>
      <c r="K412" s="13" t="n">
        <v>1</v>
      </c>
      <c r="L412" s="17" t="n">
        <v>0</v>
      </c>
      <c r="M412" s="18" t="n">
        <f aca="false">IF(H412=0,"",I412/H412)</f>
        <v>0</v>
      </c>
    </row>
    <row r="413" customFormat="false" ht="15" hidden="false" customHeight="false" outlineLevel="0" collapsed="false">
      <c r="A413" s="13" t="s">
        <v>59</v>
      </c>
      <c r="B413" s="13" t="s">
        <v>176</v>
      </c>
      <c r="C413" s="13" t="n">
        <v>0</v>
      </c>
      <c r="D413" s="13" t="n">
        <v>0</v>
      </c>
      <c r="E413" s="13" t="n">
        <v>0</v>
      </c>
      <c r="F413" s="13" t="n">
        <v>0</v>
      </c>
      <c r="G413" s="17" t="n">
        <v>0</v>
      </c>
      <c r="H413" s="13" t="n">
        <v>83</v>
      </c>
      <c r="I413" s="13" t="n">
        <v>0</v>
      </c>
      <c r="J413" s="13" t="n">
        <v>0</v>
      </c>
      <c r="K413" s="13" t="n">
        <v>0</v>
      </c>
      <c r="L413" s="17" t="n">
        <v>0</v>
      </c>
      <c r="M413" s="18" t="n">
        <f aca="false">IF(H413=0,"",I413/H413)</f>
        <v>0</v>
      </c>
    </row>
    <row r="414" customFormat="false" ht="15" hidden="false" customHeight="false" outlineLevel="0" collapsed="false">
      <c r="A414" s="13" t="s">
        <v>428</v>
      </c>
      <c r="B414" s="13" t="s">
        <v>176</v>
      </c>
      <c r="C414" s="13" t="n">
        <v>1</v>
      </c>
      <c r="D414" s="13" t="n">
        <v>0</v>
      </c>
      <c r="E414" s="13" t="n">
        <v>0</v>
      </c>
      <c r="F414" s="13" t="n">
        <v>0</v>
      </c>
      <c r="G414" s="17" t="n">
        <v>0</v>
      </c>
      <c r="H414" s="13" t="n">
        <v>1</v>
      </c>
      <c r="I414" s="13" t="n">
        <v>0</v>
      </c>
      <c r="J414" s="13" t="n">
        <v>0</v>
      </c>
      <c r="K414" s="13" t="n">
        <v>0</v>
      </c>
      <c r="L414" s="17" t="n">
        <v>0</v>
      </c>
      <c r="M414" s="18" t="n">
        <f aca="false">IF(H414=0,"",I414/H414)</f>
        <v>0</v>
      </c>
    </row>
    <row r="415" customFormat="false" ht="15" hidden="false" customHeight="false" outlineLevel="0" collapsed="false">
      <c r="A415" s="13" t="s">
        <v>429</v>
      </c>
      <c r="B415" s="13" t="s">
        <v>176</v>
      </c>
      <c r="C415" s="13" t="n">
        <v>1</v>
      </c>
      <c r="D415" s="13" t="n">
        <v>0</v>
      </c>
      <c r="E415" s="13" t="n">
        <v>0</v>
      </c>
      <c r="F415" s="13" t="n">
        <v>0</v>
      </c>
      <c r="G415" s="17" t="n">
        <v>0</v>
      </c>
      <c r="H415" s="13" t="n">
        <v>2</v>
      </c>
      <c r="I415" s="13" t="n">
        <v>0</v>
      </c>
      <c r="J415" s="13" t="n">
        <v>0</v>
      </c>
      <c r="K415" s="13" t="n">
        <v>0</v>
      </c>
      <c r="L415" s="17" t="n">
        <v>0</v>
      </c>
      <c r="M415" s="18" t="n">
        <f aca="false">IF(H415=0,"",I415/H415)</f>
        <v>0</v>
      </c>
    </row>
    <row r="416" customFormat="false" ht="15" hidden="false" customHeight="false" outlineLevel="0" collapsed="false">
      <c r="A416" s="13" t="s">
        <v>430</v>
      </c>
      <c r="B416" s="13" t="s">
        <v>176</v>
      </c>
      <c r="C416" s="13" t="n">
        <v>1</v>
      </c>
      <c r="D416" s="13" t="n">
        <v>0</v>
      </c>
      <c r="E416" s="13" t="n">
        <v>0</v>
      </c>
      <c r="F416" s="13" t="n">
        <v>0</v>
      </c>
      <c r="G416" s="17" t="n">
        <v>0</v>
      </c>
      <c r="H416" s="13" t="n">
        <v>1</v>
      </c>
      <c r="I416" s="13" t="n">
        <v>0</v>
      </c>
      <c r="J416" s="13" t="n">
        <v>0</v>
      </c>
      <c r="K416" s="13" t="n">
        <v>0</v>
      </c>
      <c r="L416" s="17" t="n">
        <v>0</v>
      </c>
      <c r="M416" s="18" t="n">
        <f aca="false">IF(H416=0,"",I416/H416)</f>
        <v>0</v>
      </c>
    </row>
    <row r="417" customFormat="false" ht="15" hidden="false" customHeight="false" outlineLevel="0" collapsed="false">
      <c r="A417" s="13" t="s">
        <v>431</v>
      </c>
      <c r="B417" s="13" t="s">
        <v>176</v>
      </c>
      <c r="C417" s="13" t="n">
        <v>1</v>
      </c>
      <c r="D417" s="13" t="n">
        <v>0</v>
      </c>
      <c r="E417" s="13" t="n">
        <v>0</v>
      </c>
      <c r="F417" s="13" t="n">
        <v>0</v>
      </c>
      <c r="G417" s="17" t="n">
        <v>0</v>
      </c>
      <c r="H417" s="13" t="n">
        <v>2</v>
      </c>
      <c r="I417" s="13" t="n">
        <v>0</v>
      </c>
      <c r="J417" s="13" t="n">
        <v>0</v>
      </c>
      <c r="K417" s="13" t="n">
        <v>0</v>
      </c>
      <c r="L417" s="17" t="n">
        <v>0</v>
      </c>
      <c r="M417" s="18" t="n">
        <f aca="false">IF(H417=0,"",I417/H417)</f>
        <v>0</v>
      </c>
    </row>
    <row r="418" customFormat="false" ht="15" hidden="false" customHeight="false" outlineLevel="0" collapsed="false">
      <c r="A418" s="13" t="s">
        <v>432</v>
      </c>
      <c r="B418" s="13" t="s">
        <v>176</v>
      </c>
      <c r="C418" s="13" t="n">
        <v>1</v>
      </c>
      <c r="D418" s="13" t="n">
        <v>0</v>
      </c>
      <c r="E418" s="13" t="n">
        <v>0</v>
      </c>
      <c r="F418" s="13" t="n">
        <v>0</v>
      </c>
      <c r="G418" s="17" t="n">
        <v>0</v>
      </c>
      <c r="H418" s="13" t="n">
        <v>1</v>
      </c>
      <c r="I418" s="13" t="n">
        <v>0</v>
      </c>
      <c r="J418" s="13" t="n">
        <v>0</v>
      </c>
      <c r="K418" s="13" t="n">
        <v>0</v>
      </c>
      <c r="L418" s="17" t="n">
        <v>0</v>
      </c>
      <c r="M418" s="18" t="n">
        <f aca="false">IF(H418=0,"",I418/H418)</f>
        <v>0</v>
      </c>
    </row>
    <row r="419" customFormat="false" ht="15" hidden="false" customHeight="false" outlineLevel="0" collapsed="false">
      <c r="A419" s="13" t="s">
        <v>433</v>
      </c>
      <c r="B419" s="13" t="s">
        <v>176</v>
      </c>
      <c r="C419" s="13" t="n">
        <v>1</v>
      </c>
      <c r="D419" s="13" t="n">
        <v>0</v>
      </c>
      <c r="E419" s="13" t="n">
        <v>0</v>
      </c>
      <c r="F419" s="13" t="n">
        <v>0</v>
      </c>
      <c r="G419" s="17" t="n">
        <v>0</v>
      </c>
      <c r="H419" s="13" t="n">
        <v>1</v>
      </c>
      <c r="I419" s="13" t="n">
        <v>0</v>
      </c>
      <c r="J419" s="13" t="n">
        <v>0</v>
      </c>
      <c r="K419" s="13" t="n">
        <v>0</v>
      </c>
      <c r="L419" s="17" t="n">
        <v>0</v>
      </c>
      <c r="M419" s="18" t="n">
        <f aca="false">IF(H419=0,"",I419/H419)</f>
        <v>0</v>
      </c>
    </row>
    <row r="420" customFormat="false" ht="15" hidden="false" customHeight="false" outlineLevel="0" collapsed="false">
      <c r="A420" s="13" t="s">
        <v>434</v>
      </c>
      <c r="B420" s="13" t="s">
        <v>176</v>
      </c>
      <c r="C420" s="13" t="n">
        <v>1</v>
      </c>
      <c r="D420" s="13" t="n">
        <v>0</v>
      </c>
      <c r="E420" s="13" t="n">
        <v>0</v>
      </c>
      <c r="F420" s="13" t="n">
        <v>0</v>
      </c>
      <c r="G420" s="17" t="n">
        <v>0</v>
      </c>
      <c r="H420" s="13" t="n">
        <v>1</v>
      </c>
      <c r="I420" s="13" t="n">
        <v>0</v>
      </c>
      <c r="J420" s="13" t="n">
        <v>0</v>
      </c>
      <c r="K420" s="13" t="n">
        <v>0</v>
      </c>
      <c r="L420" s="17" t="n">
        <v>0</v>
      </c>
      <c r="M420" s="18" t="n">
        <f aca="false">IF(H420=0,"",I420/H420)</f>
        <v>0</v>
      </c>
    </row>
    <row r="421" customFormat="false" ht="15" hidden="false" customHeight="false" outlineLevel="0" collapsed="false">
      <c r="A421" s="13" t="s">
        <v>435</v>
      </c>
      <c r="B421" s="13" t="s">
        <v>176</v>
      </c>
      <c r="C421" s="13" t="n">
        <v>0</v>
      </c>
      <c r="D421" s="13" t="n">
        <v>0</v>
      </c>
      <c r="E421" s="13" t="n">
        <v>0</v>
      </c>
      <c r="F421" s="13" t="n">
        <v>0</v>
      </c>
      <c r="G421" s="17" t="n">
        <v>0</v>
      </c>
      <c r="H421" s="13" t="n">
        <v>1</v>
      </c>
      <c r="I421" s="13" t="n">
        <v>0</v>
      </c>
      <c r="J421" s="13" t="n">
        <v>0</v>
      </c>
      <c r="K421" s="13" t="n">
        <v>0</v>
      </c>
      <c r="L421" s="17" t="n">
        <v>0</v>
      </c>
      <c r="M421" s="18" t="n">
        <f aca="false">IF(H421=0,"",I421/H421)</f>
        <v>0</v>
      </c>
    </row>
    <row r="422" customFormat="false" ht="15" hidden="false" customHeight="false" outlineLevel="0" collapsed="false">
      <c r="A422" s="13" t="s">
        <v>436</v>
      </c>
      <c r="B422" s="13" t="s">
        <v>176</v>
      </c>
      <c r="C422" s="13" t="n">
        <v>1</v>
      </c>
      <c r="D422" s="13" t="n">
        <v>0</v>
      </c>
      <c r="E422" s="13" t="n">
        <v>0</v>
      </c>
      <c r="F422" s="13" t="n">
        <v>0</v>
      </c>
      <c r="G422" s="17" t="n">
        <v>0</v>
      </c>
      <c r="H422" s="13" t="n">
        <v>1</v>
      </c>
      <c r="I422" s="13" t="n">
        <v>0</v>
      </c>
      <c r="J422" s="13" t="n">
        <v>0</v>
      </c>
      <c r="K422" s="13" t="n">
        <v>0</v>
      </c>
      <c r="L422" s="17" t="n">
        <v>0</v>
      </c>
      <c r="M422" s="18" t="n">
        <f aca="false">IF(H422=0,"",I422/H422)</f>
        <v>0</v>
      </c>
    </row>
    <row r="423" customFormat="false" ht="15" hidden="false" customHeight="false" outlineLevel="0" collapsed="false">
      <c r="A423" s="13" t="s">
        <v>437</v>
      </c>
      <c r="B423" s="13" t="s">
        <v>176</v>
      </c>
      <c r="C423" s="13" t="n">
        <v>1</v>
      </c>
      <c r="D423" s="13" t="n">
        <v>0</v>
      </c>
      <c r="E423" s="13" t="n">
        <v>0</v>
      </c>
      <c r="F423" s="13" t="n">
        <v>0</v>
      </c>
      <c r="G423" s="17" t="n">
        <v>0</v>
      </c>
      <c r="H423" s="13" t="n">
        <v>2</v>
      </c>
      <c r="I423" s="13" t="n">
        <v>0</v>
      </c>
      <c r="J423" s="13" t="n">
        <v>0</v>
      </c>
      <c r="K423" s="13" t="n">
        <v>0</v>
      </c>
      <c r="L423" s="17" t="n">
        <v>0</v>
      </c>
      <c r="M423" s="18" t="n">
        <f aca="false">IF(H423=0,"",I423/H423)</f>
        <v>0</v>
      </c>
    </row>
    <row r="424" customFormat="false" ht="15" hidden="false" customHeight="false" outlineLevel="0" collapsed="false">
      <c r="A424" s="13" t="s">
        <v>438</v>
      </c>
      <c r="B424" s="13" t="s">
        <v>176</v>
      </c>
      <c r="C424" s="13" t="n">
        <v>1</v>
      </c>
      <c r="D424" s="13" t="n">
        <v>0</v>
      </c>
      <c r="E424" s="13" t="n">
        <v>0</v>
      </c>
      <c r="F424" s="13" t="n">
        <v>0</v>
      </c>
      <c r="G424" s="17" t="n">
        <v>0</v>
      </c>
      <c r="H424" s="13" t="n">
        <v>2</v>
      </c>
      <c r="I424" s="13" t="n">
        <v>0</v>
      </c>
      <c r="J424" s="13" t="n">
        <v>0</v>
      </c>
      <c r="K424" s="13" t="n">
        <v>0</v>
      </c>
      <c r="L424" s="17" t="n">
        <v>0</v>
      </c>
      <c r="M424" s="18" t="n">
        <f aca="false">IF(H424=0,"",I424/H424)</f>
        <v>0</v>
      </c>
    </row>
    <row r="425" customFormat="false" ht="15" hidden="false" customHeight="false" outlineLevel="0" collapsed="false">
      <c r="A425" s="13" t="s">
        <v>439</v>
      </c>
      <c r="B425" s="13" t="s">
        <v>176</v>
      </c>
      <c r="C425" s="13" t="n">
        <v>1</v>
      </c>
      <c r="D425" s="13" t="n">
        <v>0</v>
      </c>
      <c r="E425" s="13" t="n">
        <v>0</v>
      </c>
      <c r="F425" s="13" t="n">
        <v>0</v>
      </c>
      <c r="G425" s="17" t="n">
        <v>0</v>
      </c>
      <c r="H425" s="13" t="n">
        <v>1</v>
      </c>
      <c r="I425" s="13" t="n">
        <v>0</v>
      </c>
      <c r="J425" s="13" t="n">
        <v>0</v>
      </c>
      <c r="K425" s="13" t="n">
        <v>0</v>
      </c>
      <c r="L425" s="17" t="n">
        <v>0</v>
      </c>
      <c r="M425" s="18" t="n">
        <f aca="false">IF(H425=0,"",I425/H425)</f>
        <v>0</v>
      </c>
    </row>
    <row r="426" customFormat="false" ht="15" hidden="false" customHeight="false" outlineLevel="0" collapsed="false">
      <c r="A426" s="13" t="s">
        <v>440</v>
      </c>
      <c r="B426" s="13" t="s">
        <v>176</v>
      </c>
      <c r="C426" s="13" t="n">
        <v>1</v>
      </c>
      <c r="D426" s="13" t="n">
        <v>0</v>
      </c>
      <c r="E426" s="13" t="n">
        <v>0</v>
      </c>
      <c r="F426" s="13" t="n">
        <v>0</v>
      </c>
      <c r="G426" s="17" t="n">
        <v>0</v>
      </c>
      <c r="H426" s="13" t="n">
        <v>2</v>
      </c>
      <c r="I426" s="13" t="n">
        <v>0</v>
      </c>
      <c r="J426" s="13" t="n">
        <v>0</v>
      </c>
      <c r="K426" s="13" t="n">
        <v>0</v>
      </c>
      <c r="L426" s="17" t="n">
        <v>0</v>
      </c>
      <c r="M426" s="18" t="n">
        <f aca="false">IF(H426=0,"",I426/H426)</f>
        <v>0</v>
      </c>
    </row>
    <row r="427" customFormat="false" ht="15" hidden="false" customHeight="false" outlineLevel="0" collapsed="false">
      <c r="A427" s="13" t="s">
        <v>115</v>
      </c>
      <c r="B427" s="13" t="s">
        <v>169</v>
      </c>
      <c r="C427" s="13" t="n">
        <v>22</v>
      </c>
      <c r="D427" s="13" t="n">
        <v>0</v>
      </c>
      <c r="E427" s="13" t="n">
        <v>12</v>
      </c>
      <c r="F427" s="13" t="n">
        <v>44</v>
      </c>
      <c r="G427" s="17" t="n">
        <v>0</v>
      </c>
      <c r="H427" s="13" t="n">
        <v>22</v>
      </c>
      <c r="I427" s="13" t="n">
        <v>0</v>
      </c>
      <c r="J427" s="13" t="n">
        <v>12</v>
      </c>
      <c r="K427" s="13" t="n">
        <v>44</v>
      </c>
      <c r="L427" s="17" t="n">
        <v>0</v>
      </c>
      <c r="M427" s="18" t="n">
        <f aca="false">IF(H427=0,"",I427/H427)</f>
        <v>0</v>
      </c>
    </row>
    <row r="428" customFormat="false" ht="15" hidden="false" customHeight="false" outlineLevel="0" collapsed="false">
      <c r="A428" s="13" t="s">
        <v>115</v>
      </c>
      <c r="B428" s="13" t="s">
        <v>170</v>
      </c>
      <c r="C428" s="13" t="n">
        <v>8</v>
      </c>
      <c r="D428" s="13" t="n">
        <v>0</v>
      </c>
      <c r="E428" s="13" t="n">
        <v>1</v>
      </c>
      <c r="F428" s="13" t="n">
        <v>0</v>
      </c>
      <c r="G428" s="17" t="n">
        <v>0</v>
      </c>
      <c r="H428" s="13" t="n">
        <v>8</v>
      </c>
      <c r="I428" s="13" t="n">
        <v>0</v>
      </c>
      <c r="J428" s="13" t="n">
        <v>1</v>
      </c>
      <c r="K428" s="13" t="n">
        <v>0</v>
      </c>
      <c r="L428" s="17" t="n">
        <v>0</v>
      </c>
      <c r="M428" s="18" t="n">
        <f aca="false">IF(H428=0,"",I428/H428)</f>
        <v>0</v>
      </c>
    </row>
    <row r="429" customFormat="false" ht="15" hidden="false" customHeight="false" outlineLevel="0" collapsed="false">
      <c r="A429" s="13" t="s">
        <v>115</v>
      </c>
      <c r="B429" s="13" t="s">
        <v>172</v>
      </c>
      <c r="C429" s="13" t="n">
        <v>18</v>
      </c>
      <c r="D429" s="13" t="n">
        <v>1</v>
      </c>
      <c r="E429" s="13" t="n">
        <v>17</v>
      </c>
      <c r="F429" s="13" t="n">
        <v>0</v>
      </c>
      <c r="G429" s="17" t="n">
        <v>0.0217232</v>
      </c>
      <c r="H429" s="13" t="n">
        <v>18</v>
      </c>
      <c r="I429" s="13" t="n">
        <v>1</v>
      </c>
      <c r="J429" s="13" t="n">
        <v>17</v>
      </c>
      <c r="K429" s="13" t="n">
        <v>0</v>
      </c>
      <c r="L429" s="17" t="n">
        <v>0.0217232</v>
      </c>
      <c r="M429" s="18" t="n">
        <f aca="false">IF(H429=0,"",I429/H429)</f>
        <v>0.0555555555555556</v>
      </c>
    </row>
    <row r="430" customFormat="false" ht="15" hidden="false" customHeight="false" outlineLevel="0" collapsed="false">
      <c r="A430" s="13" t="s">
        <v>115</v>
      </c>
      <c r="B430" s="13" t="s">
        <v>176</v>
      </c>
      <c r="C430" s="13" t="n">
        <v>15</v>
      </c>
      <c r="D430" s="13" t="n">
        <v>0</v>
      </c>
      <c r="E430" s="13" t="n">
        <v>0</v>
      </c>
      <c r="F430" s="13" t="n">
        <v>0</v>
      </c>
      <c r="G430" s="17" t="n">
        <v>0</v>
      </c>
      <c r="H430" s="13" t="n">
        <v>15</v>
      </c>
      <c r="I430" s="13" t="n">
        <v>0</v>
      </c>
      <c r="J430" s="13" t="n">
        <v>0</v>
      </c>
      <c r="K430" s="13" t="n">
        <v>0</v>
      </c>
      <c r="L430" s="17" t="n">
        <v>0</v>
      </c>
      <c r="M430" s="18" t="n">
        <f aca="false">IF(H430=0,"",I430/H430)</f>
        <v>0</v>
      </c>
    </row>
    <row r="431" customFormat="false" ht="15" hidden="false" customHeight="false" outlineLevel="0" collapsed="false">
      <c r="A431" s="13" t="s">
        <v>441</v>
      </c>
      <c r="B431" s="13" t="s">
        <v>176</v>
      </c>
      <c r="C431" s="13" t="n">
        <v>1</v>
      </c>
      <c r="D431" s="13" t="n">
        <v>0</v>
      </c>
      <c r="E431" s="13" t="n">
        <v>0</v>
      </c>
      <c r="F431" s="13" t="n">
        <v>0</v>
      </c>
      <c r="G431" s="17" t="n">
        <v>0</v>
      </c>
      <c r="H431" s="13" t="n">
        <v>1</v>
      </c>
      <c r="I431" s="13" t="n">
        <v>0</v>
      </c>
      <c r="J431" s="13" t="n">
        <v>0</v>
      </c>
      <c r="K431" s="13" t="n">
        <v>0</v>
      </c>
      <c r="L431" s="17" t="n">
        <v>0</v>
      </c>
      <c r="M431" s="18" t="n">
        <f aca="false">IF(H431=0,"",I431/H431)</f>
        <v>0</v>
      </c>
    </row>
    <row r="432" customFormat="false" ht="15" hidden="false" customHeight="false" outlineLevel="0" collapsed="false">
      <c r="A432" s="13" t="s">
        <v>442</v>
      </c>
      <c r="B432" s="13" t="s">
        <v>176</v>
      </c>
      <c r="C432" s="13" t="n">
        <v>1</v>
      </c>
      <c r="D432" s="13" t="n">
        <v>0</v>
      </c>
      <c r="E432" s="13" t="n">
        <v>0</v>
      </c>
      <c r="F432" s="13" t="n">
        <v>0</v>
      </c>
      <c r="G432" s="17" t="n">
        <v>0</v>
      </c>
      <c r="H432" s="13" t="n">
        <v>1</v>
      </c>
      <c r="I432" s="13" t="n">
        <v>0</v>
      </c>
      <c r="J432" s="13" t="n">
        <v>0</v>
      </c>
      <c r="K432" s="13" t="n">
        <v>0</v>
      </c>
      <c r="L432" s="17" t="n">
        <v>0</v>
      </c>
      <c r="M432" s="18" t="n">
        <f aca="false">IF(H432=0,"",I432/H432)</f>
        <v>0</v>
      </c>
    </row>
    <row r="433" customFormat="false" ht="15" hidden="false" customHeight="false" outlineLevel="0" collapsed="false">
      <c r="A433" s="13" t="s">
        <v>443</v>
      </c>
      <c r="B433" s="13" t="s">
        <v>176</v>
      </c>
      <c r="C433" s="13" t="n">
        <v>1</v>
      </c>
      <c r="D433" s="13" t="n">
        <v>0</v>
      </c>
      <c r="E433" s="13" t="n">
        <v>0</v>
      </c>
      <c r="F433" s="13" t="n">
        <v>0</v>
      </c>
      <c r="G433" s="17" t="n">
        <v>0</v>
      </c>
      <c r="H433" s="13" t="n">
        <v>1</v>
      </c>
      <c r="I433" s="13" t="n">
        <v>0</v>
      </c>
      <c r="J433" s="13" t="n">
        <v>0</v>
      </c>
      <c r="K433" s="13" t="n">
        <v>0</v>
      </c>
      <c r="L433" s="17" t="n">
        <v>0</v>
      </c>
      <c r="M433" s="18" t="n">
        <f aca="false">IF(H433=0,"",I433/H433)</f>
        <v>0</v>
      </c>
    </row>
    <row r="434" customFormat="false" ht="15" hidden="false" customHeight="false" outlineLevel="0" collapsed="false">
      <c r="A434" s="13" t="s">
        <v>444</v>
      </c>
      <c r="B434" s="13" t="s">
        <v>176</v>
      </c>
      <c r="C434" s="13" t="n">
        <v>1</v>
      </c>
      <c r="D434" s="13" t="n">
        <v>0</v>
      </c>
      <c r="E434" s="13" t="n">
        <v>0</v>
      </c>
      <c r="F434" s="13" t="n">
        <v>0</v>
      </c>
      <c r="G434" s="17" t="n">
        <v>0</v>
      </c>
      <c r="H434" s="13" t="n">
        <v>1</v>
      </c>
      <c r="I434" s="13" t="n">
        <v>0</v>
      </c>
      <c r="J434" s="13" t="n">
        <v>0</v>
      </c>
      <c r="K434" s="13" t="n">
        <v>0</v>
      </c>
      <c r="L434" s="17" t="n">
        <v>0</v>
      </c>
      <c r="M434" s="18" t="n">
        <f aca="false">IF(H434=0,"",I434/H434)</f>
        <v>0</v>
      </c>
    </row>
    <row r="435" customFormat="false" ht="15" hidden="false" customHeight="false" outlineLevel="0" collapsed="false">
      <c r="A435" s="13" t="s">
        <v>77</v>
      </c>
      <c r="B435" s="13" t="s">
        <v>169</v>
      </c>
      <c r="C435" s="13" t="n">
        <v>28</v>
      </c>
      <c r="D435" s="13" t="n">
        <v>0</v>
      </c>
      <c r="E435" s="13" t="n">
        <v>23</v>
      </c>
      <c r="F435" s="13" t="n">
        <v>56</v>
      </c>
      <c r="G435" s="17" t="n">
        <v>0</v>
      </c>
      <c r="H435" s="13" t="n">
        <v>28</v>
      </c>
      <c r="I435" s="13" t="n">
        <v>0</v>
      </c>
      <c r="J435" s="13" t="n">
        <v>23</v>
      </c>
      <c r="K435" s="13" t="n">
        <v>56</v>
      </c>
      <c r="L435" s="17" t="n">
        <v>0</v>
      </c>
      <c r="M435" s="18" t="n">
        <f aca="false">IF(H435=0,"",I435/H435)</f>
        <v>0</v>
      </c>
    </row>
    <row r="436" customFormat="false" ht="15" hidden="false" customHeight="false" outlineLevel="0" collapsed="false">
      <c r="A436" s="13" t="s">
        <v>77</v>
      </c>
      <c r="B436" s="13" t="s">
        <v>170</v>
      </c>
      <c r="C436" s="13" t="n">
        <v>28</v>
      </c>
      <c r="D436" s="13" t="n">
        <v>0</v>
      </c>
      <c r="E436" s="13" t="n">
        <v>5</v>
      </c>
      <c r="F436" s="13" t="n">
        <v>0</v>
      </c>
      <c r="G436" s="17" t="n">
        <v>0</v>
      </c>
      <c r="H436" s="13" t="n">
        <v>28</v>
      </c>
      <c r="I436" s="13" t="n">
        <v>0</v>
      </c>
      <c r="J436" s="13" t="n">
        <v>5</v>
      </c>
      <c r="K436" s="13" t="n">
        <v>0</v>
      </c>
      <c r="L436" s="17" t="n">
        <v>0</v>
      </c>
      <c r="M436" s="18" t="n">
        <f aca="false">IF(H436=0,"",I436/H436)</f>
        <v>0</v>
      </c>
    </row>
    <row r="437" customFormat="false" ht="15" hidden="false" customHeight="false" outlineLevel="0" collapsed="false">
      <c r="A437" s="13" t="s">
        <v>77</v>
      </c>
      <c r="B437" s="13" t="s">
        <v>172</v>
      </c>
      <c r="C437" s="13" t="n">
        <v>44</v>
      </c>
      <c r="D437" s="13" t="n">
        <v>17</v>
      </c>
      <c r="E437" s="13" t="n">
        <v>27</v>
      </c>
      <c r="F437" s="13" t="n">
        <v>0</v>
      </c>
      <c r="G437" s="17" t="n">
        <v>0.0353926666666667</v>
      </c>
      <c r="H437" s="13" t="n">
        <v>44</v>
      </c>
      <c r="I437" s="13" t="n">
        <v>17</v>
      </c>
      <c r="J437" s="13" t="n">
        <v>27</v>
      </c>
      <c r="K437" s="13" t="n">
        <v>0</v>
      </c>
      <c r="L437" s="17" t="n">
        <v>0.0353926666666667</v>
      </c>
      <c r="M437" s="18" t="n">
        <f aca="false">IF(H437=0,"",I437/H437)</f>
        <v>0.386363636363636</v>
      </c>
    </row>
    <row r="438" customFormat="false" ht="15" hidden="false" customHeight="false" outlineLevel="0" collapsed="false">
      <c r="A438" s="13" t="s">
        <v>77</v>
      </c>
      <c r="B438" s="13" t="s">
        <v>176</v>
      </c>
      <c r="C438" s="13" t="n">
        <v>24</v>
      </c>
      <c r="D438" s="13" t="n">
        <v>0</v>
      </c>
      <c r="E438" s="13" t="n">
        <v>0</v>
      </c>
      <c r="F438" s="13" t="n">
        <v>0</v>
      </c>
      <c r="G438" s="17" t="n">
        <v>0</v>
      </c>
      <c r="H438" s="13" t="n">
        <v>24</v>
      </c>
      <c r="I438" s="13" t="n">
        <v>0</v>
      </c>
      <c r="J438" s="13" t="n">
        <v>0</v>
      </c>
      <c r="K438" s="13" t="n">
        <v>0</v>
      </c>
      <c r="L438" s="17" t="n">
        <v>0</v>
      </c>
      <c r="M438" s="18" t="n">
        <f aca="false">IF(H438=0,"",I438/H438)</f>
        <v>0</v>
      </c>
    </row>
    <row r="439" customFormat="false" ht="15" hidden="false" customHeight="false" outlineLevel="0" collapsed="false">
      <c r="A439" s="13" t="s">
        <v>445</v>
      </c>
      <c r="B439" s="13" t="s">
        <v>176</v>
      </c>
      <c r="C439" s="13" t="n">
        <v>1</v>
      </c>
      <c r="D439" s="13" t="n">
        <v>0</v>
      </c>
      <c r="E439" s="13" t="n">
        <v>0</v>
      </c>
      <c r="F439" s="13" t="n">
        <v>0</v>
      </c>
      <c r="G439" s="17" t="n">
        <v>0</v>
      </c>
      <c r="H439" s="13" t="n">
        <v>1</v>
      </c>
      <c r="I439" s="13" t="n">
        <v>0</v>
      </c>
      <c r="J439" s="13" t="n">
        <v>0</v>
      </c>
      <c r="K439" s="13" t="n">
        <v>0</v>
      </c>
      <c r="L439" s="17" t="n">
        <v>0</v>
      </c>
      <c r="M439" s="18" t="n">
        <f aca="false">IF(H439=0,"",I439/H439)</f>
        <v>0</v>
      </c>
    </row>
    <row r="440" customFormat="false" ht="15" hidden="false" customHeight="false" outlineLevel="0" collapsed="false">
      <c r="A440" s="13" t="s">
        <v>446</v>
      </c>
      <c r="B440" s="13" t="s">
        <v>176</v>
      </c>
      <c r="C440" s="13" t="n">
        <v>1</v>
      </c>
      <c r="D440" s="13" t="n">
        <v>0</v>
      </c>
      <c r="E440" s="13" t="n">
        <v>0</v>
      </c>
      <c r="F440" s="13" t="n">
        <v>0</v>
      </c>
      <c r="G440" s="17" t="n">
        <v>0</v>
      </c>
      <c r="H440" s="13" t="n">
        <v>1</v>
      </c>
      <c r="I440" s="13" t="n">
        <v>0</v>
      </c>
      <c r="J440" s="13" t="n">
        <v>0</v>
      </c>
      <c r="K440" s="13" t="n">
        <v>0</v>
      </c>
      <c r="L440" s="17" t="n">
        <v>0</v>
      </c>
      <c r="M440" s="18" t="n">
        <f aca="false">IF(H440=0,"",I440/H440)</f>
        <v>0</v>
      </c>
    </row>
    <row r="441" customFormat="false" ht="15" hidden="false" customHeight="false" outlineLevel="0" collapsed="false">
      <c r="A441" s="13" t="s">
        <v>447</v>
      </c>
      <c r="B441" s="13" t="s">
        <v>176</v>
      </c>
      <c r="C441" s="13" t="n">
        <v>1</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448</v>
      </c>
      <c r="B442" s="13" t="s">
        <v>176</v>
      </c>
      <c r="C442" s="13" t="n">
        <v>1</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449</v>
      </c>
      <c r="B443" s="13" t="s">
        <v>176</v>
      </c>
      <c r="C443" s="13" t="n">
        <v>1</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450</v>
      </c>
      <c r="B444" s="13" t="s">
        <v>176</v>
      </c>
      <c r="C444" s="13" t="n">
        <v>1</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451</v>
      </c>
      <c r="B445" s="13" t="s">
        <v>176</v>
      </c>
      <c r="C445" s="13" t="n">
        <v>1</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452</v>
      </c>
      <c r="B446" s="13" t="s">
        <v>176</v>
      </c>
      <c r="C446" s="13" t="n">
        <v>1</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453</v>
      </c>
      <c r="B447" s="13" t="s">
        <v>176</v>
      </c>
      <c r="C447" s="13" t="n">
        <v>1</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454</v>
      </c>
      <c r="B448" s="13" t="s">
        <v>176</v>
      </c>
      <c r="C448" s="13" t="n">
        <v>1</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455</v>
      </c>
      <c r="B449" s="13" t="s">
        <v>176</v>
      </c>
      <c r="C449" s="13" t="n">
        <v>1</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456</v>
      </c>
      <c r="B450" s="13" t="s">
        <v>176</v>
      </c>
      <c r="C450" s="13" t="n">
        <v>1</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457</v>
      </c>
      <c r="B451" s="13" t="s">
        <v>176</v>
      </c>
      <c r="C451" s="13" t="n">
        <v>1</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458</v>
      </c>
      <c r="B452" s="13" t="s">
        <v>176</v>
      </c>
      <c r="C452" s="13" t="n">
        <v>1</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53</v>
      </c>
      <c r="B453" s="13" t="s">
        <v>169</v>
      </c>
      <c r="C453" s="13" t="n">
        <v>0</v>
      </c>
      <c r="D453" s="13" t="n">
        <v>0</v>
      </c>
      <c r="E453" s="13" t="n">
        <v>0</v>
      </c>
      <c r="F453" s="13" t="n">
        <v>0</v>
      </c>
      <c r="G453" s="17" t="n">
        <v>0</v>
      </c>
      <c r="H453" s="13" t="n">
        <v>157</v>
      </c>
      <c r="I453" s="13" t="n">
        <v>0</v>
      </c>
      <c r="J453" s="13" t="n">
        <v>0</v>
      </c>
      <c r="K453" s="13" t="n">
        <v>314</v>
      </c>
      <c r="L453" s="17" t="n">
        <v>0</v>
      </c>
      <c r="M453" s="18" t="n">
        <f aca="false">IF(H453=0,"",I453/H453)</f>
        <v>0</v>
      </c>
    </row>
    <row r="454" customFormat="false" ht="15" hidden="false" customHeight="false" outlineLevel="0" collapsed="false">
      <c r="A454" s="13" t="s">
        <v>53</v>
      </c>
      <c r="B454" s="13" t="s">
        <v>170</v>
      </c>
      <c r="C454" s="13" t="n">
        <v>0</v>
      </c>
      <c r="D454" s="13" t="n">
        <v>0</v>
      </c>
      <c r="E454" s="13" t="n">
        <v>0</v>
      </c>
      <c r="F454" s="13" t="n">
        <v>0</v>
      </c>
      <c r="G454" s="17" t="n">
        <v>0</v>
      </c>
      <c r="H454" s="13" t="n">
        <v>157</v>
      </c>
      <c r="I454" s="13" t="n">
        <v>0</v>
      </c>
      <c r="J454" s="13" t="n">
        <v>157</v>
      </c>
      <c r="K454" s="13" t="n">
        <v>0</v>
      </c>
      <c r="L454" s="17" t="n">
        <v>0</v>
      </c>
      <c r="M454" s="18" t="n">
        <f aca="false">IF(H454=0,"",I454/H454)</f>
        <v>0</v>
      </c>
    </row>
    <row r="455" customFormat="false" ht="15" hidden="false" customHeight="false" outlineLevel="0" collapsed="false">
      <c r="A455" s="13" t="s">
        <v>53</v>
      </c>
      <c r="B455" s="13" t="s">
        <v>174</v>
      </c>
      <c r="C455" s="13" t="n">
        <v>0</v>
      </c>
      <c r="D455" s="13" t="n">
        <v>0</v>
      </c>
      <c r="E455" s="13" t="n">
        <v>0</v>
      </c>
      <c r="F455" s="13" t="n">
        <v>0</v>
      </c>
      <c r="G455" s="17" t="n">
        <v>0</v>
      </c>
      <c r="H455" s="13" t="n">
        <v>2</v>
      </c>
      <c r="I455" s="13" t="n">
        <v>2</v>
      </c>
      <c r="J455" s="13" t="n">
        <v>0</v>
      </c>
      <c r="K455" s="13" t="n">
        <v>0</v>
      </c>
      <c r="L455" s="17" t="n">
        <v>0.00041001</v>
      </c>
      <c r="M455" s="18" t="n">
        <f aca="false">IF(H455=0,"",I455/H455)</f>
        <v>1</v>
      </c>
    </row>
    <row r="456" customFormat="false" ht="15" hidden="false" customHeight="false" outlineLevel="0" collapsed="false">
      <c r="A456" s="13" t="s">
        <v>49</v>
      </c>
      <c r="B456" s="13" t="s">
        <v>169</v>
      </c>
      <c r="C456" s="13" t="n">
        <v>0</v>
      </c>
      <c r="D456" s="13" t="n">
        <v>0</v>
      </c>
      <c r="E456" s="13" t="n">
        <v>7</v>
      </c>
      <c r="F456" s="13" t="n">
        <v>0</v>
      </c>
      <c r="G456" s="17" t="n">
        <v>0</v>
      </c>
      <c r="H456" s="13" t="n">
        <v>250</v>
      </c>
      <c r="I456" s="13" t="n">
        <v>17</v>
      </c>
      <c r="J456" s="13" t="n">
        <v>170</v>
      </c>
      <c r="K456" s="13" t="n">
        <v>500</v>
      </c>
      <c r="L456" s="17" t="n">
        <v>0</v>
      </c>
      <c r="M456" s="18" t="n">
        <f aca="false">IF(H456=0,"",I456/H456)</f>
        <v>0.068</v>
      </c>
    </row>
    <row r="457" customFormat="false" ht="15" hidden="false" customHeight="false" outlineLevel="0" collapsed="false">
      <c r="A457" s="13" t="s">
        <v>49</v>
      </c>
      <c r="B457" s="13" t="s">
        <v>170</v>
      </c>
      <c r="C457" s="13" t="n">
        <v>92</v>
      </c>
      <c r="D457" s="13" t="n">
        <v>0</v>
      </c>
      <c r="E457" s="13" t="n">
        <v>2</v>
      </c>
      <c r="F457" s="13" t="n">
        <v>78</v>
      </c>
      <c r="G457" s="17" t="n">
        <v>0</v>
      </c>
      <c r="H457" s="13" t="n">
        <v>321</v>
      </c>
      <c r="I457" s="13" t="n">
        <v>17</v>
      </c>
      <c r="J457" s="13" t="n">
        <v>59</v>
      </c>
      <c r="K457" s="13" t="n">
        <v>78</v>
      </c>
      <c r="L457" s="17" t="n">
        <v>0</v>
      </c>
      <c r="M457" s="18" t="n">
        <f aca="false">IF(H457=0,"",I457/H457)</f>
        <v>0.0529595015576324</v>
      </c>
    </row>
    <row r="458" customFormat="false" ht="15" hidden="false" customHeight="false" outlineLevel="0" collapsed="false">
      <c r="A458" s="13" t="s">
        <v>49</v>
      </c>
      <c r="B458" s="13" t="s">
        <v>171</v>
      </c>
      <c r="C458" s="13" t="n">
        <v>175</v>
      </c>
      <c r="D458" s="13" t="n">
        <v>0</v>
      </c>
      <c r="E458" s="13" t="n">
        <v>97</v>
      </c>
      <c r="F458" s="13" t="n">
        <v>0</v>
      </c>
      <c r="G458" s="17" t="n">
        <v>0.02592684</v>
      </c>
      <c r="H458" s="13" t="n">
        <v>175</v>
      </c>
      <c r="I458" s="13" t="n">
        <v>0</v>
      </c>
      <c r="J458" s="13" t="n">
        <v>97</v>
      </c>
      <c r="K458" s="13" t="n">
        <v>0</v>
      </c>
      <c r="L458" s="17" t="n">
        <v>0.02592684</v>
      </c>
      <c r="M458" s="18" t="n">
        <f aca="false">IF(H458=0,"",I458/H458)</f>
        <v>0</v>
      </c>
    </row>
    <row r="459" customFormat="false" ht="15" hidden="false" customHeight="false" outlineLevel="0" collapsed="false">
      <c r="A459" s="13" t="s">
        <v>49</v>
      </c>
      <c r="B459" s="13" t="s">
        <v>172</v>
      </c>
      <c r="C459" s="13" t="n">
        <v>29</v>
      </c>
      <c r="D459" s="13" t="n">
        <v>8</v>
      </c>
      <c r="E459" s="13" t="n">
        <v>21</v>
      </c>
      <c r="F459" s="13" t="n">
        <v>0</v>
      </c>
      <c r="G459" s="17" t="n">
        <v>0.0143524</v>
      </c>
      <c r="H459" s="13" t="n">
        <v>360</v>
      </c>
      <c r="I459" s="13" t="n">
        <v>68</v>
      </c>
      <c r="J459" s="13" t="n">
        <v>290</v>
      </c>
      <c r="K459" s="13" t="n">
        <v>0</v>
      </c>
      <c r="L459" s="17" t="n">
        <v>0.1429476</v>
      </c>
      <c r="M459" s="18" t="n">
        <f aca="false">IF(H459=0,"",I459/H459)</f>
        <v>0.188888888888889</v>
      </c>
    </row>
    <row r="460" customFormat="false" ht="15" hidden="false" customHeight="false" outlineLevel="0" collapsed="false">
      <c r="A460" s="13" t="s">
        <v>49</v>
      </c>
      <c r="B460" s="13" t="s">
        <v>175</v>
      </c>
      <c r="C460" s="13" t="n">
        <v>7</v>
      </c>
      <c r="D460" s="13" t="n">
        <v>0</v>
      </c>
      <c r="E460" s="13" t="n">
        <v>0</v>
      </c>
      <c r="F460" s="13" t="n">
        <v>35</v>
      </c>
      <c r="G460" s="17" t="n">
        <v>0</v>
      </c>
      <c r="H460" s="13" t="n">
        <v>7</v>
      </c>
      <c r="I460" s="13" t="n">
        <v>0</v>
      </c>
      <c r="J460" s="13" t="n">
        <v>0</v>
      </c>
      <c r="K460" s="13" t="n">
        <v>35</v>
      </c>
      <c r="L460" s="17" t="n">
        <v>0</v>
      </c>
      <c r="M460" s="18" t="n">
        <f aca="false">IF(H460=0,"",I460/H460)</f>
        <v>0</v>
      </c>
    </row>
    <row r="461" customFormat="false" ht="15" hidden="false" customHeight="false" outlineLevel="0" collapsed="false">
      <c r="A461" s="13" t="s">
        <v>49</v>
      </c>
      <c r="B461" s="13" t="s">
        <v>176</v>
      </c>
      <c r="C461" s="13" t="n">
        <v>19</v>
      </c>
      <c r="D461" s="13" t="n">
        <v>0</v>
      </c>
      <c r="E461" s="13" t="n">
        <v>0</v>
      </c>
      <c r="F461" s="13" t="n">
        <v>0</v>
      </c>
      <c r="G461" s="17" t="n">
        <v>0</v>
      </c>
      <c r="H461" s="13" t="n">
        <v>256</v>
      </c>
      <c r="I461" s="13" t="n">
        <v>0</v>
      </c>
      <c r="J461" s="13" t="n">
        <v>0</v>
      </c>
      <c r="K461" s="13" t="n">
        <v>0</v>
      </c>
      <c r="L461" s="17" t="n">
        <v>0</v>
      </c>
      <c r="M461" s="18" t="n">
        <f aca="false">IF(H461=0,"",I461/H461)</f>
        <v>0</v>
      </c>
    </row>
    <row r="462" customFormat="false" ht="15" hidden="false" customHeight="false" outlineLevel="0" collapsed="false">
      <c r="A462" s="13" t="s">
        <v>63</v>
      </c>
      <c r="B462" s="13" t="s">
        <v>169</v>
      </c>
      <c r="C462" s="13" t="n">
        <v>0</v>
      </c>
      <c r="D462" s="13" t="n">
        <v>0</v>
      </c>
      <c r="E462" s="13" t="n">
        <v>0</v>
      </c>
      <c r="F462" s="13" t="n">
        <v>0</v>
      </c>
      <c r="G462" s="17" t="n">
        <v>0</v>
      </c>
      <c r="H462" s="13" t="n">
        <v>147</v>
      </c>
      <c r="I462" s="13" t="n">
        <v>0</v>
      </c>
      <c r="J462" s="13" t="n">
        <v>146</v>
      </c>
      <c r="K462" s="13" t="n">
        <v>294</v>
      </c>
      <c r="L462" s="17" t="n">
        <v>0</v>
      </c>
      <c r="M462" s="18" t="n">
        <f aca="false">IF(H462=0,"",I462/H462)</f>
        <v>0</v>
      </c>
    </row>
    <row r="463" customFormat="false" ht="15" hidden="false" customHeight="false" outlineLevel="0" collapsed="false">
      <c r="A463" s="13" t="s">
        <v>63</v>
      </c>
      <c r="B463" s="13" t="s">
        <v>170</v>
      </c>
      <c r="C463" s="13" t="n">
        <v>106</v>
      </c>
      <c r="D463" s="13" t="n">
        <v>0</v>
      </c>
      <c r="E463" s="13" t="n">
        <v>0</v>
      </c>
      <c r="F463" s="13" t="n">
        <v>130</v>
      </c>
      <c r="G463" s="17" t="n">
        <v>0</v>
      </c>
      <c r="H463" s="13" t="n">
        <v>250</v>
      </c>
      <c r="I463" s="13" t="n">
        <v>0</v>
      </c>
      <c r="J463" s="13" t="n">
        <v>0</v>
      </c>
      <c r="K463" s="13" t="n">
        <v>130</v>
      </c>
      <c r="L463" s="17" t="n">
        <v>0</v>
      </c>
      <c r="M463" s="18" t="n">
        <f aca="false">IF(H463=0,"",I463/H463)</f>
        <v>0</v>
      </c>
    </row>
    <row r="464" customFormat="false" ht="15" hidden="false" customHeight="false" outlineLevel="0" collapsed="false">
      <c r="A464" s="13" t="s">
        <v>63</v>
      </c>
      <c r="B464" s="13" t="s">
        <v>171</v>
      </c>
      <c r="C464" s="13" t="n">
        <v>146</v>
      </c>
      <c r="D464" s="13" t="n">
        <v>0</v>
      </c>
      <c r="E464" s="13" t="n">
        <v>38</v>
      </c>
      <c r="F464" s="13" t="n">
        <v>0</v>
      </c>
      <c r="G464" s="17" t="n">
        <v>0.02105676</v>
      </c>
      <c r="H464" s="13" t="n">
        <v>146</v>
      </c>
      <c r="I464" s="13" t="n">
        <v>0</v>
      </c>
      <c r="J464" s="13" t="n">
        <v>38</v>
      </c>
      <c r="K464" s="13" t="n">
        <v>0</v>
      </c>
      <c r="L464" s="17" t="n">
        <v>0.02105676</v>
      </c>
      <c r="M464" s="18" t="n">
        <f aca="false">IF(H464=0,"",I464/H464)</f>
        <v>0</v>
      </c>
    </row>
    <row r="465" customFormat="false" ht="15" hidden="false" customHeight="false" outlineLevel="0" collapsed="false">
      <c r="A465" s="13" t="s">
        <v>63</v>
      </c>
      <c r="B465" s="13" t="s">
        <v>172</v>
      </c>
      <c r="C465" s="13" t="n">
        <v>0</v>
      </c>
      <c r="D465" s="13" t="n">
        <v>0</v>
      </c>
      <c r="E465" s="13" t="n">
        <v>0</v>
      </c>
      <c r="F465" s="13" t="n">
        <v>0</v>
      </c>
      <c r="G465" s="17" t="n">
        <v>0</v>
      </c>
      <c r="H465" s="13" t="n">
        <v>342</v>
      </c>
      <c r="I465" s="13" t="n">
        <v>61</v>
      </c>
      <c r="J465" s="13" t="n">
        <v>277</v>
      </c>
      <c r="K465" s="13" t="n">
        <v>0</v>
      </c>
      <c r="L465" s="17" t="n">
        <v>0.1236648</v>
      </c>
      <c r="M465" s="18" t="n">
        <f aca="false">IF(H465=0,"",I465/H465)</f>
        <v>0.178362573099415</v>
      </c>
    </row>
    <row r="466" customFormat="false" ht="15" hidden="false" customHeight="false" outlineLevel="0" collapsed="false">
      <c r="A466" s="13" t="s">
        <v>63</v>
      </c>
      <c r="B466" s="13" t="s">
        <v>175</v>
      </c>
      <c r="C466" s="13" t="n">
        <v>12</v>
      </c>
      <c r="D466" s="13" t="n">
        <v>0</v>
      </c>
      <c r="E466" s="13" t="n">
        <v>0</v>
      </c>
      <c r="F466" s="13" t="n">
        <v>60</v>
      </c>
      <c r="G466" s="17" t="n">
        <v>0</v>
      </c>
      <c r="H466" s="13" t="n">
        <v>28</v>
      </c>
      <c r="I466" s="13" t="n">
        <v>0</v>
      </c>
      <c r="J466" s="13" t="n">
        <v>0</v>
      </c>
      <c r="K466" s="13" t="n">
        <v>76</v>
      </c>
      <c r="L466" s="17" t="n">
        <v>0</v>
      </c>
      <c r="M466" s="18" t="n">
        <f aca="false">IF(H466=0,"",I466/H466)</f>
        <v>0</v>
      </c>
    </row>
    <row r="467" customFormat="false" ht="15" hidden="false" customHeight="false" outlineLevel="0" collapsed="false">
      <c r="A467" s="13" t="s">
        <v>63</v>
      </c>
      <c r="B467" s="13" t="s">
        <v>176</v>
      </c>
      <c r="C467" s="13" t="n">
        <v>0</v>
      </c>
      <c r="D467" s="13" t="n">
        <v>0</v>
      </c>
      <c r="E467" s="13" t="n">
        <v>0</v>
      </c>
      <c r="F467" s="13" t="n">
        <v>0</v>
      </c>
      <c r="G467" s="17" t="n">
        <v>0</v>
      </c>
      <c r="H467" s="13" t="n">
        <v>277</v>
      </c>
      <c r="I467" s="13" t="n">
        <v>0</v>
      </c>
      <c r="J467" s="13" t="n">
        <v>0</v>
      </c>
      <c r="K467" s="13" t="n">
        <v>0</v>
      </c>
      <c r="L467" s="17" t="n">
        <v>0</v>
      </c>
      <c r="M467" s="18" t="n">
        <f aca="false">IF(H467=0,"",I467/H467)</f>
        <v>0</v>
      </c>
    </row>
    <row r="468" customFormat="false" ht="15" hidden="false" customHeight="false" outlineLevel="0" collapsed="false">
      <c r="A468" s="13" t="s">
        <v>459</v>
      </c>
      <c r="B468" s="13" t="s">
        <v>176</v>
      </c>
      <c r="C468" s="13" t="n">
        <v>1</v>
      </c>
      <c r="D468" s="13" t="n">
        <v>0</v>
      </c>
      <c r="E468" s="13" t="n">
        <v>0</v>
      </c>
      <c r="F468" s="13" t="n">
        <v>0</v>
      </c>
      <c r="G468" s="17" t="n">
        <v>0</v>
      </c>
      <c r="H468" s="13" t="n">
        <v>2</v>
      </c>
      <c r="I468" s="13" t="n">
        <v>0</v>
      </c>
      <c r="J468" s="13" t="n">
        <v>0</v>
      </c>
      <c r="K468" s="13" t="n">
        <v>0</v>
      </c>
      <c r="L468" s="17" t="n">
        <v>0</v>
      </c>
      <c r="M468" s="18" t="n">
        <f aca="false">IF(H468=0,"",I468/H468)</f>
        <v>0</v>
      </c>
    </row>
    <row r="469" customFormat="false" ht="15" hidden="false" customHeight="false" outlineLevel="0" collapsed="false">
      <c r="A469" s="13" t="s">
        <v>460</v>
      </c>
      <c r="B469" s="13" t="s">
        <v>176</v>
      </c>
      <c r="C469" s="13" t="n">
        <v>1</v>
      </c>
      <c r="D469" s="13" t="n">
        <v>0</v>
      </c>
      <c r="E469" s="13" t="n">
        <v>0</v>
      </c>
      <c r="F469" s="13" t="n">
        <v>0</v>
      </c>
      <c r="G469" s="17" t="n">
        <v>0</v>
      </c>
      <c r="H469" s="13" t="n">
        <v>1</v>
      </c>
      <c r="I469" s="13" t="n">
        <v>0</v>
      </c>
      <c r="J469" s="13" t="n">
        <v>0</v>
      </c>
      <c r="K469" s="13" t="n">
        <v>0</v>
      </c>
      <c r="L469" s="17" t="n">
        <v>0</v>
      </c>
      <c r="M469" s="18" t="n">
        <f aca="false">IF(H469=0,"",I469/H469)</f>
        <v>0</v>
      </c>
    </row>
    <row r="470" customFormat="false" ht="15" hidden="false" customHeight="false" outlineLevel="0" collapsed="false">
      <c r="A470" s="13" t="s">
        <v>61</v>
      </c>
      <c r="B470" s="13" t="s">
        <v>169</v>
      </c>
      <c r="C470" s="13" t="n">
        <v>35</v>
      </c>
      <c r="D470" s="13" t="n">
        <v>16</v>
      </c>
      <c r="E470" s="13" t="n">
        <v>19</v>
      </c>
      <c r="F470" s="13" t="n">
        <v>70</v>
      </c>
      <c r="G470" s="17" t="n">
        <v>0</v>
      </c>
      <c r="H470" s="13" t="n">
        <v>35</v>
      </c>
      <c r="I470" s="13" t="n">
        <v>16</v>
      </c>
      <c r="J470" s="13" t="n">
        <v>19</v>
      </c>
      <c r="K470" s="13" t="n">
        <v>70</v>
      </c>
      <c r="L470" s="17" t="n">
        <v>0</v>
      </c>
      <c r="M470" s="18" t="n">
        <f aca="false">IF(H470=0,"",I470/H470)</f>
        <v>0.457142857142857</v>
      </c>
    </row>
    <row r="471" customFormat="false" ht="15" hidden="false" customHeight="false" outlineLevel="0" collapsed="false">
      <c r="A471" s="13" t="s">
        <v>61</v>
      </c>
      <c r="B471" s="13" t="s">
        <v>170</v>
      </c>
      <c r="C471" s="13" t="n">
        <v>35</v>
      </c>
      <c r="D471" s="13" t="n">
        <v>16</v>
      </c>
      <c r="E471" s="13" t="n">
        <v>0</v>
      </c>
      <c r="F471" s="13" t="n">
        <v>0</v>
      </c>
      <c r="G471" s="17" t="n">
        <v>0</v>
      </c>
      <c r="H471" s="13" t="n">
        <v>35</v>
      </c>
      <c r="I471" s="13" t="n">
        <v>16</v>
      </c>
      <c r="J471" s="13" t="n">
        <v>0</v>
      </c>
      <c r="K471" s="13" t="n">
        <v>0</v>
      </c>
      <c r="L471" s="17" t="n">
        <v>0</v>
      </c>
      <c r="M471" s="18" t="n">
        <f aca="false">IF(H471=0,"",I471/H471)</f>
        <v>0.457142857142857</v>
      </c>
    </row>
    <row r="472" customFormat="false" ht="15" hidden="false" customHeight="false" outlineLevel="0" collapsed="false">
      <c r="A472" s="13" t="s">
        <v>61</v>
      </c>
      <c r="B472" s="13" t="s">
        <v>172</v>
      </c>
      <c r="C472" s="13" t="n">
        <v>92</v>
      </c>
      <c r="D472" s="13" t="n">
        <v>50</v>
      </c>
      <c r="E472" s="13" t="n">
        <v>42</v>
      </c>
      <c r="F472" s="13" t="n">
        <v>0</v>
      </c>
      <c r="G472" s="17" t="n">
        <v>0.0392764</v>
      </c>
      <c r="H472" s="13" t="n">
        <v>92</v>
      </c>
      <c r="I472" s="13" t="n">
        <v>50</v>
      </c>
      <c r="J472" s="13" t="n">
        <v>42</v>
      </c>
      <c r="K472" s="13" t="n">
        <v>0</v>
      </c>
      <c r="L472" s="17" t="n">
        <v>0.0392764</v>
      </c>
      <c r="M472" s="18" t="n">
        <f aca="false">IF(H472=0,"",I472/H472)</f>
        <v>0.543478260869565</v>
      </c>
    </row>
    <row r="473" customFormat="false" ht="15" hidden="false" customHeight="false" outlineLevel="0" collapsed="false">
      <c r="A473" s="13" t="s">
        <v>61</v>
      </c>
      <c r="B473" s="13" t="s">
        <v>176</v>
      </c>
      <c r="C473" s="13" t="n">
        <v>42</v>
      </c>
      <c r="D473" s="13" t="n">
        <v>0</v>
      </c>
      <c r="E473" s="13" t="n">
        <v>0</v>
      </c>
      <c r="F473" s="13" t="n">
        <v>0</v>
      </c>
      <c r="G473" s="17" t="n">
        <v>0</v>
      </c>
      <c r="H473" s="13" t="n">
        <v>42</v>
      </c>
      <c r="I473" s="13" t="n">
        <v>0</v>
      </c>
      <c r="J473" s="13" t="n">
        <v>0</v>
      </c>
      <c r="K473" s="13" t="n">
        <v>0</v>
      </c>
      <c r="L473" s="17" t="n">
        <v>0</v>
      </c>
      <c r="M473" s="18" t="n">
        <f aca="false">IF(H473=0,"",I473/H473)</f>
        <v>0</v>
      </c>
    </row>
    <row r="474" customFormat="false" ht="15" hidden="false" customHeight="false" outlineLevel="0" collapsed="false">
      <c r="A474" s="13" t="s">
        <v>73</v>
      </c>
      <c r="B474" s="13" t="s">
        <v>169</v>
      </c>
      <c r="C474" s="13" t="n">
        <v>0</v>
      </c>
      <c r="D474" s="13" t="n">
        <v>0</v>
      </c>
      <c r="E474" s="13" t="n">
        <v>1</v>
      </c>
      <c r="F474" s="13" t="n">
        <v>0</v>
      </c>
      <c r="G474" s="17" t="n">
        <v>0</v>
      </c>
      <c r="H474" s="13" t="n">
        <v>225</v>
      </c>
      <c r="I474" s="13" t="n">
        <v>0</v>
      </c>
      <c r="J474" s="13" t="n">
        <v>135</v>
      </c>
      <c r="K474" s="13" t="n">
        <v>450</v>
      </c>
      <c r="L474" s="17" t="n">
        <v>0</v>
      </c>
      <c r="M474" s="18" t="n">
        <f aca="false">IF(H474=0,"",I474/H474)</f>
        <v>0</v>
      </c>
    </row>
    <row r="475" customFormat="false" ht="15" hidden="false" customHeight="false" outlineLevel="0" collapsed="false">
      <c r="A475" s="13" t="s">
        <v>73</v>
      </c>
      <c r="B475" s="13" t="s">
        <v>170</v>
      </c>
      <c r="C475" s="13" t="n">
        <v>11</v>
      </c>
      <c r="D475" s="13" t="n">
        <v>0</v>
      </c>
      <c r="E475" s="13" t="n">
        <v>0</v>
      </c>
      <c r="F475" s="13" t="n">
        <v>13</v>
      </c>
      <c r="G475" s="17" t="n">
        <v>0</v>
      </c>
      <c r="H475" s="13" t="n">
        <v>139</v>
      </c>
      <c r="I475" s="13" t="n">
        <v>0</v>
      </c>
      <c r="J475" s="13" t="n">
        <v>1</v>
      </c>
      <c r="K475" s="13" t="n">
        <v>13</v>
      </c>
      <c r="L475" s="17" t="n">
        <v>0</v>
      </c>
      <c r="M475" s="18" t="n">
        <f aca="false">IF(H475=0,"",I475/H475)</f>
        <v>0</v>
      </c>
    </row>
    <row r="476" customFormat="false" ht="15" hidden="false" customHeight="false" outlineLevel="0" collapsed="false">
      <c r="A476" s="13" t="s">
        <v>73</v>
      </c>
      <c r="B476" s="13" t="s">
        <v>171</v>
      </c>
      <c r="C476" s="13" t="n">
        <v>59</v>
      </c>
      <c r="D476" s="13" t="n">
        <v>0</v>
      </c>
      <c r="E476" s="13" t="n">
        <v>48</v>
      </c>
      <c r="F476" s="13" t="n">
        <v>0</v>
      </c>
      <c r="G476" s="17" t="n">
        <v>0.00495705</v>
      </c>
      <c r="H476" s="13" t="n">
        <v>59</v>
      </c>
      <c r="I476" s="13" t="n">
        <v>0</v>
      </c>
      <c r="J476" s="13" t="n">
        <v>48</v>
      </c>
      <c r="K476" s="13" t="n">
        <v>0</v>
      </c>
      <c r="L476" s="17" t="n">
        <v>0.00495705</v>
      </c>
      <c r="M476" s="18" t="n">
        <f aca="false">IF(H476=0,"",I476/H476)</f>
        <v>0</v>
      </c>
    </row>
    <row r="477" customFormat="false" ht="15" hidden="false" customHeight="false" outlineLevel="0" collapsed="false">
      <c r="A477" s="13" t="s">
        <v>73</v>
      </c>
      <c r="B477" s="13" t="s">
        <v>172</v>
      </c>
      <c r="C477" s="13" t="n">
        <v>0</v>
      </c>
      <c r="D477" s="13" t="n">
        <v>0</v>
      </c>
      <c r="E477" s="13" t="n">
        <v>0</v>
      </c>
      <c r="F477" s="13" t="n">
        <v>0</v>
      </c>
      <c r="G477" s="17" t="n">
        <v>0</v>
      </c>
      <c r="H477" s="13" t="n">
        <v>238</v>
      </c>
      <c r="I477" s="13" t="n">
        <v>40</v>
      </c>
      <c r="J477" s="13" t="n">
        <v>190</v>
      </c>
      <c r="K477" s="13" t="n">
        <v>0</v>
      </c>
      <c r="L477" s="17" t="n">
        <v>0.1308116</v>
      </c>
      <c r="M477" s="18" t="n">
        <f aca="false">IF(H477=0,"",I477/H477)</f>
        <v>0.168067226890756</v>
      </c>
    </row>
    <row r="478" customFormat="false" ht="15" hidden="false" customHeight="false" outlineLevel="0" collapsed="false">
      <c r="A478" s="13" t="s">
        <v>73</v>
      </c>
      <c r="B478" s="13" t="s">
        <v>175</v>
      </c>
      <c r="C478" s="13" t="n">
        <v>2</v>
      </c>
      <c r="D478" s="13" t="n">
        <v>0</v>
      </c>
      <c r="E478" s="13" t="n">
        <v>0</v>
      </c>
      <c r="F478" s="13" t="n">
        <v>10</v>
      </c>
      <c r="G478" s="17" t="n">
        <v>0</v>
      </c>
      <c r="H478" s="13" t="n">
        <v>2</v>
      </c>
      <c r="I478" s="13" t="n">
        <v>0</v>
      </c>
      <c r="J478" s="13" t="n">
        <v>0</v>
      </c>
      <c r="K478" s="13" t="n">
        <v>10</v>
      </c>
      <c r="L478" s="17" t="n">
        <v>0</v>
      </c>
      <c r="M478" s="18" t="n">
        <f aca="false">IF(H478=0,"",I478/H478)</f>
        <v>0</v>
      </c>
    </row>
    <row r="479" customFormat="false" ht="15" hidden="false" customHeight="false" outlineLevel="0" collapsed="false">
      <c r="A479" s="13" t="s">
        <v>73</v>
      </c>
      <c r="B479" s="13" t="s">
        <v>176</v>
      </c>
      <c r="C479" s="13" t="n">
        <v>0</v>
      </c>
      <c r="D479" s="13" t="n">
        <v>0</v>
      </c>
      <c r="E479" s="13" t="n">
        <v>0</v>
      </c>
      <c r="F479" s="13" t="n">
        <v>0</v>
      </c>
      <c r="G479" s="17" t="n">
        <v>0</v>
      </c>
      <c r="H479" s="13" t="n">
        <v>191</v>
      </c>
      <c r="I479" s="13" t="n">
        <v>0</v>
      </c>
      <c r="J479" s="13" t="n">
        <v>0</v>
      </c>
      <c r="K479" s="13" t="n">
        <v>0</v>
      </c>
      <c r="L479" s="17" t="n">
        <v>0</v>
      </c>
      <c r="M479" s="18" t="n">
        <f aca="false">IF(H479=0,"",I479/H479)</f>
        <v>0</v>
      </c>
    </row>
    <row r="480" customFormat="false" ht="15" hidden="false" customHeight="false" outlineLevel="0" collapsed="false">
      <c r="A480" s="13" t="s">
        <v>79</v>
      </c>
      <c r="B480" s="13" t="s">
        <v>169</v>
      </c>
      <c r="C480" s="13" t="n">
        <v>29</v>
      </c>
      <c r="D480" s="13" t="n">
        <v>0</v>
      </c>
      <c r="E480" s="13" t="n">
        <v>29</v>
      </c>
      <c r="F480" s="13" t="n">
        <v>58</v>
      </c>
      <c r="G480" s="17" t="n">
        <v>0</v>
      </c>
      <c r="H480" s="13" t="n">
        <v>29</v>
      </c>
      <c r="I480" s="13" t="n">
        <v>0</v>
      </c>
      <c r="J480" s="13" t="n">
        <v>29</v>
      </c>
      <c r="K480" s="13" t="n">
        <v>58</v>
      </c>
      <c r="L480" s="17" t="n">
        <v>0</v>
      </c>
      <c r="M480" s="18" t="n">
        <f aca="false">IF(H480=0,"",I480/H480)</f>
        <v>0</v>
      </c>
    </row>
    <row r="481" customFormat="false" ht="15" hidden="false" customHeight="false" outlineLevel="0" collapsed="false">
      <c r="A481" s="13" t="s">
        <v>79</v>
      </c>
      <c r="B481" s="13" t="s">
        <v>170</v>
      </c>
      <c r="C481" s="13" t="n">
        <v>27</v>
      </c>
      <c r="D481" s="13" t="n">
        <v>0</v>
      </c>
      <c r="E481" s="13" t="n">
        <v>0</v>
      </c>
      <c r="F481" s="13" t="n">
        <v>0</v>
      </c>
      <c r="G481" s="17" t="n">
        <v>0</v>
      </c>
      <c r="H481" s="13" t="n">
        <v>27</v>
      </c>
      <c r="I481" s="13" t="n">
        <v>0</v>
      </c>
      <c r="J481" s="13" t="n">
        <v>0</v>
      </c>
      <c r="K481" s="13" t="n">
        <v>0</v>
      </c>
      <c r="L481" s="17" t="n">
        <v>0</v>
      </c>
      <c r="M481" s="18" t="n">
        <f aca="false">IF(H481=0,"",I481/H481)</f>
        <v>0</v>
      </c>
    </row>
    <row r="482" customFormat="false" ht="15" hidden="false" customHeight="false" outlineLevel="0" collapsed="false">
      <c r="A482" s="13" t="s">
        <v>79</v>
      </c>
      <c r="B482" s="13" t="s">
        <v>172</v>
      </c>
      <c r="C482" s="13" t="n">
        <v>56</v>
      </c>
      <c r="D482" s="13" t="n">
        <v>24</v>
      </c>
      <c r="E482" s="13" t="n">
        <v>32</v>
      </c>
      <c r="F482" s="13" t="n">
        <v>0</v>
      </c>
      <c r="G482" s="17" t="n">
        <v>0.0205329333333333</v>
      </c>
      <c r="H482" s="13" t="n">
        <v>56</v>
      </c>
      <c r="I482" s="13" t="n">
        <v>24</v>
      </c>
      <c r="J482" s="13" t="n">
        <v>32</v>
      </c>
      <c r="K482" s="13" t="n">
        <v>0</v>
      </c>
      <c r="L482" s="17" t="n">
        <v>0.0205329333333333</v>
      </c>
      <c r="M482" s="18" t="n">
        <f aca="false">IF(H482=0,"",I482/H482)</f>
        <v>0.428571428571429</v>
      </c>
    </row>
    <row r="483" customFormat="false" ht="15" hidden="false" customHeight="false" outlineLevel="0" collapsed="false">
      <c r="A483" s="13" t="s">
        <v>79</v>
      </c>
      <c r="B483" s="13" t="s">
        <v>174</v>
      </c>
      <c r="C483" s="13" t="n">
        <v>2</v>
      </c>
      <c r="D483" s="13" t="n">
        <v>1</v>
      </c>
      <c r="E483" s="13" t="n">
        <v>0</v>
      </c>
      <c r="F483" s="13" t="n">
        <v>0</v>
      </c>
      <c r="G483" s="17" t="n">
        <v>0.00109453</v>
      </c>
      <c r="H483" s="13" t="n">
        <v>2</v>
      </c>
      <c r="I483" s="13" t="n">
        <v>1</v>
      </c>
      <c r="J483" s="13" t="n">
        <v>0</v>
      </c>
      <c r="K483" s="13" t="n">
        <v>0</v>
      </c>
      <c r="L483" s="17" t="n">
        <v>0.00109453</v>
      </c>
      <c r="M483" s="18" t="n">
        <f aca="false">IF(H483=0,"",I483/H483)</f>
        <v>0.5</v>
      </c>
    </row>
    <row r="484" customFormat="false" ht="15" hidden="false" customHeight="false" outlineLevel="0" collapsed="false">
      <c r="A484" s="13" t="s">
        <v>79</v>
      </c>
      <c r="B484" s="13" t="s">
        <v>175</v>
      </c>
      <c r="C484" s="13" t="n">
        <v>2</v>
      </c>
      <c r="D484" s="13" t="n">
        <v>0</v>
      </c>
      <c r="E484" s="13" t="n">
        <v>0</v>
      </c>
      <c r="F484" s="13" t="n">
        <v>2</v>
      </c>
      <c r="G484" s="17" t="n">
        <v>0</v>
      </c>
      <c r="H484" s="13" t="n">
        <v>2</v>
      </c>
      <c r="I484" s="13" t="n">
        <v>0</v>
      </c>
      <c r="J484" s="13" t="n">
        <v>0</v>
      </c>
      <c r="K484" s="13" t="n">
        <v>2</v>
      </c>
      <c r="L484" s="17" t="n">
        <v>0</v>
      </c>
      <c r="M484" s="18" t="n">
        <f aca="false">IF(H484=0,"",I484/H484)</f>
        <v>0</v>
      </c>
    </row>
    <row r="485" customFormat="false" ht="15" hidden="false" customHeight="false" outlineLevel="0" collapsed="false">
      <c r="A485" s="13" t="s">
        <v>79</v>
      </c>
      <c r="B485" s="13" t="s">
        <v>176</v>
      </c>
      <c r="C485" s="13" t="n">
        <v>32</v>
      </c>
      <c r="D485" s="13" t="n">
        <v>0</v>
      </c>
      <c r="E485" s="13" t="n">
        <v>0</v>
      </c>
      <c r="F485" s="13" t="n">
        <v>0</v>
      </c>
      <c r="G485" s="17" t="n">
        <v>0</v>
      </c>
      <c r="H485" s="13" t="n">
        <v>32</v>
      </c>
      <c r="I485" s="13" t="n">
        <v>0</v>
      </c>
      <c r="J485" s="13" t="n">
        <v>0</v>
      </c>
      <c r="K485" s="13" t="n">
        <v>0</v>
      </c>
      <c r="L485" s="17" t="n">
        <v>0</v>
      </c>
      <c r="M485" s="18" t="n">
        <f aca="false">IF(H485=0,"",I485/H485)</f>
        <v>0</v>
      </c>
    </row>
    <row r="486" customFormat="false" ht="15" hidden="false" customHeight="false" outlineLevel="0" collapsed="false">
      <c r="A486" s="13" t="s">
        <v>461</v>
      </c>
      <c r="B486" s="13" t="s">
        <v>176</v>
      </c>
      <c r="C486" s="13" t="n">
        <v>1</v>
      </c>
      <c r="D486" s="13" t="n">
        <v>0</v>
      </c>
      <c r="E486" s="13" t="n">
        <v>0</v>
      </c>
      <c r="F486" s="13" t="n">
        <v>0</v>
      </c>
      <c r="G486" s="17" t="n">
        <v>0</v>
      </c>
      <c r="H486" s="13" t="n">
        <v>1</v>
      </c>
      <c r="I486" s="13" t="n">
        <v>0</v>
      </c>
      <c r="J486" s="13" t="n">
        <v>0</v>
      </c>
      <c r="K486" s="13" t="n">
        <v>0</v>
      </c>
      <c r="L486" s="17" t="n">
        <v>0</v>
      </c>
      <c r="M486" s="18" t="n">
        <f aca="false">IF(H486=0,"",I486/H486)</f>
        <v>0</v>
      </c>
    </row>
    <row r="487" customFormat="false" ht="15" hidden="false" customHeight="false" outlineLevel="0" collapsed="false">
      <c r="A487" s="13" t="s">
        <v>462</v>
      </c>
      <c r="B487" s="13" t="s">
        <v>176</v>
      </c>
      <c r="C487" s="13" t="n">
        <v>1</v>
      </c>
      <c r="D487" s="13" t="n">
        <v>0</v>
      </c>
      <c r="E487" s="13" t="n">
        <v>0</v>
      </c>
      <c r="F487" s="13" t="n">
        <v>0</v>
      </c>
      <c r="G487" s="17" t="n">
        <v>0</v>
      </c>
      <c r="H487" s="13" t="n">
        <v>1</v>
      </c>
      <c r="I487" s="13" t="n">
        <v>0</v>
      </c>
      <c r="J487" s="13" t="n">
        <v>0</v>
      </c>
      <c r="K487" s="13" t="n">
        <v>0</v>
      </c>
      <c r="L487" s="17" t="n">
        <v>0</v>
      </c>
      <c r="M487" s="18" t="n">
        <f aca="false">IF(H487=0,"",I487/H487)</f>
        <v>0</v>
      </c>
    </row>
    <row r="488" customFormat="false" ht="15" hidden="false" customHeight="false" outlineLevel="0" collapsed="false">
      <c r="A488" s="13" t="s">
        <v>95</v>
      </c>
      <c r="B488" s="13" t="s">
        <v>169</v>
      </c>
      <c r="C488" s="13" t="n">
        <v>5</v>
      </c>
      <c r="D488" s="13" t="n">
        <v>0</v>
      </c>
      <c r="E488" s="13" t="n">
        <v>5</v>
      </c>
      <c r="F488" s="13" t="n">
        <v>10</v>
      </c>
      <c r="G488" s="17" t="n">
        <v>0</v>
      </c>
      <c r="H488" s="13" t="n">
        <v>5</v>
      </c>
      <c r="I488" s="13" t="n">
        <v>0</v>
      </c>
      <c r="J488" s="13" t="n">
        <v>5</v>
      </c>
      <c r="K488" s="13" t="n">
        <v>10</v>
      </c>
      <c r="L488" s="17" t="n">
        <v>0</v>
      </c>
      <c r="M488" s="18" t="n">
        <f aca="false">IF(H488=0,"",I488/H488)</f>
        <v>0</v>
      </c>
    </row>
    <row r="489" customFormat="false" ht="15" hidden="false" customHeight="false" outlineLevel="0" collapsed="false">
      <c r="A489" s="13" t="s">
        <v>95</v>
      </c>
      <c r="B489" s="13" t="s">
        <v>170</v>
      </c>
      <c r="C489" s="13" t="n">
        <v>5</v>
      </c>
      <c r="D489" s="13" t="n">
        <v>0</v>
      </c>
      <c r="E489" s="13" t="n">
        <v>0</v>
      </c>
      <c r="F489" s="13" t="n">
        <v>0</v>
      </c>
      <c r="G489" s="17" t="n">
        <v>0</v>
      </c>
      <c r="H489" s="13" t="n">
        <v>5</v>
      </c>
      <c r="I489" s="13" t="n">
        <v>0</v>
      </c>
      <c r="J489" s="13" t="n">
        <v>0</v>
      </c>
      <c r="K489" s="13" t="n">
        <v>0</v>
      </c>
      <c r="L489" s="17" t="n">
        <v>0</v>
      </c>
      <c r="M489" s="18" t="n">
        <f aca="false">IF(H489=0,"",I489/H489)</f>
        <v>0</v>
      </c>
    </row>
    <row r="490" customFormat="false" ht="15" hidden="false" customHeight="false" outlineLevel="0" collapsed="false">
      <c r="A490" s="13" t="s">
        <v>95</v>
      </c>
      <c r="B490" s="13" t="s">
        <v>172</v>
      </c>
      <c r="C490" s="13" t="n">
        <v>5</v>
      </c>
      <c r="D490" s="13" t="n">
        <v>0</v>
      </c>
      <c r="E490" s="13" t="n">
        <v>4</v>
      </c>
      <c r="F490" s="13" t="n">
        <v>0</v>
      </c>
      <c r="G490" s="17" t="n">
        <v>0.0066628</v>
      </c>
      <c r="H490" s="13" t="n">
        <v>5</v>
      </c>
      <c r="I490" s="13" t="n">
        <v>0</v>
      </c>
      <c r="J490" s="13" t="n">
        <v>4</v>
      </c>
      <c r="K490" s="13" t="n">
        <v>0</v>
      </c>
      <c r="L490" s="17" t="n">
        <v>0.0066628</v>
      </c>
      <c r="M490" s="18" t="n">
        <f aca="false">IF(H490=0,"",I490/H490)</f>
        <v>0</v>
      </c>
    </row>
    <row r="491" customFormat="false" ht="15" hidden="false" customHeight="false" outlineLevel="0" collapsed="false">
      <c r="A491" s="13" t="s">
        <v>95</v>
      </c>
      <c r="B491" s="13" t="s">
        <v>174</v>
      </c>
      <c r="C491" s="13" t="n">
        <v>103</v>
      </c>
      <c r="D491" s="13" t="n">
        <v>93</v>
      </c>
      <c r="E491" s="13" t="n">
        <v>1</v>
      </c>
      <c r="F491" s="13" t="n">
        <v>0</v>
      </c>
      <c r="G491" s="17" t="n">
        <v>0.03071964</v>
      </c>
      <c r="H491" s="13" t="n">
        <v>103</v>
      </c>
      <c r="I491" s="13" t="n">
        <v>93</v>
      </c>
      <c r="J491" s="13" t="n">
        <v>1</v>
      </c>
      <c r="K491" s="13" t="n">
        <v>0</v>
      </c>
      <c r="L491" s="17" t="n">
        <v>0.03071964</v>
      </c>
      <c r="M491" s="18" t="n">
        <f aca="false">IF(H491=0,"",I491/H491)</f>
        <v>0.902912621359223</v>
      </c>
    </row>
    <row r="492" customFormat="false" ht="15" hidden="false" customHeight="false" outlineLevel="0" collapsed="false">
      <c r="A492" s="13" t="s">
        <v>95</v>
      </c>
      <c r="B492" s="13" t="s">
        <v>175</v>
      </c>
      <c r="C492" s="13" t="n">
        <v>96</v>
      </c>
      <c r="D492" s="13" t="n">
        <v>0</v>
      </c>
      <c r="E492" s="13" t="n">
        <v>0</v>
      </c>
      <c r="F492" s="13" t="n">
        <v>96</v>
      </c>
      <c r="G492" s="17" t="n">
        <v>0</v>
      </c>
      <c r="H492" s="13" t="n">
        <v>96</v>
      </c>
      <c r="I492" s="13" t="n">
        <v>0</v>
      </c>
      <c r="J492" s="13" t="n">
        <v>0</v>
      </c>
      <c r="K492" s="13" t="n">
        <v>96</v>
      </c>
      <c r="L492" s="17" t="n">
        <v>0</v>
      </c>
      <c r="M492" s="18" t="n">
        <f aca="false">IF(H492=0,"",I492/H492)</f>
        <v>0</v>
      </c>
    </row>
    <row r="493" customFormat="false" ht="15" hidden="false" customHeight="false" outlineLevel="0" collapsed="false">
      <c r="A493" s="13" t="s">
        <v>95</v>
      </c>
      <c r="B493" s="13" t="s">
        <v>176</v>
      </c>
      <c r="C493" s="13" t="n">
        <v>3</v>
      </c>
      <c r="D493" s="13" t="n">
        <v>0</v>
      </c>
      <c r="E493" s="13" t="n">
        <v>0</v>
      </c>
      <c r="F493" s="13" t="n">
        <v>0</v>
      </c>
      <c r="G493" s="17" t="n">
        <v>0</v>
      </c>
      <c r="H493" s="13" t="n">
        <v>3</v>
      </c>
      <c r="I493" s="13" t="n">
        <v>0</v>
      </c>
      <c r="J493" s="13" t="n">
        <v>0</v>
      </c>
      <c r="K493" s="13" t="n">
        <v>0</v>
      </c>
      <c r="L493" s="17" t="n">
        <v>0</v>
      </c>
      <c r="M493" s="18" t="n">
        <f aca="false">IF(H493=0,"",I493/H493)</f>
        <v>0</v>
      </c>
    </row>
    <row r="494" customFormat="false" ht="15" hidden="false" customHeight="false" outlineLevel="0" collapsed="false">
      <c r="A494" s="13" t="s">
        <v>463</v>
      </c>
      <c r="B494" s="13" t="s">
        <v>176</v>
      </c>
      <c r="C494" s="13" t="n">
        <v>1</v>
      </c>
      <c r="D494" s="13" t="n">
        <v>0</v>
      </c>
      <c r="E494" s="13" t="n">
        <v>0</v>
      </c>
      <c r="F494" s="13" t="n">
        <v>0</v>
      </c>
      <c r="G494" s="17" t="n">
        <v>0</v>
      </c>
      <c r="H494" s="13" t="n">
        <v>1</v>
      </c>
      <c r="I494" s="13" t="n">
        <v>0</v>
      </c>
      <c r="J494" s="13" t="n">
        <v>0</v>
      </c>
      <c r="K494" s="13" t="n">
        <v>0</v>
      </c>
      <c r="L494" s="17" t="n">
        <v>0</v>
      </c>
      <c r="M494" s="18" t="n">
        <f aca="false">IF(H494=0,"",I494/H494)</f>
        <v>0</v>
      </c>
    </row>
    <row r="495" customFormat="false" ht="15" hidden="false" customHeight="false" outlineLevel="0" collapsed="false">
      <c r="A495" s="13" t="s">
        <v>57</v>
      </c>
      <c r="B495" s="13" t="s">
        <v>169</v>
      </c>
      <c r="C495" s="13" t="n">
        <v>0</v>
      </c>
      <c r="D495" s="13" t="n">
        <v>0</v>
      </c>
      <c r="E495" s="13" t="n">
        <v>2</v>
      </c>
      <c r="F495" s="13" t="n">
        <v>0</v>
      </c>
      <c r="G495" s="17" t="n">
        <v>0</v>
      </c>
      <c r="H495" s="13" t="n">
        <v>95</v>
      </c>
      <c r="I495" s="13" t="n">
        <v>0</v>
      </c>
      <c r="J495" s="13" t="n">
        <v>3</v>
      </c>
      <c r="K495" s="13" t="n">
        <v>190</v>
      </c>
      <c r="L495" s="17" t="n">
        <v>0</v>
      </c>
      <c r="M495" s="18" t="n">
        <f aca="false">IF(H495=0,"",I495/H495)</f>
        <v>0</v>
      </c>
    </row>
    <row r="496" customFormat="false" ht="15" hidden="false" customHeight="false" outlineLevel="0" collapsed="false">
      <c r="A496" s="13" t="s">
        <v>57</v>
      </c>
      <c r="B496" s="13" t="s">
        <v>170</v>
      </c>
      <c r="C496" s="13" t="n">
        <v>2</v>
      </c>
      <c r="D496" s="13" t="n">
        <v>1</v>
      </c>
      <c r="E496" s="13" t="n">
        <v>0</v>
      </c>
      <c r="F496" s="13" t="n">
        <v>0</v>
      </c>
      <c r="G496" s="17" t="n">
        <v>0</v>
      </c>
      <c r="H496" s="13" t="n">
        <v>3</v>
      </c>
      <c r="I496" s="13" t="n">
        <v>1</v>
      </c>
      <c r="J496" s="13" t="n">
        <v>0</v>
      </c>
      <c r="K496" s="13" t="n">
        <v>0</v>
      </c>
      <c r="L496" s="17" t="n">
        <v>0</v>
      </c>
      <c r="M496" s="18" t="n">
        <f aca="false">IF(H496=0,"",I496/H496)</f>
        <v>0.333333333333333</v>
      </c>
    </row>
    <row r="497" customFormat="false" ht="15" hidden="false" customHeight="false" outlineLevel="0" collapsed="false">
      <c r="A497" s="13" t="s">
        <v>57</v>
      </c>
      <c r="B497" s="13" t="s">
        <v>172</v>
      </c>
      <c r="C497" s="13" t="n">
        <v>5</v>
      </c>
      <c r="D497" s="13" t="n">
        <v>0</v>
      </c>
      <c r="E497" s="13" t="n">
        <v>4</v>
      </c>
      <c r="F497" s="13" t="n">
        <v>0</v>
      </c>
      <c r="G497" s="17" t="n">
        <v>0.0024492</v>
      </c>
      <c r="H497" s="13" t="n">
        <v>14</v>
      </c>
      <c r="I497" s="13" t="n">
        <v>3</v>
      </c>
      <c r="J497" s="13" t="n">
        <v>8</v>
      </c>
      <c r="K497" s="13" t="n">
        <v>0</v>
      </c>
      <c r="L497" s="17" t="n">
        <v>0.012878</v>
      </c>
      <c r="M497" s="18" t="n">
        <f aca="false">IF(H497=0,"",I497/H497)</f>
        <v>0.214285714285714</v>
      </c>
    </row>
    <row r="498" customFormat="false" ht="15" hidden="false" customHeight="false" outlineLevel="0" collapsed="false">
      <c r="A498" s="13" t="s">
        <v>57</v>
      </c>
      <c r="B498" s="13" t="s">
        <v>174</v>
      </c>
      <c r="C498" s="13" t="n">
        <v>0</v>
      </c>
      <c r="D498" s="13" t="n">
        <v>0</v>
      </c>
      <c r="E498" s="13" t="n">
        <v>0</v>
      </c>
      <c r="F498" s="13" t="n">
        <v>0</v>
      </c>
      <c r="G498" s="17" t="n">
        <v>0</v>
      </c>
      <c r="H498" s="13" t="n">
        <v>74</v>
      </c>
      <c r="I498" s="13" t="n">
        <v>43</v>
      </c>
      <c r="J498" s="13" t="n">
        <v>1</v>
      </c>
      <c r="K498" s="13" t="n">
        <v>0</v>
      </c>
      <c r="L498" s="17" t="n">
        <v>0.03441376</v>
      </c>
      <c r="M498" s="18" t="n">
        <f aca="false">IF(H498=0,"",I498/H498)</f>
        <v>0.581081081081081</v>
      </c>
    </row>
    <row r="499" customFormat="false" ht="15" hidden="false" customHeight="false" outlineLevel="0" collapsed="false">
      <c r="A499" s="13" t="s">
        <v>57</v>
      </c>
      <c r="B499" s="13" t="s">
        <v>175</v>
      </c>
      <c r="C499" s="13" t="n">
        <v>0</v>
      </c>
      <c r="D499" s="13" t="n">
        <v>0</v>
      </c>
      <c r="E499" s="13" t="n">
        <v>0</v>
      </c>
      <c r="F499" s="13" t="n">
        <v>0</v>
      </c>
      <c r="G499" s="17" t="n">
        <v>0</v>
      </c>
      <c r="H499" s="13" t="n">
        <v>48</v>
      </c>
      <c r="I499" s="13" t="n">
        <v>0</v>
      </c>
      <c r="J499" s="13" t="n">
        <v>0</v>
      </c>
      <c r="K499" s="13" t="n">
        <v>48</v>
      </c>
      <c r="L499" s="17" t="n">
        <v>0</v>
      </c>
      <c r="M499" s="18" t="n">
        <f aca="false">IF(H499=0,"",I499/H499)</f>
        <v>0</v>
      </c>
    </row>
    <row r="500" customFormat="false" ht="15" hidden="false" customHeight="false" outlineLevel="0" collapsed="false">
      <c r="A500" s="13" t="s">
        <v>57</v>
      </c>
      <c r="B500" s="13" t="s">
        <v>176</v>
      </c>
      <c r="C500" s="13" t="n">
        <v>3</v>
      </c>
      <c r="D500" s="13" t="n">
        <v>0</v>
      </c>
      <c r="E500" s="13" t="n">
        <v>0</v>
      </c>
      <c r="F500" s="13" t="n">
        <v>0</v>
      </c>
      <c r="G500" s="17" t="n">
        <v>0</v>
      </c>
      <c r="H500" s="13" t="n">
        <v>6</v>
      </c>
      <c r="I500" s="13" t="n">
        <v>0</v>
      </c>
      <c r="J500" s="13" t="n">
        <v>0</v>
      </c>
      <c r="K500" s="13" t="n">
        <v>0</v>
      </c>
      <c r="L500" s="17" t="n">
        <v>0</v>
      </c>
      <c r="M500" s="18" t="n">
        <f aca="false">IF(H500=0,"",I500/H500)</f>
        <v>0</v>
      </c>
    </row>
    <row r="501" customFormat="false" ht="15" hidden="false" customHeight="false" outlineLevel="0" collapsed="false">
      <c r="A501" s="13" t="s">
        <v>464</v>
      </c>
      <c r="B501" s="13" t="s">
        <v>176</v>
      </c>
      <c r="C501" s="13" t="n">
        <v>1</v>
      </c>
      <c r="D501" s="13" t="n">
        <v>0</v>
      </c>
      <c r="E501" s="13" t="n">
        <v>0</v>
      </c>
      <c r="F501" s="13" t="n">
        <v>0</v>
      </c>
      <c r="G501" s="17" t="n">
        <v>0</v>
      </c>
      <c r="H501" s="13" t="n">
        <v>1</v>
      </c>
      <c r="I501" s="13" t="n">
        <v>0</v>
      </c>
      <c r="J501" s="13" t="n">
        <v>0</v>
      </c>
      <c r="K501" s="13" t="n">
        <v>0</v>
      </c>
      <c r="L501" s="17" t="n">
        <v>0</v>
      </c>
      <c r="M501" s="18" t="n">
        <f aca="false">IF(H501=0,"",I501/H501)</f>
        <v>0</v>
      </c>
    </row>
    <row r="502" customFormat="false" ht="15" hidden="false" customHeight="false" outlineLevel="0" collapsed="false">
      <c r="A502" s="13" t="s">
        <v>465</v>
      </c>
      <c r="B502" s="13" t="s">
        <v>176</v>
      </c>
      <c r="C502" s="13" t="n">
        <v>1</v>
      </c>
      <c r="D502" s="13" t="n">
        <v>0</v>
      </c>
      <c r="E502" s="13" t="n">
        <v>0</v>
      </c>
      <c r="F502" s="13" t="n">
        <v>0</v>
      </c>
      <c r="G502" s="17" t="n">
        <v>0</v>
      </c>
      <c r="H502" s="13" t="n">
        <v>2</v>
      </c>
      <c r="I502" s="13" t="n">
        <v>0</v>
      </c>
      <c r="J502" s="13" t="n">
        <v>0</v>
      </c>
      <c r="K502" s="13" t="n">
        <v>0</v>
      </c>
      <c r="L502" s="17" t="n">
        <v>0</v>
      </c>
      <c r="M502" s="18" t="n">
        <f aca="false">IF(H502=0,"",I502/H502)</f>
        <v>0</v>
      </c>
    </row>
    <row r="503" customFormat="false" ht="15" hidden="false" customHeight="false" outlineLevel="0" collapsed="false">
      <c r="A503" s="13" t="s">
        <v>466</v>
      </c>
      <c r="B503" s="13" t="s">
        <v>176</v>
      </c>
      <c r="C503" s="13" t="n">
        <v>1</v>
      </c>
      <c r="D503" s="13" t="n">
        <v>0</v>
      </c>
      <c r="E503" s="13" t="n">
        <v>0</v>
      </c>
      <c r="F503" s="13" t="n">
        <v>0</v>
      </c>
      <c r="G503" s="17" t="n">
        <v>0</v>
      </c>
      <c r="H503" s="13" t="n">
        <v>1</v>
      </c>
      <c r="I503" s="13" t="n">
        <v>0</v>
      </c>
      <c r="J503" s="13" t="n">
        <v>0</v>
      </c>
      <c r="K503" s="13" t="n">
        <v>0</v>
      </c>
      <c r="L503" s="17" t="n">
        <v>0</v>
      </c>
      <c r="M503" s="18" t="n">
        <f aca="false">IF(H503=0,"",I503/H503)</f>
        <v>0</v>
      </c>
    </row>
    <row r="504" customFormat="false" ht="15" hidden="false" customHeight="false" outlineLevel="0" collapsed="false">
      <c r="A504" s="13" t="s">
        <v>467</v>
      </c>
      <c r="B504" s="13" t="s">
        <v>176</v>
      </c>
      <c r="C504" s="13" t="n">
        <v>1</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468</v>
      </c>
      <c r="B505" s="13" t="s">
        <v>176</v>
      </c>
      <c r="C505" s="13" t="n">
        <v>1</v>
      </c>
      <c r="D505" s="13" t="n">
        <v>0</v>
      </c>
      <c r="E505" s="13" t="n">
        <v>0</v>
      </c>
      <c r="F505" s="13" t="n">
        <v>0</v>
      </c>
      <c r="G505" s="17" t="n">
        <v>0</v>
      </c>
      <c r="H505" s="13" t="n">
        <v>1</v>
      </c>
      <c r="I505" s="13" t="n">
        <v>0</v>
      </c>
      <c r="J505" s="13" t="n">
        <v>0</v>
      </c>
      <c r="K505" s="13" t="n">
        <v>0</v>
      </c>
      <c r="L505" s="17" t="n">
        <v>0</v>
      </c>
      <c r="M505" s="18" t="n">
        <f aca="false">IF(H505=0,"",I505/H505)</f>
        <v>0</v>
      </c>
    </row>
    <row r="506" customFormat="false" ht="15" hidden="false" customHeight="false" outlineLevel="0" collapsed="false">
      <c r="A506" s="13" t="s">
        <v>469</v>
      </c>
      <c r="B506" s="13" t="s">
        <v>176</v>
      </c>
      <c r="C506" s="13" t="n">
        <v>1</v>
      </c>
      <c r="D506" s="13" t="n">
        <v>0</v>
      </c>
      <c r="E506" s="13" t="n">
        <v>0</v>
      </c>
      <c r="F506" s="13" t="n">
        <v>0</v>
      </c>
      <c r="G506" s="17" t="n">
        <v>0</v>
      </c>
      <c r="H506" s="13" t="n">
        <v>1</v>
      </c>
      <c r="I506" s="13" t="n">
        <v>0</v>
      </c>
      <c r="J506" s="13" t="n">
        <v>0</v>
      </c>
      <c r="K506" s="13" t="n">
        <v>0</v>
      </c>
      <c r="L506" s="17" t="n">
        <v>0</v>
      </c>
      <c r="M506" s="18" t="n">
        <f aca="false">IF(H506=0,"",I506/H506)</f>
        <v>0</v>
      </c>
    </row>
    <row r="507" customFormat="false" ht="15" hidden="false" customHeight="false" outlineLevel="0" collapsed="false">
      <c r="A507" s="13" t="s">
        <v>470</v>
      </c>
      <c r="B507" s="13" t="s">
        <v>176</v>
      </c>
      <c r="C507" s="13" t="n">
        <v>1</v>
      </c>
      <c r="D507" s="13" t="n">
        <v>0</v>
      </c>
      <c r="E507" s="13" t="n">
        <v>0</v>
      </c>
      <c r="F507" s="13" t="n">
        <v>0</v>
      </c>
      <c r="G507" s="17" t="n">
        <v>0</v>
      </c>
      <c r="H507" s="13" t="n">
        <v>1</v>
      </c>
      <c r="I507" s="13" t="n">
        <v>0</v>
      </c>
      <c r="J507" s="13" t="n">
        <v>0</v>
      </c>
      <c r="K507" s="13" t="n">
        <v>0</v>
      </c>
      <c r="L507" s="17" t="n">
        <v>0</v>
      </c>
      <c r="M507" s="18" t="n">
        <f aca="false">IF(H507=0,"",I507/H507)</f>
        <v>0</v>
      </c>
    </row>
    <row r="508" customFormat="false" ht="15" hidden="false" customHeight="false" outlineLevel="0" collapsed="false">
      <c r="A508" s="13" t="s">
        <v>471</v>
      </c>
      <c r="B508" s="13" t="s">
        <v>176</v>
      </c>
      <c r="C508" s="13" t="n">
        <v>1</v>
      </c>
      <c r="D508" s="13" t="n">
        <v>0</v>
      </c>
      <c r="E508" s="13" t="n">
        <v>0</v>
      </c>
      <c r="F508" s="13" t="n">
        <v>0</v>
      </c>
      <c r="G508" s="17" t="n">
        <v>0</v>
      </c>
      <c r="H508" s="13" t="n">
        <v>1</v>
      </c>
      <c r="I508" s="13" t="n">
        <v>0</v>
      </c>
      <c r="J508" s="13" t="n">
        <v>0</v>
      </c>
      <c r="K508" s="13" t="n">
        <v>0</v>
      </c>
      <c r="L508" s="17" t="n">
        <v>0</v>
      </c>
      <c r="M508" s="18" t="n">
        <f aca="false">IF(H508=0,"",I508/H508)</f>
        <v>0</v>
      </c>
    </row>
    <row r="509" customFormat="false" ht="15" hidden="false" customHeight="false" outlineLevel="0" collapsed="false">
      <c r="A509" s="13" t="s">
        <v>472</v>
      </c>
      <c r="B509" s="13" t="s">
        <v>176</v>
      </c>
      <c r="C509" s="13" t="n">
        <v>1</v>
      </c>
      <c r="D509" s="13" t="n">
        <v>0</v>
      </c>
      <c r="E509" s="13" t="n">
        <v>0</v>
      </c>
      <c r="F509" s="13" t="n">
        <v>0</v>
      </c>
      <c r="G509" s="17" t="n">
        <v>0</v>
      </c>
      <c r="H509" s="13" t="n">
        <v>1</v>
      </c>
      <c r="I509" s="13" t="n">
        <v>0</v>
      </c>
      <c r="J509" s="13" t="n">
        <v>0</v>
      </c>
      <c r="K509" s="13" t="n">
        <v>0</v>
      </c>
      <c r="L509" s="17" t="n">
        <v>0</v>
      </c>
      <c r="M509" s="18" t="n">
        <f aca="false">IF(H509=0,"",I509/H509)</f>
        <v>0</v>
      </c>
    </row>
    <row r="510" customFormat="false" ht="15" hidden="false" customHeight="false" outlineLevel="0" collapsed="false">
      <c r="A510" s="13" t="s">
        <v>473</v>
      </c>
      <c r="B510" s="13" t="s">
        <v>176</v>
      </c>
      <c r="C510" s="13" t="n">
        <v>1</v>
      </c>
      <c r="D510" s="13" t="n">
        <v>0</v>
      </c>
      <c r="E510" s="13" t="n">
        <v>0</v>
      </c>
      <c r="F510" s="13" t="n">
        <v>0</v>
      </c>
      <c r="G510" s="17" t="n">
        <v>0</v>
      </c>
      <c r="H510" s="13" t="n">
        <v>1</v>
      </c>
      <c r="I510" s="13" t="n">
        <v>0</v>
      </c>
      <c r="J510" s="13" t="n">
        <v>0</v>
      </c>
      <c r="K510" s="13" t="n">
        <v>0</v>
      </c>
      <c r="L510" s="17" t="n">
        <v>0</v>
      </c>
      <c r="M510" s="18" t="n">
        <f aca="false">IF(H510=0,"",I510/H510)</f>
        <v>0</v>
      </c>
    </row>
    <row r="511" customFormat="false" ht="15" hidden="false" customHeight="false" outlineLevel="0" collapsed="false">
      <c r="A511" s="13" t="s">
        <v>474</v>
      </c>
      <c r="B511" s="13" t="s">
        <v>176</v>
      </c>
      <c r="C511" s="13" t="n">
        <v>1</v>
      </c>
      <c r="D511" s="13" t="n">
        <v>0</v>
      </c>
      <c r="E511" s="13" t="n">
        <v>0</v>
      </c>
      <c r="F511" s="13" t="n">
        <v>0</v>
      </c>
      <c r="G511" s="17" t="n">
        <v>0</v>
      </c>
      <c r="H511" s="13" t="n">
        <v>1</v>
      </c>
      <c r="I511" s="13" t="n">
        <v>0</v>
      </c>
      <c r="J511" s="13" t="n">
        <v>0</v>
      </c>
      <c r="K511" s="13" t="n">
        <v>0</v>
      </c>
      <c r="L511" s="17" t="n">
        <v>0</v>
      </c>
      <c r="M511" s="18" t="n">
        <f aca="false">IF(H511=0,"",I511/H511)</f>
        <v>0</v>
      </c>
    </row>
    <row r="512" customFormat="false" ht="15" hidden="false" customHeight="false" outlineLevel="0" collapsed="false">
      <c r="A512" s="13" t="s">
        <v>475</v>
      </c>
      <c r="B512" s="13" t="s">
        <v>176</v>
      </c>
      <c r="C512" s="13" t="n">
        <v>1</v>
      </c>
      <c r="D512" s="13" t="n">
        <v>0</v>
      </c>
      <c r="E512" s="13" t="n">
        <v>0</v>
      </c>
      <c r="F512" s="13" t="n">
        <v>0</v>
      </c>
      <c r="G512" s="17" t="n">
        <v>0</v>
      </c>
      <c r="H512" s="13" t="n">
        <v>2</v>
      </c>
      <c r="I512" s="13" t="n">
        <v>0</v>
      </c>
      <c r="J512" s="13" t="n">
        <v>0</v>
      </c>
      <c r="K512" s="13" t="n">
        <v>0</v>
      </c>
      <c r="L512" s="17" t="n">
        <v>0</v>
      </c>
      <c r="M512" s="18" t="n">
        <f aca="false">IF(H512=0,"",I512/H512)</f>
        <v>0</v>
      </c>
    </row>
    <row r="513" customFormat="false" ht="15" hidden="false" customHeight="false" outlineLevel="0" collapsed="false">
      <c r="A513" s="13" t="s">
        <v>476</v>
      </c>
      <c r="B513" s="13" t="s">
        <v>176</v>
      </c>
      <c r="C513" s="13" t="n">
        <v>1</v>
      </c>
      <c r="D513" s="13" t="n">
        <v>0</v>
      </c>
      <c r="E513" s="13" t="n">
        <v>0</v>
      </c>
      <c r="F513" s="13" t="n">
        <v>0</v>
      </c>
      <c r="G513" s="17" t="n">
        <v>0</v>
      </c>
      <c r="H513" s="13" t="n">
        <v>1</v>
      </c>
      <c r="I513" s="13" t="n">
        <v>0</v>
      </c>
      <c r="J513" s="13" t="n">
        <v>0</v>
      </c>
      <c r="K513" s="13" t="n">
        <v>0</v>
      </c>
      <c r="L513" s="17" t="n">
        <v>0</v>
      </c>
      <c r="M513" s="18" t="n">
        <f aca="false">IF(H513=0,"",I513/H513)</f>
        <v>0</v>
      </c>
    </row>
    <row r="514" customFormat="false" ht="15" hidden="false" customHeight="false" outlineLevel="0" collapsed="false">
      <c r="A514" s="13" t="s">
        <v>477</v>
      </c>
      <c r="B514" s="13" t="s">
        <v>176</v>
      </c>
      <c r="C514" s="13" t="n">
        <v>1</v>
      </c>
      <c r="D514" s="13" t="n">
        <v>0</v>
      </c>
      <c r="E514" s="13" t="n">
        <v>0</v>
      </c>
      <c r="F514" s="13" t="n">
        <v>0</v>
      </c>
      <c r="G514" s="17" t="n">
        <v>0</v>
      </c>
      <c r="H514" s="13" t="n">
        <v>1</v>
      </c>
      <c r="I514" s="13" t="n">
        <v>0</v>
      </c>
      <c r="J514" s="13" t="n">
        <v>0</v>
      </c>
      <c r="K514" s="13" t="n">
        <v>0</v>
      </c>
      <c r="L514" s="17" t="n">
        <v>0</v>
      </c>
      <c r="M514" s="18" t="n">
        <f aca="false">IF(H514=0,"",I514/H514)</f>
        <v>0</v>
      </c>
    </row>
    <row r="515" customFormat="false" ht="15" hidden="false" customHeight="false" outlineLevel="0" collapsed="false">
      <c r="A515" s="13" t="s">
        <v>478</v>
      </c>
      <c r="B515" s="13" t="s">
        <v>176</v>
      </c>
      <c r="C515" s="13" t="n">
        <v>1</v>
      </c>
      <c r="D515" s="13" t="n">
        <v>0</v>
      </c>
      <c r="E515" s="13" t="n">
        <v>0</v>
      </c>
      <c r="F515" s="13" t="n">
        <v>0</v>
      </c>
      <c r="G515" s="17" t="n">
        <v>0</v>
      </c>
      <c r="H515" s="13" t="n">
        <v>1</v>
      </c>
      <c r="I515" s="13" t="n">
        <v>0</v>
      </c>
      <c r="J515" s="13" t="n">
        <v>0</v>
      </c>
      <c r="K515" s="13" t="n">
        <v>0</v>
      </c>
      <c r="L515" s="17" t="n">
        <v>0</v>
      </c>
      <c r="M515" s="18" t="n">
        <f aca="false">IF(H515=0,"",I515/H515)</f>
        <v>0</v>
      </c>
    </row>
    <row r="516" customFormat="false" ht="15" hidden="false" customHeight="false" outlineLevel="0" collapsed="false">
      <c r="A516" s="13" t="s">
        <v>135</v>
      </c>
      <c r="B516" s="13" t="s">
        <v>172</v>
      </c>
      <c r="C516" s="13" t="n">
        <v>21</v>
      </c>
      <c r="D516" s="13" t="n">
        <v>19</v>
      </c>
      <c r="E516" s="13" t="n">
        <v>1</v>
      </c>
      <c r="F516" s="13" t="n">
        <v>0</v>
      </c>
      <c r="G516" s="17" t="n">
        <v>0.0070016</v>
      </c>
      <c r="H516" s="13" t="n">
        <v>21</v>
      </c>
      <c r="I516" s="13" t="n">
        <v>19</v>
      </c>
      <c r="J516" s="13" t="n">
        <v>1</v>
      </c>
      <c r="K516" s="13" t="n">
        <v>0</v>
      </c>
      <c r="L516" s="17" t="n">
        <v>0.0070016</v>
      </c>
      <c r="M516" s="18" t="n">
        <f aca="false">IF(H516=0,"",I516/H516)</f>
        <v>0.904761904761905</v>
      </c>
    </row>
    <row r="517" customFormat="false" ht="15" hidden="false" customHeight="false" outlineLevel="0" collapsed="false">
      <c r="A517" s="13" t="s">
        <v>135</v>
      </c>
      <c r="B517" s="13" t="s">
        <v>174</v>
      </c>
      <c r="C517" s="13" t="n">
        <v>7</v>
      </c>
      <c r="D517" s="13" t="n">
        <v>5</v>
      </c>
      <c r="E517" s="13" t="n">
        <v>0</v>
      </c>
      <c r="F517" s="13" t="n">
        <v>0</v>
      </c>
      <c r="G517" s="17" t="n">
        <v>0.00332357</v>
      </c>
      <c r="H517" s="13" t="n">
        <v>7</v>
      </c>
      <c r="I517" s="13" t="n">
        <v>5</v>
      </c>
      <c r="J517" s="13" t="n">
        <v>0</v>
      </c>
      <c r="K517" s="13" t="n">
        <v>0</v>
      </c>
      <c r="L517" s="17" t="n">
        <v>0.00332357</v>
      </c>
      <c r="M517" s="18" t="n">
        <f aca="false">IF(H517=0,"",I517/H517)</f>
        <v>0.714285714285714</v>
      </c>
    </row>
    <row r="518" customFormat="false" ht="15" hidden="false" customHeight="false" outlineLevel="0" collapsed="false">
      <c r="A518" s="13" t="s">
        <v>135</v>
      </c>
      <c r="B518" s="13" t="s">
        <v>175</v>
      </c>
      <c r="C518" s="13" t="n">
        <v>6</v>
      </c>
      <c r="D518" s="13" t="n">
        <v>0</v>
      </c>
      <c r="E518" s="13" t="n">
        <v>0</v>
      </c>
      <c r="F518" s="13" t="n">
        <v>6</v>
      </c>
      <c r="G518" s="17" t="n">
        <v>0</v>
      </c>
      <c r="H518" s="13" t="n">
        <v>6</v>
      </c>
      <c r="I518" s="13" t="n">
        <v>0</v>
      </c>
      <c r="J518" s="13" t="n">
        <v>0</v>
      </c>
      <c r="K518" s="13" t="n">
        <v>6</v>
      </c>
      <c r="L518" s="17" t="n">
        <v>0</v>
      </c>
      <c r="M518" s="18" t="n">
        <f aca="false">IF(H518=0,"",I518/H518)</f>
        <v>0</v>
      </c>
    </row>
    <row r="519" customFormat="false" ht="15" hidden="false" customHeight="false" outlineLevel="0" collapsed="false">
      <c r="A519" s="13" t="s">
        <v>135</v>
      </c>
      <c r="B519" s="13" t="s">
        <v>176</v>
      </c>
      <c r="C519" s="13" t="n">
        <v>1</v>
      </c>
      <c r="D519" s="13" t="n">
        <v>0</v>
      </c>
      <c r="E519" s="13" t="n">
        <v>0</v>
      </c>
      <c r="F519" s="13" t="n">
        <v>0</v>
      </c>
      <c r="G519" s="17" t="n">
        <v>0</v>
      </c>
      <c r="H519" s="13" t="n">
        <v>1</v>
      </c>
      <c r="I519" s="13" t="n">
        <v>0</v>
      </c>
      <c r="J519" s="13" t="n">
        <v>0</v>
      </c>
      <c r="K519" s="13" t="n">
        <v>0</v>
      </c>
      <c r="L519" s="17" t="n">
        <v>0</v>
      </c>
      <c r="M519" s="18" t="n">
        <f aca="false">IF(H519=0,"",I519/H519)</f>
        <v>0</v>
      </c>
    </row>
    <row r="520" customFormat="false" ht="15" hidden="false" customHeight="false" outlineLevel="0" collapsed="false">
      <c r="A520" s="13" t="s">
        <v>97</v>
      </c>
      <c r="B520" s="13" t="s">
        <v>169</v>
      </c>
      <c r="C520" s="13" t="n">
        <v>12</v>
      </c>
      <c r="D520" s="13" t="n">
        <v>0</v>
      </c>
      <c r="E520" s="13" t="n">
        <v>12</v>
      </c>
      <c r="F520" s="13" t="n">
        <v>24</v>
      </c>
      <c r="G520" s="17" t="n">
        <v>0</v>
      </c>
      <c r="H520" s="13" t="n">
        <v>12</v>
      </c>
      <c r="I520" s="13" t="n">
        <v>0</v>
      </c>
      <c r="J520" s="13" t="n">
        <v>12</v>
      </c>
      <c r="K520" s="13" t="n">
        <v>24</v>
      </c>
      <c r="L520" s="17" t="n">
        <v>0</v>
      </c>
      <c r="M520" s="18" t="n">
        <f aca="false">IF(H520=0,"",I520/H520)</f>
        <v>0</v>
      </c>
    </row>
    <row r="521" customFormat="false" ht="15" hidden="false" customHeight="false" outlineLevel="0" collapsed="false">
      <c r="A521" s="13" t="s">
        <v>97</v>
      </c>
      <c r="B521" s="13" t="s">
        <v>170</v>
      </c>
      <c r="C521" s="13" t="n">
        <v>12</v>
      </c>
      <c r="D521" s="13" t="n">
        <v>0</v>
      </c>
      <c r="E521" s="13" t="n">
        <v>0</v>
      </c>
      <c r="F521" s="13" t="n">
        <v>0</v>
      </c>
      <c r="G521" s="17" t="n">
        <v>0</v>
      </c>
      <c r="H521" s="13" t="n">
        <v>12</v>
      </c>
      <c r="I521" s="13" t="n">
        <v>0</v>
      </c>
      <c r="J521" s="13" t="n">
        <v>0</v>
      </c>
      <c r="K521" s="13" t="n">
        <v>0</v>
      </c>
      <c r="L521" s="17" t="n">
        <v>0</v>
      </c>
      <c r="M521" s="18" t="n">
        <f aca="false">IF(H521=0,"",I521/H521)</f>
        <v>0</v>
      </c>
    </row>
    <row r="522" customFormat="false" ht="15" hidden="false" customHeight="false" outlineLevel="0" collapsed="false">
      <c r="A522" s="13" t="s">
        <v>97</v>
      </c>
      <c r="B522" s="13" t="s">
        <v>172</v>
      </c>
      <c r="C522" s="13" t="n">
        <v>19</v>
      </c>
      <c r="D522" s="13" t="n">
        <v>10</v>
      </c>
      <c r="E522" s="13" t="n">
        <v>9</v>
      </c>
      <c r="F522" s="13" t="n">
        <v>0</v>
      </c>
      <c r="G522" s="17" t="n">
        <v>0.0113488</v>
      </c>
      <c r="H522" s="13" t="n">
        <v>19</v>
      </c>
      <c r="I522" s="13" t="n">
        <v>10</v>
      </c>
      <c r="J522" s="13" t="n">
        <v>9</v>
      </c>
      <c r="K522" s="13" t="n">
        <v>0</v>
      </c>
      <c r="L522" s="17" t="n">
        <v>0.0113488</v>
      </c>
      <c r="M522" s="18" t="n">
        <f aca="false">IF(H522=0,"",I522/H522)</f>
        <v>0.526315789473684</v>
      </c>
    </row>
    <row r="523" customFormat="false" ht="15" hidden="false" customHeight="false" outlineLevel="0" collapsed="false">
      <c r="A523" s="13" t="s">
        <v>97</v>
      </c>
      <c r="B523" s="13" t="s">
        <v>174</v>
      </c>
      <c r="C523" s="13" t="n">
        <v>43</v>
      </c>
      <c r="D523" s="13" t="n">
        <v>35</v>
      </c>
      <c r="E523" s="13" t="n">
        <v>0</v>
      </c>
      <c r="F523" s="13" t="n">
        <v>0</v>
      </c>
      <c r="G523" s="17" t="n">
        <v>0.01975069</v>
      </c>
      <c r="H523" s="13" t="n">
        <v>43</v>
      </c>
      <c r="I523" s="13" t="n">
        <v>35</v>
      </c>
      <c r="J523" s="13" t="n">
        <v>0</v>
      </c>
      <c r="K523" s="13" t="n">
        <v>0</v>
      </c>
      <c r="L523" s="17" t="n">
        <v>0.01975069</v>
      </c>
      <c r="M523" s="18" t="n">
        <f aca="false">IF(H523=0,"",I523/H523)</f>
        <v>0.813953488372093</v>
      </c>
    </row>
    <row r="524" customFormat="false" ht="15" hidden="false" customHeight="false" outlineLevel="0" collapsed="false">
      <c r="A524" s="13" t="s">
        <v>97</v>
      </c>
      <c r="B524" s="13" t="s">
        <v>175</v>
      </c>
      <c r="C524" s="13" t="n">
        <v>37</v>
      </c>
      <c r="D524" s="13" t="n">
        <v>0</v>
      </c>
      <c r="E524" s="13" t="n">
        <v>0</v>
      </c>
      <c r="F524" s="13" t="n">
        <v>37</v>
      </c>
      <c r="G524" s="17" t="n">
        <v>0</v>
      </c>
      <c r="H524" s="13" t="n">
        <v>37</v>
      </c>
      <c r="I524" s="13" t="n">
        <v>0</v>
      </c>
      <c r="J524" s="13" t="n">
        <v>0</v>
      </c>
      <c r="K524" s="13" t="n">
        <v>37</v>
      </c>
      <c r="L524" s="17" t="n">
        <v>0</v>
      </c>
      <c r="M524" s="18" t="n">
        <f aca="false">IF(H524=0,"",I524/H524)</f>
        <v>0</v>
      </c>
    </row>
    <row r="525" customFormat="false" ht="15" hidden="false" customHeight="false" outlineLevel="0" collapsed="false">
      <c r="A525" s="13" t="s">
        <v>97</v>
      </c>
      <c r="B525" s="13" t="s">
        <v>176</v>
      </c>
      <c r="C525" s="13" t="n">
        <v>6</v>
      </c>
      <c r="D525" s="13" t="n">
        <v>0</v>
      </c>
      <c r="E525" s="13" t="n">
        <v>0</v>
      </c>
      <c r="F525" s="13" t="n">
        <v>0</v>
      </c>
      <c r="G525" s="17" t="n">
        <v>0</v>
      </c>
      <c r="H525" s="13" t="n">
        <v>6</v>
      </c>
      <c r="I525" s="13" t="n">
        <v>0</v>
      </c>
      <c r="J525" s="13" t="n">
        <v>0</v>
      </c>
      <c r="K525" s="13" t="n">
        <v>0</v>
      </c>
      <c r="L525" s="17" t="n">
        <v>0</v>
      </c>
      <c r="M525" s="18" t="n">
        <f aca="false">IF(H525=0,"",I525/H525)</f>
        <v>0</v>
      </c>
    </row>
    <row r="526" customFormat="false" ht="15" hidden="false" customHeight="false" outlineLevel="0" collapsed="false">
      <c r="A526" s="13" t="s">
        <v>479</v>
      </c>
      <c r="B526" s="13" t="s">
        <v>176</v>
      </c>
      <c r="C526" s="13" t="n">
        <v>1</v>
      </c>
      <c r="D526" s="13" t="n">
        <v>0</v>
      </c>
      <c r="E526" s="13" t="n">
        <v>0</v>
      </c>
      <c r="F526" s="13" t="n">
        <v>0</v>
      </c>
      <c r="G526" s="17" t="n">
        <v>0</v>
      </c>
      <c r="H526" s="13" t="n">
        <v>1</v>
      </c>
      <c r="I526" s="13" t="n">
        <v>0</v>
      </c>
      <c r="J526" s="13" t="n">
        <v>0</v>
      </c>
      <c r="K526" s="13" t="n">
        <v>0</v>
      </c>
      <c r="L526" s="17" t="n">
        <v>0</v>
      </c>
      <c r="M526" s="18" t="n">
        <f aca="false">IF(H526=0,"",I526/H526)</f>
        <v>0</v>
      </c>
    </row>
    <row r="527" customFormat="false" ht="15" hidden="false" customHeight="false" outlineLevel="0" collapsed="false">
      <c r="A527" s="13" t="s">
        <v>480</v>
      </c>
      <c r="B527" s="13" t="s">
        <v>176</v>
      </c>
      <c r="C527" s="13" t="n">
        <v>1</v>
      </c>
      <c r="D527" s="13" t="n">
        <v>0</v>
      </c>
      <c r="E527" s="13" t="n">
        <v>0</v>
      </c>
      <c r="F527" s="13" t="n">
        <v>0</v>
      </c>
      <c r="G527" s="17" t="n">
        <v>0</v>
      </c>
      <c r="H527" s="13" t="n">
        <v>1</v>
      </c>
      <c r="I527" s="13" t="n">
        <v>0</v>
      </c>
      <c r="J527" s="13" t="n">
        <v>0</v>
      </c>
      <c r="K527" s="13" t="n">
        <v>0</v>
      </c>
      <c r="L527" s="17" t="n">
        <v>0</v>
      </c>
      <c r="M527" s="18" t="n">
        <f aca="false">IF(H527=0,"",I527/H527)</f>
        <v>0</v>
      </c>
    </row>
    <row r="528" customFormat="false" ht="15" hidden="false" customHeight="false" outlineLevel="0" collapsed="false">
      <c r="A528" s="13" t="s">
        <v>481</v>
      </c>
      <c r="B528" s="13" t="s">
        <v>176</v>
      </c>
      <c r="C528" s="13" t="n">
        <v>1</v>
      </c>
      <c r="D528" s="13" t="n">
        <v>0</v>
      </c>
      <c r="E528" s="13" t="n">
        <v>0</v>
      </c>
      <c r="F528" s="13" t="n">
        <v>0</v>
      </c>
      <c r="G528" s="17" t="n">
        <v>0</v>
      </c>
      <c r="H528" s="13" t="n">
        <v>1</v>
      </c>
      <c r="I528" s="13" t="n">
        <v>0</v>
      </c>
      <c r="J528" s="13" t="n">
        <v>0</v>
      </c>
      <c r="K528" s="13" t="n">
        <v>0</v>
      </c>
      <c r="L528" s="17" t="n">
        <v>0</v>
      </c>
      <c r="M528" s="18" t="n">
        <f aca="false">IF(H528=0,"",I528/H528)</f>
        <v>0</v>
      </c>
    </row>
    <row r="529" customFormat="false" ht="15" hidden="false" customHeight="false" outlineLevel="0" collapsed="false">
      <c r="A529" s="13" t="s">
        <v>482</v>
      </c>
      <c r="B529" s="13" t="s">
        <v>176</v>
      </c>
      <c r="C529" s="13" t="n">
        <v>1</v>
      </c>
      <c r="D529" s="13" t="n">
        <v>0</v>
      </c>
      <c r="E529" s="13" t="n">
        <v>0</v>
      </c>
      <c r="F529" s="13" t="n">
        <v>0</v>
      </c>
      <c r="G529" s="17" t="n">
        <v>0</v>
      </c>
      <c r="H529" s="13" t="n">
        <v>1</v>
      </c>
      <c r="I529" s="13" t="n">
        <v>0</v>
      </c>
      <c r="J529" s="13" t="n">
        <v>0</v>
      </c>
      <c r="K529" s="13" t="n">
        <v>0</v>
      </c>
      <c r="L529" s="17" t="n">
        <v>0</v>
      </c>
      <c r="M529" s="18" t="n">
        <f aca="false">IF(H529=0,"",I529/H529)</f>
        <v>0</v>
      </c>
    </row>
    <row r="530" customFormat="false" ht="15" hidden="false" customHeight="false" outlineLevel="0" collapsed="false">
      <c r="A530" s="13" t="s">
        <v>483</v>
      </c>
      <c r="B530" s="13" t="s">
        <v>176</v>
      </c>
      <c r="C530" s="13" t="n">
        <v>1</v>
      </c>
      <c r="D530" s="13" t="n">
        <v>0</v>
      </c>
      <c r="E530" s="13" t="n">
        <v>0</v>
      </c>
      <c r="F530" s="13" t="n">
        <v>0</v>
      </c>
      <c r="G530" s="17" t="n">
        <v>0</v>
      </c>
      <c r="H530" s="13" t="n">
        <v>1</v>
      </c>
      <c r="I530" s="13" t="n">
        <v>0</v>
      </c>
      <c r="J530" s="13" t="n">
        <v>0</v>
      </c>
      <c r="K530" s="13" t="n">
        <v>0</v>
      </c>
      <c r="L530" s="17" t="n">
        <v>0</v>
      </c>
      <c r="M530" s="18" t="n">
        <f aca="false">IF(H530=0,"",I530/H530)</f>
        <v>0</v>
      </c>
    </row>
    <row r="531" customFormat="false" ht="15" hidden="false" customHeight="false" outlineLevel="0" collapsed="false">
      <c r="A531" s="13" t="s">
        <v>484</v>
      </c>
      <c r="B531" s="13" t="s">
        <v>176</v>
      </c>
      <c r="C531" s="13" t="n">
        <v>1</v>
      </c>
      <c r="D531" s="13" t="n">
        <v>0</v>
      </c>
      <c r="E531" s="13" t="n">
        <v>0</v>
      </c>
      <c r="F531" s="13" t="n">
        <v>0</v>
      </c>
      <c r="G531" s="17" t="n">
        <v>0</v>
      </c>
      <c r="H531" s="13" t="n">
        <v>1</v>
      </c>
      <c r="I531" s="13" t="n">
        <v>0</v>
      </c>
      <c r="J531" s="13" t="n">
        <v>0</v>
      </c>
      <c r="K531" s="13" t="n">
        <v>0</v>
      </c>
      <c r="L531" s="17" t="n">
        <v>0</v>
      </c>
      <c r="M531" s="18" t="n">
        <f aca="false">IF(H531=0,"",I531/H531)</f>
        <v>0</v>
      </c>
    </row>
    <row r="532" customFormat="false" ht="15" hidden="false" customHeight="false" outlineLevel="0" collapsed="false">
      <c r="A532" s="13" t="s">
        <v>485</v>
      </c>
      <c r="B532" s="13" t="s">
        <v>176</v>
      </c>
      <c r="C532" s="13" t="n">
        <v>1</v>
      </c>
      <c r="D532" s="13" t="n">
        <v>0</v>
      </c>
      <c r="E532" s="13" t="n">
        <v>0</v>
      </c>
      <c r="F532" s="13" t="n">
        <v>0</v>
      </c>
      <c r="G532" s="17" t="n">
        <v>0</v>
      </c>
      <c r="H532" s="13" t="n">
        <v>1</v>
      </c>
      <c r="I532" s="13" t="n">
        <v>0</v>
      </c>
      <c r="J532" s="13" t="n">
        <v>0</v>
      </c>
      <c r="K532" s="13" t="n">
        <v>0</v>
      </c>
      <c r="L532" s="17" t="n">
        <v>0</v>
      </c>
      <c r="M532" s="18" t="n">
        <f aca="false">IF(H532=0,"",I532/H532)</f>
        <v>0</v>
      </c>
    </row>
    <row r="533" customFormat="false" ht="15" hidden="false" customHeight="false" outlineLevel="0" collapsed="false">
      <c r="A533" s="13" t="s">
        <v>486</v>
      </c>
      <c r="B533" s="13" t="s">
        <v>176</v>
      </c>
      <c r="C533" s="13" t="n">
        <v>1</v>
      </c>
      <c r="D533" s="13" t="n">
        <v>0</v>
      </c>
      <c r="E533" s="13" t="n">
        <v>0</v>
      </c>
      <c r="F533" s="13" t="n">
        <v>0</v>
      </c>
      <c r="G533" s="17" t="n">
        <v>0</v>
      </c>
      <c r="H533" s="13" t="n">
        <v>1</v>
      </c>
      <c r="I533" s="13" t="n">
        <v>0</v>
      </c>
      <c r="J533" s="13" t="n">
        <v>0</v>
      </c>
      <c r="K533" s="13" t="n">
        <v>0</v>
      </c>
      <c r="L533" s="17" t="n">
        <v>0</v>
      </c>
      <c r="M533" s="18" t="n">
        <f aca="false">IF(H533=0,"",I533/H533)</f>
        <v>0</v>
      </c>
    </row>
    <row r="534" customFormat="false" ht="15" hidden="false" customHeight="false" outlineLevel="0" collapsed="false">
      <c r="A534" s="13" t="s">
        <v>487</v>
      </c>
      <c r="B534" s="13" t="s">
        <v>176</v>
      </c>
      <c r="C534" s="13" t="n">
        <v>1</v>
      </c>
      <c r="D534" s="13" t="n">
        <v>0</v>
      </c>
      <c r="E534" s="13" t="n">
        <v>0</v>
      </c>
      <c r="F534" s="13" t="n">
        <v>0</v>
      </c>
      <c r="G534" s="17" t="n">
        <v>0</v>
      </c>
      <c r="H534" s="13" t="n">
        <v>1</v>
      </c>
      <c r="I534" s="13" t="n">
        <v>0</v>
      </c>
      <c r="J534" s="13" t="n">
        <v>0</v>
      </c>
      <c r="K534" s="13" t="n">
        <v>0</v>
      </c>
      <c r="L534" s="17" t="n">
        <v>0</v>
      </c>
      <c r="M534" s="18" t="n">
        <f aca="false">IF(H534=0,"",I534/H534)</f>
        <v>0</v>
      </c>
    </row>
    <row r="535" customFormat="false" ht="15" hidden="false" customHeight="false" outlineLevel="0" collapsed="false">
      <c r="A535" s="13" t="s">
        <v>488</v>
      </c>
      <c r="B535" s="13" t="s">
        <v>176</v>
      </c>
      <c r="C535" s="13" t="n">
        <v>1</v>
      </c>
      <c r="D535" s="13" t="n">
        <v>0</v>
      </c>
      <c r="E535" s="13" t="n">
        <v>0</v>
      </c>
      <c r="F535" s="13" t="n">
        <v>0</v>
      </c>
      <c r="G535" s="17" t="n">
        <v>0</v>
      </c>
      <c r="H535" s="13" t="n">
        <v>1</v>
      </c>
      <c r="I535" s="13" t="n">
        <v>0</v>
      </c>
      <c r="J535" s="13" t="n">
        <v>0</v>
      </c>
      <c r="K535" s="13" t="n">
        <v>0</v>
      </c>
      <c r="L535" s="17" t="n">
        <v>0</v>
      </c>
      <c r="M535" s="18" t="n">
        <f aca="false">IF(H535=0,"",I535/H535)</f>
        <v>0</v>
      </c>
    </row>
    <row r="536" customFormat="false" ht="15" hidden="false" customHeight="false" outlineLevel="0" collapsed="false">
      <c r="A536" s="13" t="s">
        <v>489</v>
      </c>
      <c r="B536" s="13" t="s">
        <v>176</v>
      </c>
      <c r="C536" s="13" t="n">
        <v>1</v>
      </c>
      <c r="D536" s="13" t="n">
        <v>0</v>
      </c>
      <c r="E536" s="13" t="n">
        <v>0</v>
      </c>
      <c r="F536" s="13" t="n">
        <v>0</v>
      </c>
      <c r="G536" s="17" t="n">
        <v>0</v>
      </c>
      <c r="H536" s="13" t="n">
        <v>1</v>
      </c>
      <c r="I536" s="13" t="n">
        <v>0</v>
      </c>
      <c r="J536" s="13" t="n">
        <v>0</v>
      </c>
      <c r="K536" s="13" t="n">
        <v>0</v>
      </c>
      <c r="L536" s="17" t="n">
        <v>0</v>
      </c>
      <c r="M536" s="18" t="n">
        <f aca="false">IF(H536=0,"",I536/H536)</f>
        <v>0</v>
      </c>
    </row>
    <row r="537" customFormat="false" ht="15" hidden="false" customHeight="false" outlineLevel="0" collapsed="false">
      <c r="A537" s="13" t="s">
        <v>490</v>
      </c>
      <c r="B537" s="13" t="s">
        <v>176</v>
      </c>
      <c r="C537" s="13" t="n">
        <v>1</v>
      </c>
      <c r="D537" s="13" t="n">
        <v>0</v>
      </c>
      <c r="E537" s="13" t="n">
        <v>0</v>
      </c>
      <c r="F537" s="13" t="n">
        <v>0</v>
      </c>
      <c r="G537" s="17" t="n">
        <v>0</v>
      </c>
      <c r="H537" s="13" t="n">
        <v>1</v>
      </c>
      <c r="I537" s="13" t="n">
        <v>0</v>
      </c>
      <c r="J537" s="13" t="n">
        <v>0</v>
      </c>
      <c r="K537" s="13" t="n">
        <v>0</v>
      </c>
      <c r="L537" s="17" t="n">
        <v>0</v>
      </c>
      <c r="M537" s="18" t="n">
        <f aca="false">IF(H537=0,"",I537/H537)</f>
        <v>0</v>
      </c>
    </row>
    <row r="538" customFormat="false" ht="15" hidden="false" customHeight="false" outlineLevel="0" collapsed="false">
      <c r="A538" s="13" t="s">
        <v>491</v>
      </c>
      <c r="B538" s="13" t="s">
        <v>176</v>
      </c>
      <c r="C538" s="13" t="n">
        <v>1</v>
      </c>
      <c r="D538" s="13" t="n">
        <v>0</v>
      </c>
      <c r="E538" s="13" t="n">
        <v>0</v>
      </c>
      <c r="F538" s="13" t="n">
        <v>0</v>
      </c>
      <c r="G538" s="17" t="n">
        <v>0</v>
      </c>
      <c r="H538" s="13" t="n">
        <v>1</v>
      </c>
      <c r="I538" s="13" t="n">
        <v>0</v>
      </c>
      <c r="J538" s="13" t="n">
        <v>0</v>
      </c>
      <c r="K538" s="13" t="n">
        <v>0</v>
      </c>
      <c r="L538" s="17" t="n">
        <v>0</v>
      </c>
      <c r="M538" s="18" t="n">
        <f aca="false">IF(H538=0,"",I538/H538)</f>
        <v>0</v>
      </c>
    </row>
    <row r="539" customFormat="false" ht="15" hidden="false" customHeight="false" outlineLevel="0" collapsed="false">
      <c r="A539" s="13" t="s">
        <v>147</v>
      </c>
      <c r="B539" s="13" t="s">
        <v>169</v>
      </c>
      <c r="C539" s="13" t="n">
        <v>2</v>
      </c>
      <c r="D539" s="13" t="n">
        <v>0</v>
      </c>
      <c r="E539" s="13" t="n">
        <v>0</v>
      </c>
      <c r="F539" s="13" t="n">
        <v>4</v>
      </c>
      <c r="G539" s="17" t="n">
        <v>0</v>
      </c>
      <c r="H539" s="13" t="n">
        <v>2</v>
      </c>
      <c r="I539" s="13" t="n">
        <v>0</v>
      </c>
      <c r="J539" s="13" t="n">
        <v>0</v>
      </c>
      <c r="K539" s="13" t="n">
        <v>4</v>
      </c>
      <c r="L539" s="17" t="n">
        <v>0</v>
      </c>
      <c r="M539" s="18" t="n">
        <f aca="false">IF(H539=0,"",I539/H539)</f>
        <v>0</v>
      </c>
    </row>
    <row r="540" customFormat="false" ht="15" hidden="false" customHeight="false" outlineLevel="0" collapsed="false">
      <c r="A540" s="13" t="s">
        <v>147</v>
      </c>
      <c r="B540" s="13" t="s">
        <v>170</v>
      </c>
      <c r="C540" s="13" t="n">
        <v>0</v>
      </c>
      <c r="D540" s="13" t="n">
        <v>0</v>
      </c>
      <c r="E540" s="13" t="n">
        <v>0</v>
      </c>
      <c r="F540" s="13" t="n">
        <v>0</v>
      </c>
      <c r="G540" s="17" t="n">
        <v>0</v>
      </c>
      <c r="H540" s="13" t="n">
        <v>3</v>
      </c>
      <c r="I540" s="13" t="n">
        <v>1</v>
      </c>
      <c r="J540" s="13" t="n">
        <v>2</v>
      </c>
      <c r="K540" s="13" t="n">
        <v>0</v>
      </c>
      <c r="L540" s="17" t="n">
        <v>0</v>
      </c>
      <c r="M540" s="18" t="n">
        <f aca="false">IF(H540=0,"",I540/H540)</f>
        <v>0.333333333333333</v>
      </c>
    </row>
    <row r="541" customFormat="false" ht="15" hidden="false" customHeight="false" outlineLevel="0" collapsed="false">
      <c r="A541" s="13" t="s">
        <v>147</v>
      </c>
      <c r="B541" s="13" t="s">
        <v>172</v>
      </c>
      <c r="C541" s="13" t="n">
        <v>7</v>
      </c>
      <c r="D541" s="13" t="n">
        <v>3</v>
      </c>
      <c r="E541" s="13" t="n">
        <v>0</v>
      </c>
      <c r="F541" s="13" t="n">
        <v>0</v>
      </c>
      <c r="G541" s="17" t="n">
        <v>0.0071864</v>
      </c>
      <c r="H541" s="13" t="n">
        <v>11</v>
      </c>
      <c r="I541" s="13" t="n">
        <v>5</v>
      </c>
      <c r="J541" s="13" t="n">
        <v>2</v>
      </c>
      <c r="K541" s="13" t="n">
        <v>0</v>
      </c>
      <c r="L541" s="17" t="n">
        <v>0.00879453333333333</v>
      </c>
      <c r="M541" s="18" t="n">
        <f aca="false">IF(H541=0,"",I541/H541)</f>
        <v>0.454545454545455</v>
      </c>
    </row>
    <row r="542" customFormat="false" ht="15" hidden="false" customHeight="false" outlineLevel="0" collapsed="false">
      <c r="A542" s="13" t="s">
        <v>147</v>
      </c>
      <c r="B542" s="13" t="s">
        <v>175</v>
      </c>
      <c r="C542" s="13" t="n">
        <v>16</v>
      </c>
      <c r="D542" s="13" t="n">
        <v>0</v>
      </c>
      <c r="E542" s="13" t="n">
        <v>0</v>
      </c>
      <c r="F542" s="13" t="n">
        <v>16</v>
      </c>
      <c r="G542" s="17" t="n">
        <v>0</v>
      </c>
      <c r="H542" s="13" t="n">
        <v>16</v>
      </c>
      <c r="I542" s="13" t="n">
        <v>0</v>
      </c>
      <c r="J542" s="13" t="n">
        <v>0</v>
      </c>
      <c r="K542" s="13" t="n">
        <v>16</v>
      </c>
      <c r="L542" s="17" t="n">
        <v>0</v>
      </c>
      <c r="M542" s="18" t="n">
        <f aca="false">IF(H542=0,"",I542/H542)</f>
        <v>0</v>
      </c>
    </row>
    <row r="543" customFormat="false" ht="15" hidden="false" customHeight="false" outlineLevel="0" collapsed="false">
      <c r="A543" s="13" t="s">
        <v>147</v>
      </c>
      <c r="B543" s="13" t="s">
        <v>176</v>
      </c>
      <c r="C543" s="13" t="n">
        <v>0</v>
      </c>
      <c r="D543" s="13" t="n">
        <v>0</v>
      </c>
      <c r="E543" s="13" t="n">
        <v>0</v>
      </c>
      <c r="F543" s="13" t="n">
        <v>0</v>
      </c>
      <c r="G543" s="17" t="n">
        <v>0</v>
      </c>
      <c r="H543" s="13" t="n">
        <v>2</v>
      </c>
      <c r="I543" s="13" t="n">
        <v>0</v>
      </c>
      <c r="J543" s="13" t="n">
        <v>0</v>
      </c>
      <c r="K543" s="13" t="n">
        <v>0</v>
      </c>
      <c r="L543" s="17" t="n">
        <v>0</v>
      </c>
      <c r="M543" s="18" t="n">
        <f aca="false">IF(H543=0,"",I543/H543)</f>
        <v>0</v>
      </c>
    </row>
    <row r="544" customFormat="false" ht="15" hidden="false" customHeight="false" outlineLevel="0" collapsed="false">
      <c r="A544" s="13" t="s">
        <v>492</v>
      </c>
      <c r="B544" s="13" t="s">
        <v>176</v>
      </c>
      <c r="C544" s="13" t="n">
        <v>1</v>
      </c>
      <c r="D544" s="13" t="n">
        <v>0</v>
      </c>
      <c r="E544" s="13" t="n">
        <v>0</v>
      </c>
      <c r="F544" s="13" t="n">
        <v>0</v>
      </c>
      <c r="G544" s="17" t="n">
        <v>0</v>
      </c>
      <c r="H544" s="13" t="n">
        <v>1</v>
      </c>
      <c r="I544" s="13" t="n">
        <v>0</v>
      </c>
      <c r="J544" s="13" t="n">
        <v>0</v>
      </c>
      <c r="K544" s="13" t="n">
        <v>0</v>
      </c>
      <c r="L544" s="17" t="n">
        <v>0</v>
      </c>
      <c r="M544" s="18" t="n">
        <f aca="false">IF(H544=0,"",I544/H544)</f>
        <v>0</v>
      </c>
    </row>
    <row r="545" customFormat="false" ht="15" hidden="false" customHeight="false" outlineLevel="0" collapsed="false">
      <c r="A545" s="13" t="s">
        <v>493</v>
      </c>
      <c r="B545" s="13" t="s">
        <v>176</v>
      </c>
      <c r="C545" s="13" t="n">
        <v>1</v>
      </c>
      <c r="D545" s="13" t="n">
        <v>0</v>
      </c>
      <c r="E545" s="13" t="n">
        <v>0</v>
      </c>
      <c r="F545" s="13" t="n">
        <v>0</v>
      </c>
      <c r="G545" s="17" t="n">
        <v>0</v>
      </c>
      <c r="H545" s="13" t="n">
        <v>1</v>
      </c>
      <c r="I545" s="13" t="n">
        <v>0</v>
      </c>
      <c r="J545" s="13" t="n">
        <v>0</v>
      </c>
      <c r="K545" s="13" t="n">
        <v>0</v>
      </c>
      <c r="L545" s="17" t="n">
        <v>0</v>
      </c>
      <c r="M545" s="18" t="n">
        <f aca="false">IF(H545=0,"",I545/H545)</f>
        <v>0</v>
      </c>
    </row>
    <row r="546" customFormat="false" ht="15" hidden="false" customHeight="false" outlineLevel="0" collapsed="false">
      <c r="A546" s="13" t="s">
        <v>494</v>
      </c>
      <c r="B546" s="13" t="s">
        <v>176</v>
      </c>
      <c r="C546" s="13" t="n">
        <v>0</v>
      </c>
      <c r="D546" s="13" t="n">
        <v>0</v>
      </c>
      <c r="E546" s="13" t="n">
        <v>0</v>
      </c>
      <c r="F546" s="13" t="n">
        <v>0</v>
      </c>
      <c r="G546" s="17" t="n">
        <v>0</v>
      </c>
      <c r="H546" s="13" t="n">
        <v>1</v>
      </c>
      <c r="I546" s="13" t="n">
        <v>0</v>
      </c>
      <c r="J546" s="13" t="n">
        <v>0</v>
      </c>
      <c r="K546" s="13" t="n">
        <v>0</v>
      </c>
      <c r="L546" s="17" t="n">
        <v>0</v>
      </c>
      <c r="M546" s="18" t="n">
        <f aca="false">IF(H546=0,"",I546/H546)</f>
        <v>0</v>
      </c>
    </row>
    <row r="547" customFormat="false" ht="15" hidden="false" customHeight="false" outlineLevel="0" collapsed="false">
      <c r="A547" s="13" t="s">
        <v>495</v>
      </c>
      <c r="B547" s="13" t="s">
        <v>176</v>
      </c>
      <c r="C547" s="13" t="n">
        <v>1</v>
      </c>
      <c r="D547" s="13" t="n">
        <v>0</v>
      </c>
      <c r="E547" s="13" t="n">
        <v>0</v>
      </c>
      <c r="F547" s="13" t="n">
        <v>0</v>
      </c>
      <c r="G547" s="17" t="n">
        <v>0</v>
      </c>
      <c r="H547" s="13" t="n">
        <v>1</v>
      </c>
      <c r="I547" s="13" t="n">
        <v>0</v>
      </c>
      <c r="J547" s="13" t="n">
        <v>0</v>
      </c>
      <c r="K547" s="13" t="n">
        <v>0</v>
      </c>
      <c r="L547" s="17" t="n">
        <v>0</v>
      </c>
      <c r="M547" s="18" t="n">
        <f aca="false">IF(H547=0,"",I547/H547)</f>
        <v>0</v>
      </c>
    </row>
    <row r="548" customFormat="false" ht="15" hidden="false" customHeight="false" outlineLevel="0" collapsed="false">
      <c r="A548" s="13" t="s">
        <v>496</v>
      </c>
      <c r="B548" s="13" t="s">
        <v>176</v>
      </c>
      <c r="C548" s="13" t="n">
        <v>1</v>
      </c>
      <c r="D548" s="13" t="n">
        <v>0</v>
      </c>
      <c r="E548" s="13" t="n">
        <v>0</v>
      </c>
      <c r="F548" s="13" t="n">
        <v>0</v>
      </c>
      <c r="G548" s="17" t="n">
        <v>0</v>
      </c>
      <c r="H548" s="13" t="n">
        <v>1</v>
      </c>
      <c r="I548" s="13" t="n">
        <v>0</v>
      </c>
      <c r="J548" s="13" t="n">
        <v>0</v>
      </c>
      <c r="K548" s="13" t="n">
        <v>0</v>
      </c>
      <c r="L548" s="17" t="n">
        <v>0</v>
      </c>
      <c r="M548" s="18" t="n">
        <f aca="false">IF(H548=0,"",I548/H548)</f>
        <v>0</v>
      </c>
    </row>
    <row r="549" customFormat="false" ht="15" hidden="false" customHeight="false" outlineLevel="0" collapsed="false">
      <c r="A549" s="13" t="s">
        <v>497</v>
      </c>
      <c r="B549" s="13" t="s">
        <v>176</v>
      </c>
      <c r="C549" s="13" t="n">
        <v>1</v>
      </c>
      <c r="D549" s="13" t="n">
        <v>0</v>
      </c>
      <c r="E549" s="13" t="n">
        <v>0</v>
      </c>
      <c r="F549" s="13" t="n">
        <v>0</v>
      </c>
      <c r="G549" s="17" t="n">
        <v>0</v>
      </c>
      <c r="H549" s="13" t="n">
        <v>1</v>
      </c>
      <c r="I549" s="13" t="n">
        <v>0</v>
      </c>
      <c r="J549" s="13" t="n">
        <v>0</v>
      </c>
      <c r="K549" s="13" t="n">
        <v>0</v>
      </c>
      <c r="L549" s="17" t="n">
        <v>0</v>
      </c>
      <c r="M549" s="18" t="n">
        <f aca="false">IF(H549=0,"",I549/H549)</f>
        <v>0</v>
      </c>
    </row>
    <row r="550" customFormat="false" ht="15" hidden="false" customHeight="false" outlineLevel="0" collapsed="false">
      <c r="A550" s="13" t="s">
        <v>498</v>
      </c>
      <c r="B550" s="13" t="s">
        <v>176</v>
      </c>
      <c r="C550" s="13" t="n">
        <v>1</v>
      </c>
      <c r="D550" s="13" t="n">
        <v>0</v>
      </c>
      <c r="E550" s="13" t="n">
        <v>0</v>
      </c>
      <c r="F550" s="13" t="n">
        <v>0</v>
      </c>
      <c r="G550" s="17" t="n">
        <v>0</v>
      </c>
      <c r="H550" s="13" t="n">
        <v>1</v>
      </c>
      <c r="I550" s="13" t="n">
        <v>0</v>
      </c>
      <c r="J550" s="13" t="n">
        <v>0</v>
      </c>
      <c r="K550" s="13" t="n">
        <v>0</v>
      </c>
      <c r="L550" s="17" t="n">
        <v>0</v>
      </c>
      <c r="M550" s="18" t="n">
        <f aca="false">IF(H550=0,"",I550/H550)</f>
        <v>0</v>
      </c>
    </row>
    <row r="551" customFormat="false" ht="15" hidden="false" customHeight="false" outlineLevel="0" collapsed="false">
      <c r="A551" s="13" t="s">
        <v>499</v>
      </c>
      <c r="B551" s="13" t="s">
        <v>176</v>
      </c>
      <c r="C551" s="13" t="n">
        <v>1</v>
      </c>
      <c r="D551" s="13" t="n">
        <v>0</v>
      </c>
      <c r="E551" s="13" t="n">
        <v>0</v>
      </c>
      <c r="F551" s="13" t="n">
        <v>0</v>
      </c>
      <c r="G551" s="17" t="n">
        <v>0</v>
      </c>
      <c r="H551" s="13" t="n">
        <v>2</v>
      </c>
      <c r="I551" s="13" t="n">
        <v>0</v>
      </c>
      <c r="J551" s="13" t="n">
        <v>0</v>
      </c>
      <c r="K551" s="13" t="n">
        <v>0</v>
      </c>
      <c r="L551" s="17" t="n">
        <v>0</v>
      </c>
      <c r="M551" s="18" t="n">
        <f aca="false">IF(H551=0,"",I551/H551)</f>
        <v>0</v>
      </c>
    </row>
    <row r="552" customFormat="false" ht="15" hidden="false" customHeight="false" outlineLevel="0" collapsed="false">
      <c r="A552" s="13" t="s">
        <v>500</v>
      </c>
      <c r="B552" s="13" t="s">
        <v>176</v>
      </c>
      <c r="C552" s="13" t="n">
        <v>1</v>
      </c>
      <c r="D552" s="13" t="n">
        <v>0</v>
      </c>
      <c r="E552" s="13" t="n">
        <v>0</v>
      </c>
      <c r="F552" s="13" t="n">
        <v>0</v>
      </c>
      <c r="G552" s="17" t="n">
        <v>0</v>
      </c>
      <c r="H552" s="13" t="n">
        <v>2</v>
      </c>
      <c r="I552" s="13" t="n">
        <v>0</v>
      </c>
      <c r="J552" s="13" t="n">
        <v>0</v>
      </c>
      <c r="K552" s="13" t="n">
        <v>0</v>
      </c>
      <c r="L552" s="17" t="n">
        <v>0</v>
      </c>
      <c r="M552" s="18" t="n">
        <f aca="false">IF(H552=0,"",I552/H552)</f>
        <v>0</v>
      </c>
    </row>
  </sheetData>
  <autoFilter ref="A14:M5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2026-10-22T20:17:38Z</dcterms:created>
  <dc:creator>openpyxl</dc:creator>
  <dc:description/>
  <dc:language>en-US</dc:language>
  <cp:lastModifiedBy/>
  <dcterms:modified xsi:type="dcterms:W3CDTF">2026-10-22T20:17:39Z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