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<sst xmlns="http://schemas.openxmlformats.org/spreadsheetml/2006/main" count="7796" uniqueCount="491">
  <si>
    <t xml:space="preserve">Canada course data by provider: 2026-10-24</t>
  </si>
  <si>
    <t xml:space="preserve">Start: values held on 2026-10-21, the first day recorded for Canada.</t>
  </si>
  <si>
    <t xml:space="preserve">Previous: the day before (2026-10-23). Today: 2026-10-24.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</si>
  <si>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</si>
  <si>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</si>
  <si>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</si>
  <si>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</si>
  <si>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</si>
  <si>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</si>
  <si>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</si>
  <si>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</si>
  <si>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</si>
  <si>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</si>
  <si>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</si>
  <si>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</si>
  <si>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</si>
  <si>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</si>
  <si>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</si>
  <si>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</si>
  <si>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</si>
  <si>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</si>
  <si>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</si>
  <si>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</si>
  <si>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</si>
  <si>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</si>
  <si>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</si>
  <si>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</si>
  <si>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</si>
  <si>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</si>
  <si>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</si>
  <si>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</si>
  <si>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</si>
  <si>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</si>
  <si>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</si>
  <si>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</si>
  <si>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</si>
  <si>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</si>
  <si>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</si>
  <si>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</si>
  <si>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</si>
  <si>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</si>
  <si>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</si>
  <si>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</si>
  <si>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</si>
  <si>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</si>
  <si>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</si>
  <si>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</si>
  <si>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</si>
  <si>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</si>
  <si>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</si>
  <si>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</si>
  <si>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</si>
  <si>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</si>
  <si>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</si>
  <si>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</si>
  <si>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</si>
  <si>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</si>
  <si>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</si>
  <si>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</si>
  <si>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</si>
  <si>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</si>
  <si>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</si>
  <si>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</si>
  <si>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</si>
  <si>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</si>
  <si>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</si>
  <si>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</si>
  <si>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</si>
  <si>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</si>
  <si>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</si>
  <si>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</si>
  <si>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</si>
  <si>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</si>
  <si>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</si>
  <si>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</si>
  <si>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</si>
  <si>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</si>
  <si>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</si>
  <si>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</si>
  <si>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</si>
  <si>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</si>
  <si>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</si>
  <si>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</si>
  <si>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</si>
  <si>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</si>
  <si>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</si>
  <si>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</si>
  <si>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</si>
  <si>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</si>
  <si>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</si>
  <si>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</si>
  <si>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</si>
  <si>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</si>
  <si>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</si>
  <si>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</si>
  <si>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</si>
  <si>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</si>
  <si>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</si>
  <si>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</si>
  <si>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</si>
  <si>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</si>
  <si>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</si>
  <si>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</si>
  <si>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</si>
  <si>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</si>
  <si>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</si>
  <si>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</si>
  <si>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</si>
  <si>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</si>
  <si>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</si>
  <si>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</si>
  <si>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</si>
  <si>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</si>
  <si>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</si>
  <si>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</si>
  <si>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</si>
  <si>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</si>
  <si>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</si>
  <si>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</si>
  <si>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</si>
  <si>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</si>
  <si>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</si>
  <si>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</si>
  <si>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</si>
  <si>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</si>
  <si>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</si>
  <si>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</si>
  <si>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</si>
  <si>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</si>
  <si>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</si>
  <si>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</si>
  <si>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</si>
  <si>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</si>
  <si>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</si>
  <si>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</si>
  <si>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</si>
  <si>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</si>
  <si>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</si>
  <si>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</si>
  <si>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</si>
  <si>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</si>
  <si>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</si>
  <si>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</si>
  <si>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</si>
  <si>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</si>
  <si>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</si>
  <si>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</si>
  <si>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</si>
  <si>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</si>
  <si>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</si>
  <si>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</si>
  <si>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</si>
  <si>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</si>
  <si>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</si>
  <si>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</si>
  <si>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</si>
  <si>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2026-10-23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</si>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</sst>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2622</v>
      </c>
      <c r="F2" s="6" t="n">
        <f aca="false">SUM('Per provider'!F3:F54)</f>
        <v>2623</v>
      </c>
      <c r="G2" s="7" t="n">
        <f aca="false">F2-E2</f>
        <v>1</v>
      </c>
      <c r="H2" s="7" t="n">
        <f aca="false">F2-D2</f>
        <v>-82</v>
      </c>
      <c r="I2" s="8" t="n">
        <f aca="false">IF(C2=0,0,D2/C2)</f>
        <v>0.709229155742003</v>
      </c>
      <c r="J2" s="8" t="n">
        <f aca="false">IF(C2=0,0,F2/C2)</f>
        <v>0.687729417933928</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3806</v>
      </c>
      <c r="F3" s="6" t="n">
        <f aca="false">SUM('Per provider'!K3:K54)</f>
        <v>3814</v>
      </c>
      <c r="G3" s="7" t="n">
        <f aca="false">F3-E3</f>
        <v>8</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3746</v>
      </c>
      <c r="F4" s="6" t="n">
        <f aca="false">SUM('Per provider'!P3:P54)</f>
        <v>3774</v>
      </c>
      <c r="G4" s="7" t="n">
        <f aca="false">F4-E4</f>
        <v>28</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1554</v>
      </c>
      <c r="F5" s="6" t="n">
        <f aca="false">SUM('Per provider'!U3:U54)</f>
        <v>1315</v>
      </c>
      <c r="G5" s="7" t="n">
        <f aca="false">F5-E5</f>
        <v>-239</v>
      </c>
      <c r="H5" s="7" t="n">
        <f aca="false">F5-D5</f>
        <v>-212</v>
      </c>
      <c r="I5" s="8" t="n">
        <f aca="false">IF(C5=0,0,D5/C5)</f>
        <v>0.400367068694284</v>
      </c>
      <c r="J5" s="8" t="n">
        <f aca="false">IF(C5=0,0,F5/C5)</f>
        <v>0.344782380702674</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2743</v>
      </c>
      <c r="F6" s="6" t="n">
        <f aca="false">SUM('Per provider'!Z3:Z54)</f>
        <v>2289</v>
      </c>
      <c r="G6" s="7" t="n">
        <f aca="false">F6-E6</f>
        <v>-454</v>
      </c>
      <c r="H6" s="7" t="n">
        <f aca="false">F6-D6</f>
        <v>-650</v>
      </c>
      <c r="I6" s="8" t="n">
        <f aca="false">IF(C6=0,0,D6/C6)</f>
        <v>0.770582066072365</v>
      </c>
      <c r="J6" s="8" t="n">
        <f aca="false">IF(C6=0,0,F6/C6)</f>
        <v>0.600157315154693</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2332</v>
      </c>
      <c r="F7" s="6" t="n">
        <f aca="false">SUM('Per provider'!AE3:AE54)</f>
        <v>2047</v>
      </c>
      <c r="G7" s="7" t="n">
        <f aca="false">F7-E7</f>
        <v>-285</v>
      </c>
      <c r="H7" s="7" t="n">
        <f aca="false">F7-D7</f>
        <v>-356</v>
      </c>
      <c r="I7" s="8" t="n">
        <f aca="false">IF(C7=0,0,D7/C7)</f>
        <v>0.630047194546408</v>
      </c>
      <c r="J7" s="8" t="n">
        <f aca="false">IF(C7=0,0,F7/C7)</f>
        <v>0.536706869428422</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1821</v>
      </c>
      <c r="F8" s="6" t="n">
        <f aca="false">SUM('Per provider'!AJ3:AJ54)</f>
        <v>1522</v>
      </c>
      <c r="G8" s="7" t="n">
        <f aca="false">F8-E8</f>
        <v>-299</v>
      </c>
      <c r="H8" s="7" t="n">
        <f aca="false">F8-D8</f>
        <v>-352</v>
      </c>
      <c r="I8" s="8" t="n">
        <f aca="false">IF(C8=0,0,D8/C8)</f>
        <v>0.491347666491872</v>
      </c>
      <c r="J8" s="8" t="n">
        <f aca="false">IF(C8=0,0,F8/C8)</f>
        <v>0.399056109071841</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3806</v>
      </c>
      <c r="F9" s="6" t="n">
        <f aca="false">SUM('Per provider'!AO3:AO54)</f>
        <v>3814</v>
      </c>
      <c r="G9" s="7" t="n">
        <f aca="false">F9-E9</f>
        <v>8</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474</v>
      </c>
      <c r="F10" s="6" t="n">
        <f aca="false">SUM('Per provider'!AT3:AT54)</f>
        <v>670</v>
      </c>
      <c r="G10" s="7" t="n">
        <f aca="false">F10-E10</f>
        <v>196</v>
      </c>
      <c r="H10" s="7" t="n">
        <f aca="false">F10-D10</f>
        <v>251</v>
      </c>
      <c r="I10" s="8" t="n">
        <f aca="false">IF(C10=0,0,D10/C10)</f>
        <v>0.109858416360776</v>
      </c>
      <c r="J10" s="8" t="n">
        <f aca="false">IF(C10=0,0,F10/C10)</f>
        <v>0.175668589407446</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1169</v>
      </c>
      <c r="F11" s="6" t="n">
        <f aca="false">SUM('Per provider'!AY3:AY54)</f>
        <v>1597</v>
      </c>
      <c r="G11" s="7" t="n">
        <f aca="false">F11-E11</f>
        <v>428</v>
      </c>
      <c r="H11" s="7" t="n">
        <f aca="false">F11-D11</f>
        <v>548</v>
      </c>
      <c r="I11" s="8" t="n">
        <f aca="false">IF(C11=0,0,D11/C11)</f>
        <v>0.275039328788673</v>
      </c>
      <c r="J11" s="8" t="n">
        <f aca="false">IF(C11=0,0,F11/C11)</f>
        <v>0.418720503408495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1775</v>
      </c>
      <c r="F13" s="6" t="n">
        <f aca="false">SUM('Per provider'!BI3:BI54)</f>
        <v>1987</v>
      </c>
      <c r="G13" s="7" t="n">
        <f aca="false">F13-E13</f>
        <v>212</v>
      </c>
      <c r="H13" s="7" t="n">
        <f aca="false">F13-D13</f>
        <v>198</v>
      </c>
      <c r="I13" s="8" t="n">
        <f aca="false">IF(C13=0,0,D13/C13)</f>
        <v>0.46906135291033</v>
      </c>
      <c r="J13" s="8" t="n">
        <f aca="false">IF(C13=0,0,F13/C13)</f>
        <v>0.520975353959098</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43</v>
      </c>
      <c r="F18" s="6" t="n">
        <f aca="false">COUNTIF('Per provider'!CD3:CD54,"Yes")</f>
        <v>45</v>
      </c>
      <c r="G18" s="7" t="n">
        <f aca="false">F18-E18</f>
        <v>2</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313</v>
      </c>
      <c r="U3" s="11" t="n">
        <v>189</v>
      </c>
      <c r="V3" s="12" t="n">
        <f aca="false">U3-T3</f>
        <v>-124</v>
      </c>
      <c r="W3" s="12" t="n">
        <f aca="false">U3-S3</f>
        <v>-81</v>
      </c>
      <c r="X3" s="10" t="n">
        <v>441</v>
      </c>
      <c r="Y3" s="10" t="n">
        <v>467</v>
      </c>
      <c r="Z3" s="11" t="n">
        <v>316</v>
      </c>
      <c r="AA3" s="12" t="n">
        <f aca="false">Z3-Y3</f>
        <v>-151</v>
      </c>
      <c r="AB3" s="12" t="n">
        <f aca="false">Z3-X3</f>
        <v>-125</v>
      </c>
      <c r="AC3" s="10" t="n">
        <v>465</v>
      </c>
      <c r="AD3" s="10" t="n">
        <v>497</v>
      </c>
      <c r="AE3" s="11" t="n">
        <v>314</v>
      </c>
      <c r="AF3" s="12" t="n">
        <f aca="false">AE3-AD3</f>
        <v>-183</v>
      </c>
      <c r="AG3" s="12" t="n">
        <f aca="false">AE3-AC3</f>
        <v>-151</v>
      </c>
      <c r="AH3" s="10" t="n">
        <v>465</v>
      </c>
      <c r="AI3" s="10" t="n">
        <v>497</v>
      </c>
      <c r="AJ3" s="11" t="n">
        <v>314</v>
      </c>
      <c r="AK3" s="12" t="n">
        <f aca="false">AJ3-AI3</f>
        <v>-183</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250</v>
      </c>
      <c r="AY3" s="11" t="n">
        <v>252</v>
      </c>
      <c r="AZ3" s="12" t="n">
        <f aca="false">AY3-AX3</f>
        <v>2</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371</v>
      </c>
      <c r="P4" s="11" t="n">
        <v>372</v>
      </c>
      <c r="Q4" s="12" t="n">
        <f aca="false">P4-O4</f>
        <v>1</v>
      </c>
      <c r="R4" s="12" t="n">
        <f aca="false">P4-N4</f>
        <v>1</v>
      </c>
      <c r="S4" s="10" t="n">
        <v>17</v>
      </c>
      <c r="T4" s="10" t="n">
        <v>17</v>
      </c>
      <c r="U4" s="11" t="n">
        <v>9</v>
      </c>
      <c r="V4" s="12" t="n">
        <f aca="false">U4-T4</f>
        <v>-8</v>
      </c>
      <c r="W4" s="12" t="n">
        <f aca="false">U4-S4</f>
        <v>-8</v>
      </c>
      <c r="X4" s="10" t="n">
        <v>134</v>
      </c>
      <c r="Y4" s="10" t="n">
        <v>134</v>
      </c>
      <c r="Z4" s="11" t="n">
        <v>91</v>
      </c>
      <c r="AA4" s="12" t="n">
        <f aca="false">Z4-Y4</f>
        <v>-43</v>
      </c>
      <c r="AB4" s="12" t="n">
        <f aca="false">Z4-X4</f>
        <v>-43</v>
      </c>
      <c r="AC4" s="10" t="n">
        <v>172</v>
      </c>
      <c r="AD4" s="10" t="n">
        <v>172</v>
      </c>
      <c r="AE4" s="11" t="n">
        <v>130</v>
      </c>
      <c r="AF4" s="12" t="n">
        <f aca="false">AE4-AD4</f>
        <v>-42</v>
      </c>
      <c r="AG4" s="12" t="n">
        <f aca="false">AE4-AC4</f>
        <v>-42</v>
      </c>
      <c r="AH4" s="10" t="n">
        <v>172</v>
      </c>
      <c r="AI4" s="10" t="n">
        <v>172</v>
      </c>
      <c r="AJ4" s="11" t="n">
        <v>130</v>
      </c>
      <c r="AK4" s="12" t="n">
        <f aca="false">AJ4-AI4</f>
        <v>-42</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267</v>
      </c>
      <c r="P5" s="11" t="n">
        <v>270</v>
      </c>
      <c r="Q5" s="12" t="n">
        <f aca="false">P5-O5</f>
        <v>3</v>
      </c>
      <c r="R5" s="12" t="n">
        <f aca="false">P5-N5</f>
        <v>-42</v>
      </c>
      <c r="S5" s="10" t="n">
        <v>157</v>
      </c>
      <c r="T5" s="10" t="n">
        <v>152</v>
      </c>
      <c r="U5" s="11" t="n">
        <v>186</v>
      </c>
      <c r="V5" s="12" t="n">
        <f aca="false">U5-T5</f>
        <v>34</v>
      </c>
      <c r="W5" s="12" t="n">
        <f aca="false">U5-S5</f>
        <v>29</v>
      </c>
      <c r="X5" s="10" t="n">
        <v>275</v>
      </c>
      <c r="Y5" s="10" t="n">
        <v>263</v>
      </c>
      <c r="Z5" s="11" t="n">
        <v>262</v>
      </c>
      <c r="AA5" s="12" t="n">
        <f aca="false">Z5-Y5</f>
        <v>-1</v>
      </c>
      <c r="AB5" s="12" t="n">
        <f aca="false">Z5-X5</f>
        <v>-13</v>
      </c>
      <c r="AC5" s="10" t="n">
        <v>131</v>
      </c>
      <c r="AD5" s="10" t="n">
        <v>126</v>
      </c>
      <c r="AE5" s="11" t="n">
        <v>124</v>
      </c>
      <c r="AF5" s="12" t="n">
        <f aca="false">AE5-AD5</f>
        <v>-2</v>
      </c>
      <c r="AG5" s="12" t="n">
        <f aca="false">AE5-AC5</f>
        <v>-7</v>
      </c>
      <c r="AH5" s="10" t="n">
        <v>131</v>
      </c>
      <c r="AI5" s="10" t="n">
        <v>126</v>
      </c>
      <c r="AJ5" s="11" t="n">
        <v>124</v>
      </c>
      <c r="AK5" s="12" t="n">
        <f aca="false">AJ5-AI5</f>
        <v>-2</v>
      </c>
      <c r="AL5" s="12" t="n">
        <f aca="false">AJ5-AH5</f>
        <v>-7</v>
      </c>
      <c r="AM5" s="10" t="n">
        <v>315</v>
      </c>
      <c r="AN5" s="10" t="n">
        <v>270</v>
      </c>
      <c r="AO5" s="11" t="n">
        <v>270</v>
      </c>
      <c r="AP5" s="12" t="n">
        <f aca="false">AO5-AN5</f>
        <v>0</v>
      </c>
      <c r="AQ5" s="12" t="n">
        <f aca="false">AO5-AM5</f>
        <v>-45</v>
      </c>
      <c r="AR5" s="10" t="n">
        <v>0</v>
      </c>
      <c r="AS5" s="10" t="n">
        <v>0</v>
      </c>
      <c r="AT5" s="11" t="n">
        <v>16</v>
      </c>
      <c r="AU5" s="12" t="n">
        <f aca="false">AT5-AS5</f>
        <v>16</v>
      </c>
      <c r="AV5" s="12" t="n">
        <f aca="false">AT5-AR5</f>
        <v>16</v>
      </c>
      <c r="AW5" s="10" t="n">
        <v>0</v>
      </c>
      <c r="AX5" s="10" t="n">
        <v>0</v>
      </c>
      <c r="AY5" s="11" t="n">
        <v>132</v>
      </c>
      <c r="AZ5" s="12" t="n">
        <f aca="false">AY5-AX5</f>
        <v>132</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112</v>
      </c>
      <c r="U6" s="11" t="n">
        <v>101</v>
      </c>
      <c r="V6" s="12" t="n">
        <f aca="false">U6-T6</f>
        <v>-11</v>
      </c>
      <c r="W6" s="12" t="n">
        <f aca="false">U6-S6</f>
        <v>-11</v>
      </c>
      <c r="X6" s="10" t="n">
        <v>132</v>
      </c>
      <c r="Y6" s="10" t="n">
        <v>132</v>
      </c>
      <c r="Z6" s="11" t="n">
        <v>116</v>
      </c>
      <c r="AA6" s="12" t="n">
        <f aca="false">Z6-Y6</f>
        <v>-16</v>
      </c>
      <c r="AB6" s="12" t="n">
        <f aca="false">Z6-X6</f>
        <v>-16</v>
      </c>
      <c r="AC6" s="10" t="n">
        <v>105</v>
      </c>
      <c r="AD6" s="10" t="n">
        <v>107</v>
      </c>
      <c r="AE6" s="11" t="n">
        <v>98</v>
      </c>
      <c r="AF6" s="12" t="n">
        <f aca="false">AE6-AD6</f>
        <v>-9</v>
      </c>
      <c r="AG6" s="12" t="n">
        <f aca="false">AE6-AC6</f>
        <v>-7</v>
      </c>
      <c r="AH6" s="10" t="n">
        <v>105</v>
      </c>
      <c r="AI6" s="10" t="n">
        <v>107</v>
      </c>
      <c r="AJ6" s="11" t="n">
        <v>98</v>
      </c>
      <c r="AK6" s="12" t="n">
        <f aca="false">AJ6-AI6</f>
        <v>-9</v>
      </c>
      <c r="AL6" s="12" t="n">
        <f aca="false">AJ6-AH6</f>
        <v>-7</v>
      </c>
      <c r="AM6" s="10" t="n">
        <v>234</v>
      </c>
      <c r="AN6" s="10" t="n">
        <v>234</v>
      </c>
      <c r="AO6" s="11" t="n">
        <v>234</v>
      </c>
      <c r="AP6" s="12" t="n">
        <f aca="false">AO6-AN6</f>
        <v>0</v>
      </c>
      <c r="AQ6" s="12" t="n">
        <f aca="false">AO6-AM6</f>
        <v>0</v>
      </c>
      <c r="AR6" s="10" t="n">
        <v>1</v>
      </c>
      <c r="AS6" s="10" t="n">
        <v>1</v>
      </c>
      <c r="AT6" s="11" t="n">
        <v>2</v>
      </c>
      <c r="AU6" s="12" t="n">
        <f aca="false">AT6-AS6</f>
        <v>1</v>
      </c>
      <c r="AV6" s="12" t="n">
        <f aca="false">AT6-AR6</f>
        <v>1</v>
      </c>
      <c r="AW6" s="10" t="n">
        <v>95</v>
      </c>
      <c r="AX6" s="10" t="n">
        <v>95</v>
      </c>
      <c r="AY6" s="11" t="n">
        <v>96</v>
      </c>
      <c r="AZ6" s="12" t="n">
        <f aca="false">AY6-AX6</f>
        <v>1</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54</v>
      </c>
      <c r="U7" s="11" t="n">
        <v>43</v>
      </c>
      <c r="V7" s="12" t="n">
        <f aca="false">U7-T7</f>
        <v>-11</v>
      </c>
      <c r="W7" s="12" t="n">
        <f aca="false">U7-S7</f>
        <v>-10</v>
      </c>
      <c r="X7" s="10" t="n">
        <v>103</v>
      </c>
      <c r="Y7" s="10" t="n">
        <v>104</v>
      </c>
      <c r="Z7" s="11" t="n">
        <v>77</v>
      </c>
      <c r="AA7" s="12" t="n">
        <f aca="false">Z7-Y7</f>
        <v>-27</v>
      </c>
      <c r="AB7" s="12" t="n">
        <f aca="false">Z7-X7</f>
        <v>-26</v>
      </c>
      <c r="AC7" s="10" t="n">
        <v>75</v>
      </c>
      <c r="AD7" s="10" t="n">
        <v>75</v>
      </c>
      <c r="AE7" s="11" t="n">
        <v>72</v>
      </c>
      <c r="AF7" s="12" t="n">
        <f aca="false">AE7-AD7</f>
        <v>-3</v>
      </c>
      <c r="AG7" s="12" t="n">
        <f aca="false">AE7-AC7</f>
        <v>-3</v>
      </c>
      <c r="AH7" s="10" t="n">
        <v>75</v>
      </c>
      <c r="AI7" s="10" t="n">
        <v>75</v>
      </c>
      <c r="AJ7" s="11" t="n">
        <v>72</v>
      </c>
      <c r="AK7" s="12" t="n">
        <f aca="false">AJ7-AI7</f>
        <v>-3</v>
      </c>
      <c r="AL7" s="12" t="n">
        <f aca="false">AJ7-AH7</f>
        <v>-3</v>
      </c>
      <c r="AM7" s="10" t="n">
        <v>208</v>
      </c>
      <c r="AN7" s="10" t="n">
        <v>208</v>
      </c>
      <c r="AO7" s="11" t="n">
        <v>208</v>
      </c>
      <c r="AP7" s="12" t="n">
        <f aca="false">AO7-AN7</f>
        <v>0</v>
      </c>
      <c r="AQ7" s="12" t="n">
        <f aca="false">AO7-AM7</f>
        <v>0</v>
      </c>
      <c r="AR7" s="10" t="n">
        <v>0</v>
      </c>
      <c r="AS7" s="10" t="n">
        <v>0</v>
      </c>
      <c r="AT7" s="11" t="n">
        <v>4</v>
      </c>
      <c r="AU7" s="12" t="n">
        <f aca="false">AT7-AS7</f>
        <v>4</v>
      </c>
      <c r="AV7" s="12" t="n">
        <f aca="false">AT7-AR7</f>
        <v>4</v>
      </c>
      <c r="AW7" s="10" t="n">
        <v>40</v>
      </c>
      <c r="AX7" s="10" t="n">
        <v>40</v>
      </c>
      <c r="AY7" s="11" t="n">
        <v>68</v>
      </c>
      <c r="AZ7" s="12" t="n">
        <f aca="false">AY7-AX7</f>
        <v>28</v>
      </c>
      <c r="BA7" s="12" t="n">
        <f aca="false">AY7-AW7</f>
        <v>28</v>
      </c>
      <c r="BB7" s="10" t="n">
        <v>0</v>
      </c>
      <c r="BC7" s="10" t="n">
        <v>0</v>
      </c>
      <c r="BD7" s="11" t="n">
        <v>0</v>
      </c>
      <c r="BE7" s="12" t="n">
        <f aca="false">BD7-BC7</f>
        <v>0</v>
      </c>
      <c r="BF7" s="12" t="n">
        <f aca="false">BD7-BB7</f>
        <v>0</v>
      </c>
      <c r="BG7" s="10" t="n">
        <v>0</v>
      </c>
      <c r="BH7" s="10" t="n">
        <v>0</v>
      </c>
      <c r="BI7" s="11" t="n">
        <v>74</v>
      </c>
      <c r="BJ7" s="12" t="n">
        <f aca="false">BI7-BH7</f>
        <v>74</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99</v>
      </c>
      <c r="U8" s="11" t="n">
        <v>88</v>
      </c>
      <c r="V8" s="12" t="n">
        <f aca="false">U8-T8</f>
        <v>-11</v>
      </c>
      <c r="W8" s="12" t="n">
        <f aca="false">U8-S8</f>
        <v>12</v>
      </c>
      <c r="X8" s="10" t="n">
        <v>160</v>
      </c>
      <c r="Y8" s="10" t="n">
        <v>180</v>
      </c>
      <c r="Z8" s="11" t="n">
        <v>174</v>
      </c>
      <c r="AA8" s="12" t="n">
        <f aca="false">Z8-Y8</f>
        <v>-6</v>
      </c>
      <c r="AB8" s="12" t="n">
        <f aca="false">Z8-X8</f>
        <v>14</v>
      </c>
      <c r="AC8" s="10" t="n">
        <v>159</v>
      </c>
      <c r="AD8" s="10" t="n">
        <v>179</v>
      </c>
      <c r="AE8" s="11" t="n">
        <v>173</v>
      </c>
      <c r="AF8" s="12" t="n">
        <f aca="false">AE8-AD8</f>
        <v>-6</v>
      </c>
      <c r="AG8" s="12" t="n">
        <f aca="false">AE8-AC8</f>
        <v>14</v>
      </c>
      <c r="AH8" s="10" t="n">
        <v>159</v>
      </c>
      <c r="AI8" s="10" t="n">
        <v>179</v>
      </c>
      <c r="AJ8" s="11" t="n">
        <v>173</v>
      </c>
      <c r="AK8" s="12" t="n">
        <f aca="false">AJ8-AI8</f>
        <v>-6</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178</v>
      </c>
      <c r="P9" s="11" t="n">
        <v>179</v>
      </c>
      <c r="Q9" s="12" t="n">
        <f aca="false">P9-O9</f>
        <v>1</v>
      </c>
      <c r="R9" s="12" t="n">
        <f aca="false">P9-N9</f>
        <v>1</v>
      </c>
      <c r="S9" s="10" t="n">
        <v>25</v>
      </c>
      <c r="T9" s="10" t="n">
        <v>27</v>
      </c>
      <c r="U9" s="11" t="n">
        <v>3</v>
      </c>
      <c r="V9" s="12" t="n">
        <f aca="false">U9-T9</f>
        <v>-24</v>
      </c>
      <c r="W9" s="12" t="n">
        <f aca="false">U9-S9</f>
        <v>-22</v>
      </c>
      <c r="X9" s="10" t="n">
        <v>65</v>
      </c>
      <c r="Y9" s="10" t="n">
        <v>82</v>
      </c>
      <c r="Z9" s="11" t="n">
        <v>11</v>
      </c>
      <c r="AA9" s="12" t="n">
        <f aca="false">Z9-Y9</f>
        <v>-71</v>
      </c>
      <c r="AB9" s="12" t="n">
        <f aca="false">Z9-X9</f>
        <v>-54</v>
      </c>
      <c r="AC9" s="10" t="n">
        <v>73</v>
      </c>
      <c r="AD9" s="10" t="n">
        <v>97</v>
      </c>
      <c r="AE9" s="11" t="n">
        <v>13</v>
      </c>
      <c r="AF9" s="12" t="n">
        <f aca="false">AE9-AD9</f>
        <v>-84</v>
      </c>
      <c r="AG9" s="12" t="n">
        <f aca="false">AE9-AC9</f>
        <v>-60</v>
      </c>
      <c r="AH9" s="10" t="n">
        <v>73</v>
      </c>
      <c r="AI9" s="10" t="n">
        <v>97</v>
      </c>
      <c r="AJ9" s="11" t="n">
        <v>13</v>
      </c>
      <c r="AK9" s="12" t="n">
        <f aca="false">AJ9-AI9</f>
        <v>-84</v>
      </c>
      <c r="AL9" s="12" t="n">
        <f aca="false">AJ9-AH9</f>
        <v>-60</v>
      </c>
      <c r="AM9" s="10" t="n">
        <v>179</v>
      </c>
      <c r="AN9" s="10" t="n">
        <v>179</v>
      </c>
      <c r="AO9" s="11" t="n">
        <v>179</v>
      </c>
      <c r="AP9" s="12" t="n">
        <f aca="false">AO9-AN9</f>
        <v>0</v>
      </c>
      <c r="AQ9" s="12" t="n">
        <f aca="false">AO9-AM9</f>
        <v>0</v>
      </c>
      <c r="AR9" s="10" t="n">
        <v>0</v>
      </c>
      <c r="AS9" s="10" t="n">
        <v>0</v>
      </c>
      <c r="AT9" s="11" t="n">
        <v>1</v>
      </c>
      <c r="AU9" s="12" t="n">
        <f aca="false">AT9-AS9</f>
        <v>1</v>
      </c>
      <c r="AV9" s="12" t="n">
        <f aca="false">AT9-AR9</f>
        <v>1</v>
      </c>
      <c r="AW9" s="10" t="n">
        <v>3</v>
      </c>
      <c r="AX9" s="10" t="n">
        <v>3</v>
      </c>
      <c r="AY9" s="11" t="n">
        <v>5</v>
      </c>
      <c r="AZ9" s="12" t="n">
        <f aca="false">AY9-AX9</f>
        <v>2</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143</v>
      </c>
      <c r="P10" s="11" t="n">
        <v>144</v>
      </c>
      <c r="Q10" s="12" t="n">
        <f aca="false">P10-O10</f>
        <v>1</v>
      </c>
      <c r="R10" s="12" t="n">
        <f aca="false">P10-N10</f>
        <v>-12</v>
      </c>
      <c r="S10" s="10" t="n">
        <v>12</v>
      </c>
      <c r="T10" s="10" t="n">
        <v>11</v>
      </c>
      <c r="U10" s="11" t="n">
        <v>12</v>
      </c>
      <c r="V10" s="12" t="n">
        <f aca="false">U10-T10</f>
        <v>1</v>
      </c>
      <c r="W10" s="12" t="n">
        <f aca="false">U10-S10</f>
        <v>0</v>
      </c>
      <c r="X10" s="10" t="n">
        <v>150</v>
      </c>
      <c r="Y10" s="10" t="n">
        <v>140</v>
      </c>
      <c r="Z10" s="11" t="n">
        <v>137</v>
      </c>
      <c r="AA10" s="12" t="n">
        <f aca="false">Z10-Y10</f>
        <v>-3</v>
      </c>
      <c r="AB10" s="12" t="n">
        <f aca="false">Z10-X10</f>
        <v>-13</v>
      </c>
      <c r="AC10" s="10" t="n">
        <v>81</v>
      </c>
      <c r="AD10" s="10" t="n">
        <v>92</v>
      </c>
      <c r="AE10" s="11" t="n">
        <v>108</v>
      </c>
      <c r="AF10" s="12" t="n">
        <f aca="false">AE10-AD10</f>
        <v>16</v>
      </c>
      <c r="AG10" s="12" t="n">
        <f aca="false">AE10-AC10</f>
        <v>27</v>
      </c>
      <c r="AH10" s="10" t="n">
        <v>2</v>
      </c>
      <c r="AI10" s="10" t="n">
        <v>20</v>
      </c>
      <c r="AJ10" s="11" t="n">
        <v>38</v>
      </c>
      <c r="AK10" s="12" t="n">
        <f aca="false">AJ10-AI10</f>
        <v>18</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133</v>
      </c>
      <c r="AY10" s="11" t="n">
        <v>137</v>
      </c>
      <c r="AZ10" s="12" t="n">
        <f aca="false">AY10-AX10</f>
        <v>4</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102</v>
      </c>
      <c r="P11" s="11" t="n">
        <v>103</v>
      </c>
      <c r="Q11" s="12" t="n">
        <f aca="false">P11-O11</f>
        <v>1</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0</v>
      </c>
      <c r="AE11" s="11" t="n">
        <v>87</v>
      </c>
      <c r="AF11" s="12" t="n">
        <f aca="false">AE11-AD11</f>
        <v>87</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0</v>
      </c>
      <c r="AT11" s="11" t="n">
        <v>34</v>
      </c>
      <c r="AU11" s="12" t="n">
        <f aca="false">AT11-AS11</f>
        <v>34</v>
      </c>
      <c r="AV11" s="12" t="n">
        <f aca="false">AT11-AR11</f>
        <v>34</v>
      </c>
      <c r="AW11" s="10" t="n">
        <v>0</v>
      </c>
      <c r="AX11" s="10" t="n">
        <v>0</v>
      </c>
      <c r="AY11" s="11" t="n">
        <v>49</v>
      </c>
      <c r="AZ11" s="12" t="n">
        <f aca="false">AY11-AX11</f>
        <v>49</v>
      </c>
      <c r="BA11" s="12" t="n">
        <f aca="false">AY11-AW11</f>
        <v>49</v>
      </c>
      <c r="BB11" s="10" t="n">
        <v>0</v>
      </c>
      <c r="BC11" s="10" t="n">
        <v>0</v>
      </c>
      <c r="BD11" s="11" t="n">
        <v>0</v>
      </c>
      <c r="BE11" s="12" t="n">
        <f aca="false">BD11-BC11</f>
        <v>0</v>
      </c>
      <c r="BF11" s="12" t="n">
        <f aca="false">BD11-BB11</f>
        <v>0</v>
      </c>
      <c r="BG11" s="10" t="n">
        <v>7</v>
      </c>
      <c r="BH11" s="10" t="n">
        <v>6</v>
      </c>
      <c r="BI11" s="11" t="n">
        <v>7</v>
      </c>
      <c r="BJ11" s="12" t="n">
        <f aca="false">BI11-BH11</f>
        <v>1</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52</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102</v>
      </c>
      <c r="P12" s="11" t="n">
        <v>105</v>
      </c>
      <c r="Q12" s="12" t="n">
        <f aca="false">P12-O12</f>
        <v>3</v>
      </c>
      <c r="R12" s="12" t="n">
        <f aca="false">P12-N12</f>
        <v>-5</v>
      </c>
      <c r="S12" s="10" t="n">
        <v>87</v>
      </c>
      <c r="T12" s="10" t="n">
        <v>85</v>
      </c>
      <c r="U12" s="11" t="n">
        <v>64</v>
      </c>
      <c r="V12" s="12" t="n">
        <f aca="false">U12-T12</f>
        <v>-21</v>
      </c>
      <c r="W12" s="12" t="n">
        <f aca="false">U12-S12</f>
        <v>-23</v>
      </c>
      <c r="X12" s="10" t="n">
        <v>99</v>
      </c>
      <c r="Y12" s="10" t="n">
        <v>93</v>
      </c>
      <c r="Z12" s="11" t="n">
        <v>76</v>
      </c>
      <c r="AA12" s="12" t="n">
        <f aca="false">Z12-Y12</f>
        <v>-17</v>
      </c>
      <c r="AB12" s="12" t="n">
        <f aca="false">Z12-X12</f>
        <v>-23</v>
      </c>
      <c r="AC12" s="10" t="n">
        <v>100</v>
      </c>
      <c r="AD12" s="10" t="n">
        <v>95</v>
      </c>
      <c r="AE12" s="11" t="n">
        <v>73</v>
      </c>
      <c r="AF12" s="12" t="n">
        <f aca="false">AE12-AD12</f>
        <v>-22</v>
      </c>
      <c r="AG12" s="12" t="n">
        <f aca="false">AE12-AC12</f>
        <v>-27</v>
      </c>
      <c r="AH12" s="10" t="n">
        <v>100</v>
      </c>
      <c r="AI12" s="10" t="n">
        <v>95</v>
      </c>
      <c r="AJ12" s="11" t="n">
        <v>73</v>
      </c>
      <c r="AK12" s="12" t="n">
        <f aca="false">AJ12-AI12</f>
        <v>-22</v>
      </c>
      <c r="AL12" s="12" t="n">
        <f aca="false">AJ12-AH12</f>
        <v>-27</v>
      </c>
      <c r="AM12" s="10" t="n">
        <v>114</v>
      </c>
      <c r="AN12" s="10" t="n">
        <v>105</v>
      </c>
      <c r="AO12" s="11" t="n">
        <v>105</v>
      </c>
      <c r="AP12" s="12" t="n">
        <f aca="false">AO12-AN12</f>
        <v>0</v>
      </c>
      <c r="AQ12" s="12" t="n">
        <f aca="false">AO12-AM12</f>
        <v>-9</v>
      </c>
      <c r="AR12" s="10" t="n">
        <v>0</v>
      </c>
      <c r="AS12" s="10" t="n">
        <v>0</v>
      </c>
      <c r="AT12" s="11" t="n">
        <v>4</v>
      </c>
      <c r="AU12" s="12" t="n">
        <f aca="false">AT12-AS12</f>
        <v>4</v>
      </c>
      <c r="AV12" s="12" t="n">
        <f aca="false">AT12-AR12</f>
        <v>4</v>
      </c>
      <c r="AW12" s="10" t="n">
        <v>72</v>
      </c>
      <c r="AX12" s="10" t="n">
        <v>71</v>
      </c>
      <c r="AY12" s="11" t="n">
        <v>72</v>
      </c>
      <c r="AZ12" s="12" t="n">
        <f aca="false">AY12-AX12</f>
        <v>1</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88</v>
      </c>
      <c r="P13" s="11" t="n">
        <v>90</v>
      </c>
      <c r="Q13" s="12" t="n">
        <f aca="false">P13-O13</f>
        <v>2</v>
      </c>
      <c r="R13" s="12" t="n">
        <f aca="false">P13-N13</f>
        <v>82</v>
      </c>
      <c r="S13" s="10" t="n">
        <v>8</v>
      </c>
      <c r="T13" s="10" t="n">
        <v>85</v>
      </c>
      <c r="U13" s="11" t="n">
        <v>85</v>
      </c>
      <c r="V13" s="12" t="n">
        <f aca="false">U13-T13</f>
        <v>0</v>
      </c>
      <c r="W13" s="12" t="n">
        <f aca="false">U13-S13</f>
        <v>77</v>
      </c>
      <c r="X13" s="10" t="n">
        <v>7</v>
      </c>
      <c r="Y13" s="10" t="n">
        <v>89</v>
      </c>
      <c r="Z13" s="11" t="n">
        <v>90</v>
      </c>
      <c r="AA13" s="12" t="n">
        <f aca="false">Z13-Y13</f>
        <v>1</v>
      </c>
      <c r="AB13" s="12" t="n">
        <f aca="false">Z13-X13</f>
        <v>83</v>
      </c>
      <c r="AC13" s="10" t="n">
        <v>8</v>
      </c>
      <c r="AD13" s="10" t="n">
        <v>82</v>
      </c>
      <c r="AE13" s="11" t="n">
        <v>86</v>
      </c>
      <c r="AF13" s="12" t="n">
        <f aca="false">AE13-AD13</f>
        <v>4</v>
      </c>
      <c r="AG13" s="12" t="n">
        <f aca="false">AE13-AC13</f>
        <v>78</v>
      </c>
      <c r="AH13" s="10" t="n">
        <v>0</v>
      </c>
      <c r="AI13" s="10" t="n">
        <v>12</v>
      </c>
      <c r="AJ13" s="11" t="n">
        <v>15</v>
      </c>
      <c r="AK13" s="12" t="n">
        <f aca="false">AJ13-AI13</f>
        <v>3</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55</v>
      </c>
      <c r="AY13" s="11" t="n">
        <v>76</v>
      </c>
      <c r="AZ13" s="12" t="n">
        <f aca="false">AY13-AX13</f>
        <v>21</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22</v>
      </c>
      <c r="U14" s="11" t="n">
        <v>0</v>
      </c>
      <c r="V14" s="12" t="n">
        <f aca="false">U14-T14</f>
        <v>-22</v>
      </c>
      <c r="W14" s="12" t="n">
        <f aca="false">U14-S14</f>
        <v>-20</v>
      </c>
      <c r="X14" s="10" t="n">
        <v>24</v>
      </c>
      <c r="Y14" s="10" t="n">
        <v>14</v>
      </c>
      <c r="Z14" s="11" t="n">
        <v>0</v>
      </c>
      <c r="AA14" s="12" t="n">
        <f aca="false">Z14-Y14</f>
        <v>-14</v>
      </c>
      <c r="AB14" s="12" t="n">
        <f aca="false">Z14-X14</f>
        <v>-24</v>
      </c>
      <c r="AC14" s="10" t="n">
        <v>51</v>
      </c>
      <c r="AD14" s="10" t="n">
        <v>35</v>
      </c>
      <c r="AE14" s="11" t="n">
        <v>0</v>
      </c>
      <c r="AF14" s="12" t="n">
        <f aca="false">AE14-AD14</f>
        <v>-35</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0</v>
      </c>
      <c r="BI14" s="11" t="n">
        <v>26</v>
      </c>
      <c r="BJ14" s="12" t="n">
        <f aca="false">BI14-BH14</f>
        <v>26</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79</v>
      </c>
      <c r="F15" s="11" t="n">
        <v>80</v>
      </c>
      <c r="G15" s="12" t="n">
        <f aca="false">F15-E15</f>
        <v>1</v>
      </c>
      <c r="H15" s="12" t="n">
        <f aca="false">F15-D15</f>
        <v>77</v>
      </c>
      <c r="I15" s="10" t="n">
        <v>3</v>
      </c>
      <c r="J15" s="10" t="n">
        <v>79</v>
      </c>
      <c r="K15" s="11" t="n">
        <v>80</v>
      </c>
      <c r="L15" s="12" t="n">
        <f aca="false">K15-J15</f>
        <v>1</v>
      </c>
      <c r="M15" s="12" t="n">
        <f aca="false">K15-I15</f>
        <v>77</v>
      </c>
      <c r="N15" s="10" t="n">
        <v>3</v>
      </c>
      <c r="O15" s="10" t="n">
        <v>79</v>
      </c>
      <c r="P15" s="11" t="n">
        <v>80</v>
      </c>
      <c r="Q15" s="12" t="n">
        <f aca="false">P15-O15</f>
        <v>1</v>
      </c>
      <c r="R15" s="12" t="n">
        <f aca="false">P15-N15</f>
        <v>77</v>
      </c>
      <c r="S15" s="10" t="n">
        <v>3</v>
      </c>
      <c r="T15" s="10" t="n">
        <v>77</v>
      </c>
      <c r="U15" s="11" t="n">
        <v>78</v>
      </c>
      <c r="V15" s="12" t="n">
        <f aca="false">U15-T15</f>
        <v>1</v>
      </c>
      <c r="W15" s="12" t="n">
        <f aca="false">U15-S15</f>
        <v>75</v>
      </c>
      <c r="X15" s="10" t="n">
        <v>3</v>
      </c>
      <c r="Y15" s="10" t="n">
        <v>79</v>
      </c>
      <c r="Z15" s="11" t="n">
        <v>80</v>
      </c>
      <c r="AA15" s="12" t="n">
        <f aca="false">Z15-Y15</f>
        <v>1</v>
      </c>
      <c r="AB15" s="12" t="n">
        <f aca="false">Z15-X15</f>
        <v>77</v>
      </c>
      <c r="AC15" s="10" t="n">
        <v>3</v>
      </c>
      <c r="AD15" s="10" t="n">
        <v>72</v>
      </c>
      <c r="AE15" s="11" t="n">
        <v>73</v>
      </c>
      <c r="AF15" s="12" t="n">
        <f aca="false">AE15-AD15</f>
        <v>1</v>
      </c>
      <c r="AG15" s="12" t="n">
        <f aca="false">AE15-AC15</f>
        <v>70</v>
      </c>
      <c r="AH15" s="10" t="n">
        <v>0</v>
      </c>
      <c r="AI15" s="10" t="n">
        <v>25</v>
      </c>
      <c r="AJ15" s="11" t="n">
        <v>25</v>
      </c>
      <c r="AK15" s="12" t="n">
        <f aca="false">AJ15-AI15</f>
        <v>0</v>
      </c>
      <c r="AL15" s="12" t="n">
        <f aca="false">AJ15-AH15</f>
        <v>25</v>
      </c>
      <c r="AM15" s="10" t="n">
        <v>3</v>
      </c>
      <c r="AN15" s="10" t="n">
        <v>79</v>
      </c>
      <c r="AO15" s="11" t="n">
        <v>80</v>
      </c>
      <c r="AP15" s="12" t="n">
        <f aca="false">AO15-AN15</f>
        <v>1</v>
      </c>
      <c r="AQ15" s="12" t="n">
        <f aca="false">AO15-AM15</f>
        <v>77</v>
      </c>
      <c r="AR15" s="10" t="n">
        <v>3</v>
      </c>
      <c r="AS15" s="10" t="n">
        <v>27</v>
      </c>
      <c r="AT15" s="11" t="n">
        <v>29</v>
      </c>
      <c r="AU15" s="12" t="n">
        <f aca="false">AT15-AS15</f>
        <v>2</v>
      </c>
      <c r="AV15" s="12" t="n">
        <f aca="false">AT15-AR15</f>
        <v>26</v>
      </c>
      <c r="AW15" s="10" t="n">
        <v>3</v>
      </c>
      <c r="AX15" s="10" t="n">
        <v>32</v>
      </c>
      <c r="AY15" s="11" t="n">
        <v>47</v>
      </c>
      <c r="AZ15" s="12" t="n">
        <f aca="false">AY15-AX15</f>
        <v>15</v>
      </c>
      <c r="BA15" s="12" t="n">
        <f aca="false">AY15-AW15</f>
        <v>44</v>
      </c>
      <c r="BB15" s="10" t="n">
        <v>0</v>
      </c>
      <c r="BC15" s="10" t="n">
        <v>0</v>
      </c>
      <c r="BD15" s="11" t="n">
        <v>0</v>
      </c>
      <c r="BE15" s="12" t="n">
        <f aca="false">BD15-BC15</f>
        <v>0</v>
      </c>
      <c r="BF15" s="12" t="n">
        <f aca="false">BD15-BB15</f>
        <v>0</v>
      </c>
      <c r="BG15" s="10" t="n">
        <v>0</v>
      </c>
      <c r="BH15" s="10" t="n">
        <v>3</v>
      </c>
      <c r="BI15" s="11" t="n">
        <v>5</v>
      </c>
      <c r="BJ15" s="12" t="n">
        <f aca="false">BI15-BH15</f>
        <v>2</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4</v>
      </c>
      <c r="U16" s="11" t="n">
        <v>2</v>
      </c>
      <c r="V16" s="12" t="n">
        <f aca="false">U16-T16</f>
        <v>-2</v>
      </c>
      <c r="W16" s="12" t="n">
        <f aca="false">U16-S16</f>
        <v>-2</v>
      </c>
      <c r="X16" s="10" t="n">
        <v>45</v>
      </c>
      <c r="Y16" s="10" t="n">
        <v>47</v>
      </c>
      <c r="Z16" s="11" t="n">
        <v>26</v>
      </c>
      <c r="AA16" s="12" t="n">
        <f aca="false">Z16-Y16</f>
        <v>-21</v>
      </c>
      <c r="AB16" s="12" t="n">
        <f aca="false">Z16-X16</f>
        <v>-19</v>
      </c>
      <c r="AC16" s="10" t="n">
        <v>46</v>
      </c>
      <c r="AD16" s="10" t="n">
        <v>59</v>
      </c>
      <c r="AE16" s="11" t="n">
        <v>51</v>
      </c>
      <c r="AF16" s="12" t="n">
        <f aca="false">AE16-AD16</f>
        <v>-8</v>
      </c>
      <c r="AG16" s="12" t="n">
        <f aca="false">AE16-AC16</f>
        <v>5</v>
      </c>
      <c r="AH16" s="10" t="n">
        <v>46</v>
      </c>
      <c r="AI16" s="10" t="n">
        <v>59</v>
      </c>
      <c r="AJ16" s="11" t="n">
        <v>51</v>
      </c>
      <c r="AK16" s="12" t="n">
        <f aca="false">AJ16-AI16</f>
        <v>-8</v>
      </c>
      <c r="AL16" s="12" t="n">
        <f aca="false">AJ16-AH16</f>
        <v>5</v>
      </c>
      <c r="AM16" s="10" t="n">
        <v>76</v>
      </c>
      <c r="AN16" s="10" t="n">
        <v>76</v>
      </c>
      <c r="AO16" s="11" t="n">
        <v>76</v>
      </c>
      <c r="AP16" s="12" t="n">
        <f aca="false">AO16-AN16</f>
        <v>0</v>
      </c>
      <c r="AQ16" s="12" t="n">
        <f aca="false">AO16-AM16</f>
        <v>0</v>
      </c>
      <c r="AR16" s="10" t="n">
        <v>0</v>
      </c>
      <c r="AS16" s="10" t="n">
        <v>0</v>
      </c>
      <c r="AT16" s="11" t="n">
        <v>6</v>
      </c>
      <c r="AU16" s="12" t="n">
        <f aca="false">AT16-AS16</f>
        <v>6</v>
      </c>
      <c r="AV16" s="12" t="n">
        <f aca="false">AT16-AR16</f>
        <v>6</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1</v>
      </c>
      <c r="BI16" s="11" t="n">
        <v>2</v>
      </c>
      <c r="BJ16" s="12" t="n">
        <f aca="false">BI16-BH16</f>
        <v>1</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74</v>
      </c>
      <c r="P17" s="11" t="n">
        <v>75</v>
      </c>
      <c r="Q17" s="12" t="n">
        <f aca="false">P17-O17</f>
        <v>1</v>
      </c>
      <c r="R17" s="12" t="n">
        <f aca="false">P17-N17</f>
        <v>2</v>
      </c>
      <c r="S17" s="10" t="n">
        <v>7</v>
      </c>
      <c r="T17" s="10" t="n">
        <v>12</v>
      </c>
      <c r="U17" s="11" t="n">
        <v>5</v>
      </c>
      <c r="V17" s="12" t="n">
        <f aca="false">U17-T17</f>
        <v>-7</v>
      </c>
      <c r="W17" s="12" t="n">
        <f aca="false">U17-S17</f>
        <v>-2</v>
      </c>
      <c r="X17" s="10" t="n">
        <v>21</v>
      </c>
      <c r="Y17" s="10" t="n">
        <v>24</v>
      </c>
      <c r="Z17" s="11" t="n">
        <v>10</v>
      </c>
      <c r="AA17" s="12" t="n">
        <f aca="false">Z17-Y17</f>
        <v>-14</v>
      </c>
      <c r="AB17" s="12" t="n">
        <f aca="false">Z17-X17</f>
        <v>-11</v>
      </c>
      <c r="AC17" s="10" t="n">
        <v>21</v>
      </c>
      <c r="AD17" s="10" t="n">
        <v>35</v>
      </c>
      <c r="AE17" s="11" t="n">
        <v>24</v>
      </c>
      <c r="AF17" s="12" t="n">
        <f aca="false">AE17-AD17</f>
        <v>-11</v>
      </c>
      <c r="AG17" s="12" t="n">
        <f aca="false">AE17-AC17</f>
        <v>3</v>
      </c>
      <c r="AH17" s="10" t="n">
        <v>21</v>
      </c>
      <c r="AI17" s="10" t="n">
        <v>35</v>
      </c>
      <c r="AJ17" s="11" t="n">
        <v>24</v>
      </c>
      <c r="AK17" s="12" t="n">
        <f aca="false">AJ17-AI17</f>
        <v>-11</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19</v>
      </c>
      <c r="AY17" s="11" t="n">
        <v>21</v>
      </c>
      <c r="AZ17" s="12" t="n">
        <f aca="false">AY17-AX17</f>
        <v>2</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69</v>
      </c>
      <c r="Z18" s="11" t="n">
        <v>70</v>
      </c>
      <c r="AA18" s="12" t="n">
        <f aca="false">Z18-Y18</f>
        <v>1</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0</v>
      </c>
      <c r="AT18" s="11" t="n">
        <v>54</v>
      </c>
      <c r="AU18" s="12" t="n">
        <f aca="false">AT18-AS18</f>
        <v>54</v>
      </c>
      <c r="AV18" s="12" t="n">
        <f aca="false">AT18-AR18</f>
        <v>54</v>
      </c>
      <c r="AW18" s="10" t="n">
        <v>0</v>
      </c>
      <c r="AX18" s="10" t="n">
        <v>0</v>
      </c>
      <c r="AY18" s="11" t="n">
        <v>72</v>
      </c>
      <c r="AZ18" s="12" t="n">
        <f aca="false">AY18-AX18</f>
        <v>72</v>
      </c>
      <c r="BA18" s="12" t="n">
        <f aca="false">AY18-AW18</f>
        <v>72</v>
      </c>
      <c r="BB18" s="10" t="n">
        <v>0</v>
      </c>
      <c r="BC18" s="10" t="n">
        <v>0</v>
      </c>
      <c r="BD18" s="11" t="n">
        <v>0</v>
      </c>
      <c r="BE18" s="12" t="n">
        <f aca="false">BD18-BC18</f>
        <v>0</v>
      </c>
      <c r="BF18" s="12" t="n">
        <f aca="false">BD18-BB18</f>
        <v>0</v>
      </c>
      <c r="BG18" s="10" t="n">
        <v>3</v>
      </c>
      <c r="BH18" s="10" t="n">
        <v>2</v>
      </c>
      <c r="BI18" s="11" t="n">
        <v>18</v>
      </c>
      <c r="BJ18" s="12" t="n">
        <f aca="false">BI18-BH18</f>
        <v>16</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60</v>
      </c>
      <c r="Z19" s="11" t="n">
        <v>57</v>
      </c>
      <c r="AA19" s="12" t="n">
        <f aca="false">Z19-Y19</f>
        <v>-3</v>
      </c>
      <c r="AB19" s="12" t="n">
        <f aca="false">Z19-X19</f>
        <v>-59</v>
      </c>
      <c r="AC19" s="10" t="n">
        <v>119</v>
      </c>
      <c r="AD19" s="10" t="n">
        <v>60</v>
      </c>
      <c r="AE19" s="11" t="n">
        <v>57</v>
      </c>
      <c r="AF19" s="12" t="n">
        <f aca="false">AE19-AD19</f>
        <v>-3</v>
      </c>
      <c r="AG19" s="12" t="n">
        <f aca="false">AE19-AC19</f>
        <v>-62</v>
      </c>
      <c r="AH19" s="10" t="n">
        <v>119</v>
      </c>
      <c r="AI19" s="10" t="n">
        <v>60</v>
      </c>
      <c r="AJ19" s="11" t="n">
        <v>57</v>
      </c>
      <c r="AK19" s="12" t="n">
        <f aca="false">AJ19-AI19</f>
        <v>-3</v>
      </c>
      <c r="AL19" s="12" t="n">
        <f aca="false">AJ19-AH19</f>
        <v>-62</v>
      </c>
      <c r="AM19" s="10" t="n">
        <v>136</v>
      </c>
      <c r="AN19" s="10" t="n">
        <v>61</v>
      </c>
      <c r="AO19" s="11" t="n">
        <v>61</v>
      </c>
      <c r="AP19" s="12" t="n">
        <f aca="false">AO19-AN19</f>
        <v>0</v>
      </c>
      <c r="AQ19" s="12" t="n">
        <f aca="false">AO19-AM19</f>
        <v>-75</v>
      </c>
      <c r="AR19" s="10" t="n">
        <v>65</v>
      </c>
      <c r="AS19" s="10" t="n">
        <v>54</v>
      </c>
      <c r="AT19" s="11" t="n">
        <v>55</v>
      </c>
      <c r="AU19" s="12" t="n">
        <f aca="false">AT19-AS19</f>
        <v>1</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30</v>
      </c>
      <c r="F20" s="11" t="n">
        <v>30</v>
      </c>
      <c r="G20" s="12" t="n">
        <f aca="false">F20-E20</f>
        <v>0</v>
      </c>
      <c r="H20" s="12" t="n">
        <f aca="false">F20-D20</f>
        <v>-3</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7</v>
      </c>
      <c r="U20" s="11" t="n">
        <v>8</v>
      </c>
      <c r="V20" s="12" t="n">
        <f aca="false">U20-T20</f>
        <v>1</v>
      </c>
      <c r="W20" s="12" t="n">
        <f aca="false">U20-S20</f>
        <v>1</v>
      </c>
      <c r="X20" s="10" t="n">
        <v>82</v>
      </c>
      <c r="Y20" s="10" t="n">
        <v>54</v>
      </c>
      <c r="Z20" s="11" t="n">
        <v>57</v>
      </c>
      <c r="AA20" s="12" t="n">
        <f aca="false">Z20-Y20</f>
        <v>3</v>
      </c>
      <c r="AB20" s="12" t="n">
        <f aca="false">Z20-X20</f>
        <v>-25</v>
      </c>
      <c r="AC20" s="10" t="n">
        <v>36</v>
      </c>
      <c r="AD20" s="10" t="n">
        <v>38</v>
      </c>
      <c r="AE20" s="11" t="n">
        <v>49</v>
      </c>
      <c r="AF20" s="12" t="n">
        <f aca="false">AE20-AD20</f>
        <v>11</v>
      </c>
      <c r="AG20" s="12" t="n">
        <f aca="false">AE20-AC20</f>
        <v>13</v>
      </c>
      <c r="AH20" s="10" t="n">
        <v>36</v>
      </c>
      <c r="AI20" s="10" t="n">
        <v>38</v>
      </c>
      <c r="AJ20" s="11" t="n">
        <v>49</v>
      </c>
      <c r="AK20" s="12" t="n">
        <f aca="false">AJ20-AI20</f>
        <v>11</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0</v>
      </c>
      <c r="AY20" s="11" t="n">
        <v>1</v>
      </c>
      <c r="AZ20" s="12" t="n">
        <f aca="false">AY20-AX20</f>
        <v>1</v>
      </c>
      <c r="BA20" s="12" t="n">
        <f aca="false">AY20-AW20</f>
        <v>1</v>
      </c>
      <c r="BB20" s="10" t="n">
        <v>0</v>
      </c>
      <c r="BC20" s="10" t="n">
        <v>0</v>
      </c>
      <c r="BD20" s="11" t="n">
        <v>0</v>
      </c>
      <c r="BE20" s="12" t="n">
        <f aca="false">BD20-BC20</f>
        <v>0</v>
      </c>
      <c r="BF20" s="12" t="n">
        <f aca="false">BD20-BB20</f>
        <v>0</v>
      </c>
      <c r="BG20" s="10" t="n">
        <v>27</v>
      </c>
      <c r="BH20" s="10" t="n">
        <v>27</v>
      </c>
      <c r="BI20" s="11" t="n">
        <v>27</v>
      </c>
      <c r="BJ20" s="12" t="n">
        <f aca="false">BI20-BH20</f>
        <v>0</v>
      </c>
      <c r="BK20" s="12" t="n">
        <f aca="false">BI20-BG20</f>
        <v>0</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56</v>
      </c>
      <c r="P21" s="11" t="n">
        <v>57</v>
      </c>
      <c r="Q21" s="12" t="n">
        <f aca="false">P21-O21</f>
        <v>1</v>
      </c>
      <c r="R21" s="12" t="n">
        <f aca="false">P21-N21</f>
        <v>-10</v>
      </c>
      <c r="S21" s="10" t="n">
        <v>0</v>
      </c>
      <c r="T21" s="10" t="n">
        <v>0</v>
      </c>
      <c r="U21" s="11" t="n">
        <v>0</v>
      </c>
      <c r="V21" s="12" t="n">
        <f aca="false">U21-T21</f>
        <v>0</v>
      </c>
      <c r="W21" s="12" t="n">
        <f aca="false">U21-S21</f>
        <v>0</v>
      </c>
      <c r="X21" s="10" t="n">
        <v>63</v>
      </c>
      <c r="Y21" s="10" t="n">
        <v>55</v>
      </c>
      <c r="Z21" s="11" t="n">
        <v>54</v>
      </c>
      <c r="AA21" s="12" t="n">
        <f aca="false">Z21-Y21</f>
        <v>-1</v>
      </c>
      <c r="AB21" s="12" t="n">
        <f aca="false">Z21-X21</f>
        <v>-9</v>
      </c>
      <c r="AC21" s="10" t="n">
        <v>52</v>
      </c>
      <c r="AD21" s="10" t="n">
        <v>47</v>
      </c>
      <c r="AE21" s="11" t="n">
        <v>51</v>
      </c>
      <c r="AF21" s="12" t="n">
        <f aca="false">AE21-AD21</f>
        <v>4</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0</v>
      </c>
      <c r="AT21" s="11" t="n">
        <v>16</v>
      </c>
      <c r="AU21" s="12" t="n">
        <f aca="false">AT21-AS21</f>
        <v>16</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51</v>
      </c>
      <c r="U22" s="11" t="n">
        <v>50</v>
      </c>
      <c r="V22" s="12" t="n">
        <f aca="false">U22-T22</f>
        <v>-1</v>
      </c>
      <c r="W22" s="12" t="n">
        <f aca="false">U22-S22</f>
        <v>-67</v>
      </c>
      <c r="X22" s="10" t="n">
        <v>125</v>
      </c>
      <c r="Y22" s="10" t="n">
        <v>51</v>
      </c>
      <c r="Z22" s="11" t="n">
        <v>50</v>
      </c>
      <c r="AA22" s="12" t="n">
        <f aca="false">Z22-Y22</f>
        <v>-1</v>
      </c>
      <c r="AB22" s="12" t="n">
        <f aca="false">Z22-X22</f>
        <v>-75</v>
      </c>
      <c r="AC22" s="10" t="n">
        <v>111</v>
      </c>
      <c r="AD22" s="10" t="n">
        <v>49</v>
      </c>
      <c r="AE22" s="11" t="n">
        <v>48</v>
      </c>
      <c r="AF22" s="12" t="n">
        <f aca="false">AE22-AD22</f>
        <v>-1</v>
      </c>
      <c r="AG22" s="12" t="n">
        <f aca="false">AE22-AC22</f>
        <v>-63</v>
      </c>
      <c r="AH22" s="10" t="n">
        <v>111</v>
      </c>
      <c r="AI22" s="10" t="n">
        <v>49</v>
      </c>
      <c r="AJ22" s="11" t="n">
        <v>48</v>
      </c>
      <c r="AK22" s="12" t="n">
        <f aca="false">AJ22-AI22</f>
        <v>-1</v>
      </c>
      <c r="AL22" s="12" t="n">
        <f aca="false">AJ22-AH22</f>
        <v>-63</v>
      </c>
      <c r="AM22" s="10" t="n">
        <v>143</v>
      </c>
      <c r="AN22" s="10" t="n">
        <v>52</v>
      </c>
      <c r="AO22" s="11" t="n">
        <v>52</v>
      </c>
      <c r="AP22" s="12" t="n">
        <f aca="false">AO22-AN22</f>
        <v>0</v>
      </c>
      <c r="AQ22" s="12" t="n">
        <f aca="false">AO22-AM22</f>
        <v>-91</v>
      </c>
      <c r="AR22" s="10" t="n">
        <v>0</v>
      </c>
      <c r="AS22" s="10" t="n">
        <v>0</v>
      </c>
      <c r="AT22" s="11" t="n">
        <v>17</v>
      </c>
      <c r="AU22" s="12" t="n">
        <f aca="false">AT22-AS22</f>
        <v>17</v>
      </c>
      <c r="AV22" s="12" t="n">
        <f aca="false">AT22-AR22</f>
        <v>17</v>
      </c>
      <c r="AW22" s="10" t="n">
        <v>0</v>
      </c>
      <c r="AX22" s="10" t="n">
        <v>0</v>
      </c>
      <c r="AY22" s="11" t="n">
        <v>9</v>
      </c>
      <c r="AZ22" s="12" t="n">
        <f aca="false">AY22-AX22</f>
        <v>9</v>
      </c>
      <c r="BA22" s="12" t="n">
        <f aca="false">AY22-AW22</f>
        <v>9</v>
      </c>
      <c r="BB22" s="10" t="n">
        <v>0</v>
      </c>
      <c r="BC22" s="10" t="n">
        <v>0</v>
      </c>
      <c r="BD22" s="11" t="n">
        <v>0</v>
      </c>
      <c r="BE22" s="12" t="n">
        <f aca="false">BD22-BC22</f>
        <v>0</v>
      </c>
      <c r="BF22" s="12" t="n">
        <f aca="false">BD22-BB22</f>
        <v>0</v>
      </c>
      <c r="BG22" s="10" t="n">
        <v>0</v>
      </c>
      <c r="BH22" s="10" t="n">
        <v>0</v>
      </c>
      <c r="BI22" s="11" t="n">
        <v>1</v>
      </c>
      <c r="BJ22" s="12" t="n">
        <f aca="false">BI22-BH22</f>
        <v>1</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33</v>
      </c>
      <c r="F24" s="11" t="n">
        <v>33</v>
      </c>
      <c r="G24" s="12" t="n">
        <f aca="false">F24-E24</f>
        <v>0</v>
      </c>
      <c r="H24" s="12" t="n">
        <f aca="false">F24-D24</f>
        <v>-54</v>
      </c>
      <c r="I24" s="10" t="n">
        <v>16</v>
      </c>
      <c r="J24" s="10" t="n">
        <v>42</v>
      </c>
      <c r="K24" s="11" t="n">
        <v>49</v>
      </c>
      <c r="L24" s="12" t="n">
        <f aca="false">K24-J24</f>
        <v>7</v>
      </c>
      <c r="M24" s="12" t="n">
        <f aca="false">K24-I24</f>
        <v>33</v>
      </c>
      <c r="N24" s="10" t="n">
        <v>210</v>
      </c>
      <c r="O24" s="10" t="n">
        <v>42</v>
      </c>
      <c r="P24" s="11" t="n">
        <v>49</v>
      </c>
      <c r="Q24" s="12" t="n">
        <f aca="false">P24-O24</f>
        <v>7</v>
      </c>
      <c r="R24" s="12" t="n">
        <f aca="false">P24-N24</f>
        <v>-161</v>
      </c>
      <c r="S24" s="10" t="n">
        <v>74</v>
      </c>
      <c r="T24" s="10" t="n">
        <v>35</v>
      </c>
      <c r="U24" s="11" t="n">
        <v>35</v>
      </c>
      <c r="V24" s="12" t="n">
        <f aca="false">U24-T24</f>
        <v>0</v>
      </c>
      <c r="W24" s="12" t="n">
        <f aca="false">U24-S24</f>
        <v>-39</v>
      </c>
      <c r="X24" s="10" t="n">
        <v>119</v>
      </c>
      <c r="Y24" s="10" t="n">
        <v>39</v>
      </c>
      <c r="Z24" s="11" t="n">
        <v>39</v>
      </c>
      <c r="AA24" s="12" t="n">
        <f aca="false">Z24-Y24</f>
        <v>0</v>
      </c>
      <c r="AB24" s="12" t="n">
        <f aca="false">Z24-X24</f>
        <v>-80</v>
      </c>
      <c r="AC24" s="10" t="n">
        <v>69</v>
      </c>
      <c r="AD24" s="10" t="n">
        <v>27</v>
      </c>
      <c r="AE24" s="11" t="n">
        <v>35</v>
      </c>
      <c r="AF24" s="12" t="n">
        <f aca="false">AE24-AD24</f>
        <v>8</v>
      </c>
      <c r="AG24" s="12" t="n">
        <f aca="false">AE24-AC24</f>
        <v>-34</v>
      </c>
      <c r="AH24" s="10" t="n">
        <v>69</v>
      </c>
      <c r="AI24" s="10" t="n">
        <v>27</v>
      </c>
      <c r="AJ24" s="11" t="n">
        <v>27</v>
      </c>
      <c r="AK24" s="12" t="n">
        <f aca="false">AJ24-AI24</f>
        <v>0</v>
      </c>
      <c r="AL24" s="12" t="n">
        <f aca="false">AJ24-AH24</f>
        <v>-42</v>
      </c>
      <c r="AM24" s="10" t="n">
        <v>214</v>
      </c>
      <c r="AN24" s="10" t="n">
        <v>42</v>
      </c>
      <c r="AO24" s="11" t="n">
        <v>49</v>
      </c>
      <c r="AP24" s="12" t="n">
        <f aca="false">AO24-AN24</f>
        <v>7</v>
      </c>
      <c r="AQ24" s="12" t="n">
        <f aca="false">AO24-AM24</f>
        <v>-165</v>
      </c>
      <c r="AR24" s="10" t="n">
        <v>0</v>
      </c>
      <c r="AS24" s="10" t="n">
        <v>0</v>
      </c>
      <c r="AT24" s="11" t="n">
        <v>9</v>
      </c>
      <c r="AU24" s="12" t="n">
        <f aca="false">AT24-AS24</f>
        <v>9</v>
      </c>
      <c r="AV24" s="12" t="n">
        <f aca="false">AT24-AR24</f>
        <v>9</v>
      </c>
      <c r="AW24" s="10" t="n">
        <v>0</v>
      </c>
      <c r="AX24" s="10" t="n">
        <v>0</v>
      </c>
      <c r="AY24" s="11" t="n">
        <v>32</v>
      </c>
      <c r="AZ24" s="12" t="n">
        <f aca="false">AY24-AX24</f>
        <v>32</v>
      </c>
      <c r="BA24" s="12" t="n">
        <f aca="false">AY24-AW24</f>
        <v>32</v>
      </c>
      <c r="BB24" s="10" t="n">
        <v>0</v>
      </c>
      <c r="BC24" s="10" t="n">
        <v>0</v>
      </c>
      <c r="BD24" s="11" t="n">
        <v>0</v>
      </c>
      <c r="BE24" s="12" t="n">
        <f aca="false">BD24-BC24</f>
        <v>0</v>
      </c>
      <c r="BF24" s="12" t="n">
        <f aca="false">BD24-BB24</f>
        <v>0</v>
      </c>
      <c r="BG24" s="10" t="n">
        <v>2</v>
      </c>
      <c r="BH24" s="10" t="n">
        <v>2</v>
      </c>
      <c r="BI24" s="11" t="n">
        <v>3</v>
      </c>
      <c r="BJ24" s="12" t="n">
        <f aca="false">BI24-BH24</f>
        <v>1</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35</v>
      </c>
      <c r="U26" s="11" t="n">
        <v>32</v>
      </c>
      <c r="V26" s="12" t="n">
        <f aca="false">U26-T26</f>
        <v>-3</v>
      </c>
      <c r="W26" s="12" t="n">
        <f aca="false">U26-S26</f>
        <v>-3</v>
      </c>
      <c r="X26" s="10" t="n">
        <v>40</v>
      </c>
      <c r="Y26" s="10" t="n">
        <v>40</v>
      </c>
      <c r="Z26" s="11" t="n">
        <v>36</v>
      </c>
      <c r="AA26" s="12" t="n">
        <f aca="false">Z26-Y26</f>
        <v>-4</v>
      </c>
      <c r="AB26" s="12" t="n">
        <f aca="false">Z26-X26</f>
        <v>-4</v>
      </c>
      <c r="AC26" s="10" t="n">
        <v>41</v>
      </c>
      <c r="AD26" s="10" t="n">
        <v>41</v>
      </c>
      <c r="AE26" s="11" t="n">
        <v>36</v>
      </c>
      <c r="AF26" s="12" t="n">
        <f aca="false">AE26-AD26</f>
        <v>-5</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40</v>
      </c>
      <c r="U27" s="11" t="n">
        <v>31</v>
      </c>
      <c r="V27" s="12" t="n">
        <f aca="false">U27-T27</f>
        <v>-9</v>
      </c>
      <c r="W27" s="12" t="n">
        <f aca="false">U27-S27</f>
        <v>-7</v>
      </c>
      <c r="X27" s="10" t="n">
        <v>39</v>
      </c>
      <c r="Y27" s="10" t="n">
        <v>40</v>
      </c>
      <c r="Z27" s="11" t="n">
        <v>32</v>
      </c>
      <c r="AA27" s="12" t="n">
        <f aca="false">Z27-Y27</f>
        <v>-8</v>
      </c>
      <c r="AB27" s="12" t="n">
        <f aca="false">Z27-X27</f>
        <v>-7</v>
      </c>
      <c r="AC27" s="10" t="n">
        <v>34</v>
      </c>
      <c r="AD27" s="10" t="n">
        <v>40</v>
      </c>
      <c r="AE27" s="11" t="n">
        <v>32</v>
      </c>
      <c r="AF27" s="12" t="n">
        <f aca="false">AE27-AD27</f>
        <v>-8</v>
      </c>
      <c r="AG27" s="12" t="n">
        <f aca="false">AE27-AC27</f>
        <v>-2</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25</v>
      </c>
      <c r="AT27" s="11" t="n">
        <v>25</v>
      </c>
      <c r="AU27" s="12" t="n">
        <f aca="false">AT27-AS27</f>
        <v>0</v>
      </c>
      <c r="AV27" s="12" t="n">
        <f aca="false">AT27-AR27</f>
        <v>0</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38</v>
      </c>
      <c r="Z28" s="11" t="n">
        <v>39</v>
      </c>
      <c r="AA28" s="12" t="n">
        <f aca="false">Z28-Y28</f>
        <v>1</v>
      </c>
      <c r="AB28" s="12" t="n">
        <f aca="false">Z28-X28</f>
        <v>36</v>
      </c>
      <c r="AC28" s="10" t="n">
        <v>0</v>
      </c>
      <c r="AD28" s="10" t="n">
        <v>10</v>
      </c>
      <c r="AE28" s="11" t="n">
        <v>32</v>
      </c>
      <c r="AF28" s="12" t="n">
        <f aca="false">AE28-AD28</f>
        <v>22</v>
      </c>
      <c r="AG28" s="12" t="n">
        <f aca="false">AE28-AC28</f>
        <v>32</v>
      </c>
      <c r="AH28" s="10" t="n">
        <v>0</v>
      </c>
      <c r="AI28" s="10" t="n">
        <v>10</v>
      </c>
      <c r="AJ28" s="11" t="n">
        <v>32</v>
      </c>
      <c r="AK28" s="12" t="n">
        <f aca="false">AJ28-AI28</f>
        <v>22</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41</v>
      </c>
      <c r="AY28" s="11" t="n">
        <v>42</v>
      </c>
      <c r="AZ28" s="12" t="n">
        <f aca="false">AY28-AX28</f>
        <v>1</v>
      </c>
      <c r="BA28" s="12" t="n">
        <f aca="false">AY28-AW28</f>
        <v>39</v>
      </c>
      <c r="BB28" s="10" t="n">
        <v>0</v>
      </c>
      <c r="BC28" s="10" t="n">
        <v>0</v>
      </c>
      <c r="BD28" s="11" t="n">
        <v>0</v>
      </c>
      <c r="BE28" s="12" t="n">
        <f aca="false">BD28-BC28</f>
        <v>0</v>
      </c>
      <c r="BF28" s="12" t="n">
        <f aca="false">BD28-BB28</f>
        <v>0</v>
      </c>
      <c r="BG28" s="10" t="n">
        <v>0</v>
      </c>
      <c r="BH28" s="10" t="n">
        <v>1</v>
      </c>
      <c r="BI28" s="11" t="n">
        <v>4</v>
      </c>
      <c r="BJ28" s="12" t="n">
        <f aca="false">BI28-BH28</f>
        <v>3</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3</v>
      </c>
      <c r="U29" s="11" t="n">
        <v>4</v>
      </c>
      <c r="V29" s="12" t="n">
        <f aca="false">U29-T29</f>
        <v>1</v>
      </c>
      <c r="W29" s="12" t="n">
        <f aca="false">U29-S29</f>
        <v>4</v>
      </c>
      <c r="X29" s="10" t="n">
        <v>3</v>
      </c>
      <c r="Y29" s="10" t="n">
        <v>40</v>
      </c>
      <c r="Z29" s="11" t="n">
        <v>41</v>
      </c>
      <c r="AA29" s="12" t="n">
        <f aca="false">Z29-Y29</f>
        <v>1</v>
      </c>
      <c r="AB29" s="12" t="n">
        <f aca="false">Z29-X29</f>
        <v>38</v>
      </c>
      <c r="AC29" s="10" t="n">
        <v>3</v>
      </c>
      <c r="AD29" s="10" t="n">
        <v>38</v>
      </c>
      <c r="AE29" s="11" t="n">
        <v>41</v>
      </c>
      <c r="AF29" s="12" t="n">
        <f aca="false">AE29-AD29</f>
        <v>3</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0</v>
      </c>
      <c r="AT29" s="11" t="n">
        <v>10</v>
      </c>
      <c r="AU29" s="12" t="n">
        <f aca="false">AT29-AS29</f>
        <v>10</v>
      </c>
      <c r="AV29" s="12" t="n">
        <f aca="false">AT29-AR29</f>
        <v>10</v>
      </c>
      <c r="AW29" s="10" t="n">
        <v>3</v>
      </c>
      <c r="AX29" s="10" t="n">
        <v>3</v>
      </c>
      <c r="AY29" s="11" t="n">
        <v>34</v>
      </c>
      <c r="AZ29" s="12" t="n">
        <f aca="false">AY29-AX29</f>
        <v>31</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28</v>
      </c>
      <c r="U30" s="11" t="n">
        <v>9</v>
      </c>
      <c r="V30" s="12" t="n">
        <f aca="false">U30-T30</f>
        <v>-19</v>
      </c>
      <c r="W30" s="12" t="n">
        <f aca="false">U30-S30</f>
        <v>8</v>
      </c>
      <c r="X30" s="10" t="n">
        <v>7</v>
      </c>
      <c r="Y30" s="10" t="n">
        <v>32</v>
      </c>
      <c r="Z30" s="11" t="n">
        <v>9</v>
      </c>
      <c r="AA30" s="12" t="n">
        <f aca="false">Z30-Y30</f>
        <v>-23</v>
      </c>
      <c r="AB30" s="12" t="n">
        <f aca="false">Z30-X30</f>
        <v>2</v>
      </c>
      <c r="AC30" s="10" t="n">
        <v>20</v>
      </c>
      <c r="AD30" s="10" t="n">
        <v>30</v>
      </c>
      <c r="AE30" s="11" t="n">
        <v>8</v>
      </c>
      <c r="AF30" s="12" t="n">
        <f aca="false">AE30-AD30</f>
        <v>-22</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0</v>
      </c>
      <c r="AY30" s="11" t="n">
        <v>11</v>
      </c>
      <c r="AZ30" s="12" t="n">
        <f aca="false">AY30-AX30</f>
        <v>11</v>
      </c>
      <c r="BA30" s="12" t="n">
        <f aca="false">AY30-AW30</f>
        <v>11</v>
      </c>
      <c r="BB30" s="10" t="n">
        <v>0</v>
      </c>
      <c r="BC30" s="10" t="n">
        <v>0</v>
      </c>
      <c r="BD30" s="11" t="n">
        <v>0</v>
      </c>
      <c r="BE30" s="12" t="n">
        <f aca="false">BD30-BC30</f>
        <v>0</v>
      </c>
      <c r="BF30" s="12" t="n">
        <f aca="false">BD30-BB30</f>
        <v>0</v>
      </c>
      <c r="BG30" s="10" t="n">
        <v>0</v>
      </c>
      <c r="BH30" s="10" t="n">
        <v>0</v>
      </c>
      <c r="BI30" s="11" t="n">
        <v>30</v>
      </c>
      <c r="BJ30" s="12" t="n">
        <f aca="false">BI30-BH30</f>
        <v>30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9</v>
      </c>
      <c r="Z31" s="11" t="n">
        <v>8</v>
      </c>
      <c r="AA31" s="12" t="n">
        <f aca="false">Z31-Y31</f>
        <v>-1</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14</v>
      </c>
      <c r="AY31" s="11" t="n">
        <v>16</v>
      </c>
      <c r="AZ31" s="12" t="n">
        <f aca="false">AY31-AX31</f>
        <v>2</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17</v>
      </c>
      <c r="Z32" s="11" t="n">
        <v>10</v>
      </c>
      <c r="AA32" s="12" t="n">
        <f aca="false">Z32-Y32</f>
        <v>-7</v>
      </c>
      <c r="AB32" s="12" t="n">
        <f aca="false">Z32-X32</f>
        <v>-5</v>
      </c>
      <c r="AC32" s="10" t="n">
        <v>9</v>
      </c>
      <c r="AD32" s="10" t="n">
        <v>12</v>
      </c>
      <c r="AE32" s="11" t="n">
        <v>8</v>
      </c>
      <c r="AF32" s="12" t="n">
        <f aca="false">AE32-AD32</f>
        <v>-4</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17</v>
      </c>
      <c r="F33" s="11" t="n">
        <v>17</v>
      </c>
      <c r="G33" s="12" t="n">
        <f aca="false">F33-E33</f>
        <v>0</v>
      </c>
      <c r="H33" s="12" t="n">
        <f aca="false">F33-D33</f>
        <v>0</v>
      </c>
      <c r="I33" s="10" t="n">
        <v>31</v>
      </c>
      <c r="J33" s="10" t="n">
        <v>31</v>
      </c>
      <c r="K33" s="11" t="n">
        <v>31</v>
      </c>
      <c r="L33" s="12" t="n">
        <f aca="false">K33-J33</f>
        <v>0</v>
      </c>
      <c r="M33" s="12" t="n">
        <f aca="false">K33-I33</f>
        <v>0</v>
      </c>
      <c r="N33" s="10" t="n">
        <v>29</v>
      </c>
      <c r="O33" s="10" t="n">
        <v>29</v>
      </c>
      <c r="P33" s="11" t="n">
        <v>31</v>
      </c>
      <c r="Q33" s="12" t="n">
        <f aca="false">P33-O33</f>
        <v>2</v>
      </c>
      <c r="R33" s="12" t="n">
        <f aca="false">P33-N33</f>
        <v>2</v>
      </c>
      <c r="S33" s="10" t="n">
        <v>2</v>
      </c>
      <c r="T33" s="10" t="n">
        <v>2</v>
      </c>
      <c r="U33" s="11" t="n">
        <v>2</v>
      </c>
      <c r="V33" s="12" t="n">
        <f aca="false">U33-T33</f>
        <v>0</v>
      </c>
      <c r="W33" s="12" t="n">
        <f aca="false">U33-S33</f>
        <v>0</v>
      </c>
      <c r="X33" s="10" t="n">
        <v>22</v>
      </c>
      <c r="Y33" s="10" t="n">
        <v>22</v>
      </c>
      <c r="Z33" s="11" t="n">
        <v>18</v>
      </c>
      <c r="AA33" s="12" t="n">
        <f aca="false">Z33-Y33</f>
        <v>-4</v>
      </c>
      <c r="AB33" s="12" t="n">
        <f aca="false">Z33-X33</f>
        <v>-4</v>
      </c>
      <c r="AC33" s="10" t="n">
        <v>11</v>
      </c>
      <c r="AD33" s="10" t="n">
        <v>12</v>
      </c>
      <c r="AE33" s="11" t="n">
        <v>30</v>
      </c>
      <c r="AF33" s="12" t="n">
        <f aca="false">AE33-AD33</f>
        <v>18</v>
      </c>
      <c r="AG33" s="12" t="n">
        <f aca="false">AE33-AC33</f>
        <v>19</v>
      </c>
      <c r="AH33" s="10" t="n">
        <v>11</v>
      </c>
      <c r="AI33" s="10" t="n">
        <v>12</v>
      </c>
      <c r="AJ33" s="11" t="n">
        <v>30</v>
      </c>
      <c r="AK33" s="12" t="n">
        <f aca="false">AJ33-AI33</f>
        <v>18</v>
      </c>
      <c r="AL33" s="12" t="n">
        <f aca="false">AJ33-AH33</f>
        <v>19</v>
      </c>
      <c r="AM33" s="10" t="n">
        <v>31</v>
      </c>
      <c r="AN33" s="10" t="n">
        <v>31</v>
      </c>
      <c r="AO33" s="11" t="n">
        <v>31</v>
      </c>
      <c r="AP33" s="12" t="n">
        <f aca="false">AO33-AN33</f>
        <v>0</v>
      </c>
      <c r="AQ33" s="12" t="n">
        <f aca="false">AO33-AM33</f>
        <v>0</v>
      </c>
      <c r="AR33" s="10" t="n">
        <v>0</v>
      </c>
      <c r="AS33" s="10" t="n">
        <v>0</v>
      </c>
      <c r="AT33" s="11" t="n">
        <v>2</v>
      </c>
      <c r="AU33" s="12" t="n">
        <f aca="false">AT33-AS33</f>
        <v>2</v>
      </c>
      <c r="AV33" s="12" t="n">
        <f aca="false">AT33-AR33</f>
        <v>2</v>
      </c>
      <c r="AW33" s="10" t="n">
        <v>14</v>
      </c>
      <c r="AX33" s="10" t="n">
        <v>14</v>
      </c>
      <c r="AY33" s="11" t="n">
        <v>15</v>
      </c>
      <c r="AZ33" s="12" t="n">
        <f aca="false">AY33-AX33</f>
        <v>1</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7</v>
      </c>
      <c r="U34" s="11" t="n">
        <v>4</v>
      </c>
      <c r="V34" s="12" t="n">
        <f aca="false">U34-T34</f>
        <v>-3</v>
      </c>
      <c r="W34" s="12" t="n">
        <f aca="false">U34-S34</f>
        <v>-2</v>
      </c>
      <c r="X34" s="10" t="n">
        <v>23</v>
      </c>
      <c r="Y34" s="10" t="n">
        <v>29</v>
      </c>
      <c r="Z34" s="11" t="n">
        <v>6</v>
      </c>
      <c r="AA34" s="12" t="n">
        <f aca="false">Z34-Y34</f>
        <v>-23</v>
      </c>
      <c r="AB34" s="12" t="n">
        <f aca="false">Z34-X34</f>
        <v>-17</v>
      </c>
      <c r="AC34" s="10" t="n">
        <v>7</v>
      </c>
      <c r="AD34" s="10" t="n">
        <v>10</v>
      </c>
      <c r="AE34" s="11" t="n">
        <v>3</v>
      </c>
      <c r="AF34" s="12" t="n">
        <f aca="false">AE34-AD34</f>
        <v>-7</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3</v>
      </c>
      <c r="U35" s="11" t="n">
        <v>0</v>
      </c>
      <c r="V35" s="12" t="n">
        <f aca="false">U35-T35</f>
        <v>-3</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0</v>
      </c>
      <c r="BI35" s="11" t="n">
        <v>28</v>
      </c>
      <c r="BJ35" s="12" t="n">
        <f aca="false">BI35-BH35</f>
        <v>28</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4</v>
      </c>
      <c r="Z36" s="11" t="n">
        <v>0</v>
      </c>
      <c r="AA36" s="12" t="n">
        <f aca="false">Z36-Y36</f>
        <v>-4</v>
      </c>
      <c r="AB36" s="12" t="n">
        <f aca="false">Z36-X36</f>
        <v>-4</v>
      </c>
      <c r="AC36" s="10" t="n">
        <v>2</v>
      </c>
      <c r="AD36" s="10" t="n">
        <v>3</v>
      </c>
      <c r="AE36" s="11" t="n">
        <v>1</v>
      </c>
      <c r="AF36" s="12" t="n">
        <f aca="false">AE36-AD36</f>
        <v>-2</v>
      </c>
      <c r="AG36" s="12" t="n">
        <f aca="false">AE36-AC36</f>
        <v>-1</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0</v>
      </c>
      <c r="BI36" s="11" t="n">
        <v>27</v>
      </c>
      <c r="BJ36" s="12" t="n">
        <f aca="false">BI36-BH36</f>
        <v>27</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17</v>
      </c>
      <c r="P37" s="11" t="n">
        <v>20</v>
      </c>
      <c r="Q37" s="12" t="n">
        <f aca="false">P37-O37</f>
        <v>3</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15</v>
      </c>
      <c r="AE37" s="11" t="n">
        <v>18</v>
      </c>
      <c r="AF37" s="12" t="n">
        <f aca="false">AE37-AD37</f>
        <v>3</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6</v>
      </c>
      <c r="U38" s="11" t="n">
        <v>4</v>
      </c>
      <c r="V38" s="12" t="n">
        <f aca="false">U38-T38</f>
        <v>-2</v>
      </c>
      <c r="W38" s="12" t="n">
        <f aca="false">U38-S38</f>
        <v>-46</v>
      </c>
      <c r="X38" s="10" t="n">
        <v>86</v>
      </c>
      <c r="Y38" s="10" t="n">
        <v>11</v>
      </c>
      <c r="Z38" s="11" t="n">
        <v>14</v>
      </c>
      <c r="AA38" s="12" t="n">
        <f aca="false">Z38-Y38</f>
        <v>3</v>
      </c>
      <c r="AB38" s="12" t="n">
        <f aca="false">Z38-X38</f>
        <v>-72</v>
      </c>
      <c r="AC38" s="10" t="n">
        <v>90</v>
      </c>
      <c r="AD38" s="10" t="n">
        <v>9</v>
      </c>
      <c r="AE38" s="11" t="n">
        <v>4</v>
      </c>
      <c r="AF38" s="12" t="n">
        <f aca="false">AE38-AD38</f>
        <v>-5</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18</v>
      </c>
      <c r="P39" s="11" t="n">
        <v>19</v>
      </c>
      <c r="Q39" s="12" t="n">
        <f aca="false">P39-O39</f>
        <v>1</v>
      </c>
      <c r="R39" s="12" t="n">
        <f aca="false">P39-N39</f>
        <v>-91</v>
      </c>
      <c r="S39" s="10" t="n">
        <v>81</v>
      </c>
      <c r="T39" s="10" t="n">
        <v>11</v>
      </c>
      <c r="U39" s="11" t="n">
        <v>16</v>
      </c>
      <c r="V39" s="12" t="n">
        <f aca="false">U39-T39</f>
        <v>5</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0</v>
      </c>
      <c r="AT39" s="11" t="n">
        <v>12</v>
      </c>
      <c r="AU39" s="12" t="n">
        <f aca="false">AT39-AS39</f>
        <v>12</v>
      </c>
      <c r="AV39" s="12" t="n">
        <f aca="false">AT39-AR39</f>
        <v>12</v>
      </c>
      <c r="AW39" s="10" t="n">
        <v>0</v>
      </c>
      <c r="AX39" s="10" t="n">
        <v>0</v>
      </c>
      <c r="AY39" s="11" t="n">
        <v>1</v>
      </c>
      <c r="AZ39" s="12" t="n">
        <f aca="false">AY39-AX39</f>
        <v>1</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9</v>
      </c>
      <c r="AE41" s="11" t="n">
        <v>10</v>
      </c>
      <c r="AF41" s="12" t="n">
        <f aca="false">AE41-AD41</f>
        <v>1</v>
      </c>
      <c r="AG41" s="12" t="n">
        <f aca="false">AE41-AC41</f>
        <v>10</v>
      </c>
      <c r="AH41" s="10" t="n">
        <v>0</v>
      </c>
      <c r="AI41" s="10" t="n">
        <v>9</v>
      </c>
      <c r="AJ41" s="11" t="n">
        <v>10</v>
      </c>
      <c r="AK41" s="12" t="n">
        <f aca="false">AJ41-AI41</f>
        <v>1</v>
      </c>
      <c r="AL41" s="12" t="n">
        <f aca="false">AJ41-AH41</f>
        <v>10</v>
      </c>
      <c r="AM41" s="10" t="n">
        <v>2</v>
      </c>
      <c r="AN41" s="10" t="n">
        <v>14</v>
      </c>
      <c r="AO41" s="11" t="n">
        <v>14</v>
      </c>
      <c r="AP41" s="12" t="n">
        <f aca="false">AO41-AN41</f>
        <v>0</v>
      </c>
      <c r="AQ41" s="12" t="n">
        <f aca="false">AO41-AM41</f>
        <v>12</v>
      </c>
      <c r="AR41" s="10" t="n">
        <v>0</v>
      </c>
      <c r="AS41" s="10" t="n">
        <v>0</v>
      </c>
      <c r="AT41" s="11" t="n">
        <v>7</v>
      </c>
      <c r="AU41" s="12" t="n">
        <f aca="false">AT41-AS41</f>
        <v>7</v>
      </c>
      <c r="AV41" s="12" t="n">
        <f aca="false">AT41-AR41</f>
        <v>7</v>
      </c>
      <c r="AW41" s="10" t="n">
        <v>0</v>
      </c>
      <c r="AX41" s="10" t="n">
        <v>0</v>
      </c>
      <c r="AY41" s="11" t="n">
        <v>1</v>
      </c>
      <c r="AZ41" s="12" t="n">
        <f aca="false">AY41-AX41</f>
        <v>1</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10</v>
      </c>
      <c r="Z42" s="11" t="n">
        <v>9</v>
      </c>
      <c r="AA42" s="12" t="n">
        <f aca="false">Z42-Y42</f>
        <v>-1</v>
      </c>
      <c r="AB42" s="12" t="n">
        <f aca="false">Z42-X42</f>
        <v>-1</v>
      </c>
      <c r="AC42" s="10" t="n">
        <v>10</v>
      </c>
      <c r="AD42" s="10" t="n">
        <v>10</v>
      </c>
      <c r="AE42" s="11" t="n">
        <v>9</v>
      </c>
      <c r="AF42" s="12" t="n">
        <f aca="false">AE42-AD42</f>
        <v>-1</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0</v>
      </c>
      <c r="AY44" s="11" t="n">
        <v>9</v>
      </c>
      <c r="AZ44" s="12" t="n">
        <f aca="false">AY44-AX44</f>
        <v>9</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5</v>
      </c>
      <c r="Z45" s="11" t="n">
        <v>6</v>
      </c>
      <c r="AA45" s="12" t="n">
        <f aca="false">Z45-Y45</f>
        <v>1</v>
      </c>
      <c r="AB45" s="12" t="n">
        <f aca="false">Z45-X45</f>
        <v>5</v>
      </c>
      <c r="AC45" s="10" t="n">
        <v>2</v>
      </c>
      <c r="AD45" s="10" t="n">
        <v>5</v>
      </c>
      <c r="AE45" s="11" t="n">
        <v>5</v>
      </c>
      <c r="AF45" s="12" t="n">
        <f aca="false">AE45-AD45</f>
        <v>0</v>
      </c>
      <c r="AG45" s="12" t="n">
        <f aca="false">AE45-AC45</f>
        <v>3</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1</v>
      </c>
      <c r="U46" s="11" t="n">
        <v>0</v>
      </c>
      <c r="V46" s="12" t="n">
        <f aca="false">U46-T46</f>
        <v>-1</v>
      </c>
      <c r="W46" s="12" t="n">
        <f aca="false">U46-S46</f>
        <v>0</v>
      </c>
      <c r="X46" s="10" t="n">
        <v>1</v>
      </c>
      <c r="Y46" s="10" t="n">
        <v>2</v>
      </c>
      <c r="Z46" s="11" t="n">
        <v>0</v>
      </c>
      <c r="AA46" s="12" t="n">
        <f aca="false">Z46-Y46</f>
        <v>-2</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1</v>
      </c>
      <c r="Z49" s="11" t="n">
        <v>0</v>
      </c>
      <c r="AA49" s="12" t="n">
        <f aca="false">Z49-Y49</f>
        <v>-1</v>
      </c>
      <c r="AB49" s="12" t="n">
        <f aca="false">Z49-X49</f>
        <v>-1</v>
      </c>
      <c r="AC49" s="10" t="n">
        <v>2</v>
      </c>
      <c r="AD49" s="10" t="n">
        <v>2</v>
      </c>
      <c r="AE49" s="11" t="n">
        <v>0</v>
      </c>
      <c r="AF49" s="12" t="n">
        <f aca="false">AE49-AD49</f>
        <v>-2</v>
      </c>
      <c r="AG49" s="12" t="n">
        <f aca="false">AE49-AC49</f>
        <v>-2</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0</v>
      </c>
      <c r="BI49" s="11" t="n">
        <v>2</v>
      </c>
      <c r="BJ49" s="12" t="n">
        <f aca="false">BI49-BH49</f>
        <v>2</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0</v>
      </c>
      <c r="F50" s="11" t="n">
        <v>0</v>
      </c>
      <c r="G50" s="12" t="n">
        <f aca="false">F50-E50</f>
        <v>0</v>
      </c>
      <c r="H50" s="12" t="n">
        <f aca="false">F50-D50</f>
        <v>0</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0</v>
      </c>
      <c r="AT50" s="11" t="n">
        <v>0</v>
      </c>
      <c r="AU50" s="12" t="n">
        <f aca="false">AT50-AS50</f>
        <v>0</v>
      </c>
      <c r="AV50" s="12" t="n">
        <f aca="false">AT50-AR50</f>
        <v>0</v>
      </c>
      <c r="AW50" s="10" t="n">
        <v>0</v>
      </c>
      <c r="AX50" s="10" t="n">
        <v>0</v>
      </c>
      <c r="AY50" s="11" t="n">
        <v>0</v>
      </c>
      <c r="AZ50" s="12" t="n">
        <f aca="false">AY50-AX50</f>
        <v>0</v>
      </c>
      <c r="BA50" s="12" t="n">
        <f aca="false">AY50-AW50</f>
        <v>0</v>
      </c>
      <c r="BB50" s="10" t="n">
        <v>0</v>
      </c>
      <c r="BC50" s="10" t="n">
        <v>0</v>
      </c>
      <c r="BD50" s="11" t="n">
        <v>0</v>
      </c>
      <c r="BE50" s="12" t="n">
        <f aca="false">BD50-BC50</f>
        <v>0</v>
      </c>
      <c r="BF50" s="12" t="n">
        <f aca="false">BD50-BB50</f>
        <v>0</v>
      </c>
      <c r="BG50" s="10" t="n">
        <v>0</v>
      </c>
      <c r="BH50" s="10" t="n">
        <v>0</v>
      </c>
      <c r="BI50" s="11" t="n">
        <v>0</v>
      </c>
      <c r="BJ50" s="12" t="n">
        <f aca="false">BI50-BH50</f>
        <v>0</v>
      </c>
      <c r="BK50" s="12" t="n">
        <f aca="false">BI50-BG50</f>
        <v>0</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1</v>
      </c>
      <c r="Z51" s="11" t="n">
        <v>2</v>
      </c>
      <c r="AA51" s="12" t="n">
        <f aca="false">Z51-Y51</f>
        <v>1</v>
      </c>
      <c r="AB51" s="12" t="n">
        <f aca="false">Z51-X51</f>
        <v>-33</v>
      </c>
      <c r="AC51" s="10" t="n">
        <v>16</v>
      </c>
      <c r="AD51" s="10" t="n">
        <v>0</v>
      </c>
      <c r="AE51" s="11" t="n">
        <v>2</v>
      </c>
      <c r="AF51" s="12" t="n">
        <f aca="false">AE51-AD51</f>
        <v>2</v>
      </c>
      <c r="AG51" s="12" t="n">
        <f aca="false">AE51-AC51</f>
        <v>-14</v>
      </c>
      <c r="AH51" s="10" t="n">
        <v>16</v>
      </c>
      <c r="AI51" s="10" t="n">
        <v>0</v>
      </c>
      <c r="AJ51" s="11" t="n">
        <v>2</v>
      </c>
      <c r="AK51" s="12" t="n">
        <f aca="false">AJ51-AI51</f>
        <v>2</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52</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0</v>
      </c>
      <c r="AT54" s="11" t="n">
        <v>0</v>
      </c>
      <c r="AU54" s="12" t="n">
        <f aca="false">AT54-AS54</f>
        <v>0</v>
      </c>
      <c r="AV54" s="12" t="n">
        <f aca="false">AT54-AR54</f>
        <v>0</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313</v>
      </c>
      <c r="H5" s="13" t="n">
        <v>189</v>
      </c>
      <c r="I5" s="13" t="n">
        <f aca="false">H5-G5</f>
        <v>-124</v>
      </c>
      <c r="J5" s="13" t="n">
        <f aca="false">H5-F5</f>
        <v>-81</v>
      </c>
    </row>
    <row r="6" customFormat="false" ht="15" hidden="false" customHeight="false" outlineLevel="0" collapsed="false">
      <c r="A6" s="13" t="s">
        <v>49</v>
      </c>
      <c r="B6" s="13" t="s">
        <v>50</v>
      </c>
      <c r="C6" s="13" t="n">
        <v>575</v>
      </c>
      <c r="D6" s="13" t="s">
        <v>23</v>
      </c>
      <c r="E6" s="13" t="s">
        <v>27</v>
      </c>
      <c r="F6" s="13" t="n">
        <v>441</v>
      </c>
      <c r="G6" s="13" t="n">
        <v>467</v>
      </c>
      <c r="H6" s="13" t="n">
        <v>316</v>
      </c>
      <c r="I6" s="13" t="n">
        <f aca="false">H6-G6</f>
        <v>-151</v>
      </c>
      <c r="J6" s="13" t="n">
        <f aca="false">H6-F6</f>
        <v>-125</v>
      </c>
    </row>
    <row r="7" customFormat="false" ht="15" hidden="false" customHeight="false" outlineLevel="0" collapsed="false">
      <c r="A7" s="13" t="s">
        <v>49</v>
      </c>
      <c r="B7" s="13" t="s">
        <v>50</v>
      </c>
      <c r="C7" s="13" t="n">
        <v>575</v>
      </c>
      <c r="D7" s="13" t="s">
        <v>23</v>
      </c>
      <c r="E7" s="13" t="s">
        <v>28</v>
      </c>
      <c r="F7" s="13" t="n">
        <v>465</v>
      </c>
      <c r="G7" s="13" t="n">
        <v>497</v>
      </c>
      <c r="H7" s="13" t="n">
        <v>314</v>
      </c>
      <c r="I7" s="13" t="n">
        <f aca="false">H7-G7</f>
        <v>-183</v>
      </c>
      <c r="J7" s="13" t="n">
        <f aca="false">H7-F7</f>
        <v>-151</v>
      </c>
    </row>
    <row r="8" customFormat="false" ht="15" hidden="false" customHeight="false" outlineLevel="0" collapsed="false">
      <c r="A8" s="13" t="s">
        <v>49</v>
      </c>
      <c r="B8" s="13" t="s">
        <v>50</v>
      </c>
      <c r="C8" s="13" t="n">
        <v>575</v>
      </c>
      <c r="D8" s="13" t="s">
        <v>23</v>
      </c>
      <c r="E8" s="13" t="s">
        <v>29</v>
      </c>
      <c r="F8" s="13" t="n">
        <v>465</v>
      </c>
      <c r="G8" s="13" t="n">
        <v>497</v>
      </c>
      <c r="H8" s="13" t="n">
        <v>314</v>
      </c>
      <c r="I8" s="13" t="n">
        <f aca="false">H8-G8</f>
        <v>-183</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250</v>
      </c>
      <c r="H11" s="13" t="n">
        <v>252</v>
      </c>
      <c r="I11" s="13" t="n">
        <f aca="false">H11-G11</f>
        <v>2</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371</v>
      </c>
      <c r="H27" s="13" t="n">
        <v>372</v>
      </c>
      <c r="I27" s="13" t="n">
        <f aca="false">H27-G27</f>
        <v>1</v>
      </c>
      <c r="J27" s="13" t="n">
        <f aca="false">H27-F27</f>
        <v>1</v>
      </c>
    </row>
    <row r="28" customFormat="false" ht="15" hidden="false" customHeight="false" outlineLevel="0" collapsed="false">
      <c r="A28" s="13" t="s">
        <v>53</v>
      </c>
      <c r="B28" s="13" t="s">
        <v>54</v>
      </c>
      <c r="C28" s="13" t="n">
        <v>379</v>
      </c>
      <c r="D28" s="13" t="s">
        <v>23</v>
      </c>
      <c r="E28" s="13" t="s">
        <v>26</v>
      </c>
      <c r="F28" s="13" t="n">
        <v>17</v>
      </c>
      <c r="G28" s="13" t="n">
        <v>17</v>
      </c>
      <c r="H28" s="13" t="n">
        <v>9</v>
      </c>
      <c r="I28" s="13" t="n">
        <f aca="false">H28-G28</f>
        <v>-8</v>
      </c>
      <c r="J28" s="13" t="n">
        <f aca="false">H28-F28</f>
        <v>-8</v>
      </c>
    </row>
    <row r="29" customFormat="false" ht="15" hidden="false" customHeight="false" outlineLevel="0" collapsed="false">
      <c r="A29" s="13" t="s">
        <v>53</v>
      </c>
      <c r="B29" s="13" t="s">
        <v>54</v>
      </c>
      <c r="C29" s="13" t="n">
        <v>379</v>
      </c>
      <c r="D29" s="13" t="s">
        <v>23</v>
      </c>
      <c r="E29" s="13" t="s">
        <v>27</v>
      </c>
      <c r="F29" s="13" t="n">
        <v>134</v>
      </c>
      <c r="G29" s="13" t="n">
        <v>134</v>
      </c>
      <c r="H29" s="13" t="n">
        <v>91</v>
      </c>
      <c r="I29" s="13" t="n">
        <f aca="false">H29-G29</f>
        <v>-43</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172</v>
      </c>
      <c r="H30" s="13" t="n">
        <v>130</v>
      </c>
      <c r="I30" s="13" t="n">
        <f aca="false">H30-G30</f>
        <v>-42</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172</v>
      </c>
      <c r="H31" s="13" t="n">
        <v>130</v>
      </c>
      <c r="I31" s="13" t="n">
        <f aca="false">H31-G31</f>
        <v>-42</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267</v>
      </c>
      <c r="H50" s="13" t="n">
        <v>270</v>
      </c>
      <c r="I50" s="13" t="n">
        <f aca="false">H50-G50</f>
        <v>3</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152</v>
      </c>
      <c r="H51" s="13" t="n">
        <v>186</v>
      </c>
      <c r="I51" s="13" t="n">
        <f aca="false">H51-G51</f>
        <v>34</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263</v>
      </c>
      <c r="H52" s="13" t="n">
        <v>262</v>
      </c>
      <c r="I52" s="13" t="n">
        <f aca="false">H52-G52</f>
        <v>-1</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126</v>
      </c>
      <c r="H53" s="13" t="n">
        <v>124</v>
      </c>
      <c r="I53" s="13" t="n">
        <f aca="false">H53-G53</f>
        <v>-2</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126</v>
      </c>
      <c r="H54" s="13" t="n">
        <v>124</v>
      </c>
      <c r="I54" s="13" t="n">
        <f aca="false">H54-G54</f>
        <v>-2</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0</v>
      </c>
      <c r="H56" s="13" t="n">
        <v>16</v>
      </c>
      <c r="I56" s="13" t="n">
        <f aca="false">H56-G56</f>
        <v>16</v>
      </c>
      <c r="J56" s="13" t="n">
        <f aca="false">H56-F56</f>
        <v>16</v>
      </c>
    </row>
    <row r="57" customFormat="false" ht="15" hidden="false" customHeight="false" outlineLevel="0" collapsed="false">
      <c r="A57" s="13" t="s">
        <v>55</v>
      </c>
      <c r="B57" s="13" t="s">
        <v>56</v>
      </c>
      <c r="C57" s="13" t="n">
        <v>270</v>
      </c>
      <c r="D57" s="13" t="s">
        <v>23</v>
      </c>
      <c r="E57" s="13" t="s">
        <v>32</v>
      </c>
      <c r="F57" s="13" t="n">
        <v>0</v>
      </c>
      <c r="G57" s="13" t="n">
        <v>0</v>
      </c>
      <c r="H57" s="13" t="n">
        <v>132</v>
      </c>
      <c r="I57" s="13" t="n">
        <f aca="false">H57-G57</f>
        <v>132</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112</v>
      </c>
      <c r="H74" s="13" t="n">
        <v>101</v>
      </c>
      <c r="I74" s="13" t="n">
        <f aca="false">H74-G74</f>
        <v>-11</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132</v>
      </c>
      <c r="H75" s="13" t="n">
        <v>116</v>
      </c>
      <c r="I75" s="13" t="n">
        <f aca="false">H75-G75</f>
        <v>-16</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107</v>
      </c>
      <c r="H76" s="13" t="n">
        <v>98</v>
      </c>
      <c r="I76" s="13" t="n">
        <f aca="false">H76-G76</f>
        <v>-9</v>
      </c>
      <c r="J76" s="13" t="n">
        <f aca="false">H76-F76</f>
        <v>-7</v>
      </c>
    </row>
    <row r="77" customFormat="false" ht="15" hidden="false" customHeight="false" outlineLevel="0" collapsed="false">
      <c r="A77" s="13" t="s">
        <v>57</v>
      </c>
      <c r="B77" s="13" t="s">
        <v>58</v>
      </c>
      <c r="C77" s="13" t="n">
        <v>234</v>
      </c>
      <c r="D77" s="13" t="s">
        <v>23</v>
      </c>
      <c r="E77" s="13" t="s">
        <v>29</v>
      </c>
      <c r="F77" s="13" t="n">
        <v>105</v>
      </c>
      <c r="G77" s="13" t="n">
        <v>107</v>
      </c>
      <c r="H77" s="13" t="n">
        <v>98</v>
      </c>
      <c r="I77" s="13" t="n">
        <f aca="false">H77-G77</f>
        <v>-9</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1</v>
      </c>
      <c r="H79" s="13" t="n">
        <v>2</v>
      </c>
      <c r="I79" s="13" t="n">
        <f aca="false">H79-G79</f>
        <v>1</v>
      </c>
      <c r="J79" s="13" t="n">
        <f aca="false">H79-F79</f>
        <v>1</v>
      </c>
    </row>
    <row r="80" customFormat="false" ht="15" hidden="false" customHeight="false" outlineLevel="0" collapsed="false">
      <c r="A80" s="13" t="s">
        <v>57</v>
      </c>
      <c r="B80" s="13" t="s">
        <v>58</v>
      </c>
      <c r="C80" s="13" t="n">
        <v>234</v>
      </c>
      <c r="D80" s="13" t="s">
        <v>23</v>
      </c>
      <c r="E80" s="13" t="s">
        <v>32</v>
      </c>
      <c r="F80" s="13" t="n">
        <v>95</v>
      </c>
      <c r="G80" s="13" t="n">
        <v>95</v>
      </c>
      <c r="H80" s="13" t="n">
        <v>96</v>
      </c>
      <c r="I80" s="13" t="n">
        <f aca="false">H80-G80</f>
        <v>1</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54</v>
      </c>
      <c r="H97" s="13" t="n">
        <v>43</v>
      </c>
      <c r="I97" s="13" t="n">
        <f aca="false">H97-G97</f>
        <v>-11</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104</v>
      </c>
      <c r="H98" s="13" t="n">
        <v>77</v>
      </c>
      <c r="I98" s="13" t="n">
        <f aca="false">H98-G98</f>
        <v>-27</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75</v>
      </c>
      <c r="H99" s="13" t="n">
        <v>72</v>
      </c>
      <c r="I99" s="13" t="n">
        <f aca="false">H99-G99</f>
        <v>-3</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75</v>
      </c>
      <c r="H100" s="13" t="n">
        <v>72</v>
      </c>
      <c r="I100" s="13" t="n">
        <f aca="false">H100-G100</f>
        <v>-3</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0</v>
      </c>
      <c r="H102" s="13" t="n">
        <v>4</v>
      </c>
      <c r="I102" s="13" t="n">
        <f aca="false">H102-G102</f>
        <v>4</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40</v>
      </c>
      <c r="H103" s="13" t="n">
        <v>68</v>
      </c>
      <c r="I103" s="13" t="n">
        <f aca="false">H103-G103</f>
        <v>28</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0</v>
      </c>
      <c r="H105" s="13" t="n">
        <v>74</v>
      </c>
      <c r="I105" s="13" t="n">
        <f aca="false">H105-G105</f>
        <v>74</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99</v>
      </c>
      <c r="H120" s="13" t="n">
        <v>88</v>
      </c>
      <c r="I120" s="13" t="n">
        <f aca="false">H120-G120</f>
        <v>-11</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180</v>
      </c>
      <c r="H121" s="13" t="n">
        <v>174</v>
      </c>
      <c r="I121" s="13" t="n">
        <f aca="false">H121-G121</f>
        <v>-6</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179</v>
      </c>
      <c r="H122" s="13" t="n">
        <v>173</v>
      </c>
      <c r="I122" s="13" t="n">
        <f aca="false">H122-G122</f>
        <v>-6</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179</v>
      </c>
      <c r="H123" s="13" t="n">
        <v>173</v>
      </c>
      <c r="I123" s="13" t="n">
        <f aca="false">H123-G123</f>
        <v>-6</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178</v>
      </c>
      <c r="H142" s="13" t="n">
        <v>179</v>
      </c>
      <c r="I142" s="13" t="n">
        <f aca="false">H142-G142</f>
        <v>1</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27</v>
      </c>
      <c r="H143" s="13" t="n">
        <v>3</v>
      </c>
      <c r="I143" s="13" t="n">
        <f aca="false">H143-G143</f>
        <v>-24</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82</v>
      </c>
      <c r="H144" s="13" t="n">
        <v>11</v>
      </c>
      <c r="I144" s="13" t="n">
        <f aca="false">H144-G144</f>
        <v>-71</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97</v>
      </c>
      <c r="H145" s="13" t="n">
        <v>13</v>
      </c>
      <c r="I145" s="13" t="n">
        <f aca="false">H145-G145</f>
        <v>-84</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97</v>
      </c>
      <c r="H146" s="13" t="n">
        <v>13</v>
      </c>
      <c r="I146" s="13" t="n">
        <f aca="false">H146-G146</f>
        <v>-84</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0</v>
      </c>
      <c r="H148" s="13" t="n">
        <v>1</v>
      </c>
      <c r="I148" s="13" t="n">
        <f aca="false">H148-G148</f>
        <v>1</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3</v>
      </c>
      <c r="H149" s="13" t="n">
        <v>5</v>
      </c>
      <c r="I149" s="13" t="n">
        <f aca="false">H149-G149</f>
        <v>2</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143</v>
      </c>
      <c r="H165" s="13" t="n">
        <v>144</v>
      </c>
      <c r="I165" s="13" t="n">
        <f aca="false">H165-G165</f>
        <v>1</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11</v>
      </c>
      <c r="H166" s="13" t="n">
        <v>12</v>
      </c>
      <c r="I166" s="13" t="n">
        <f aca="false">H166-G166</f>
        <v>1</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140</v>
      </c>
      <c r="H167" s="13" t="n">
        <v>137</v>
      </c>
      <c r="I167" s="13" t="n">
        <f aca="false">H167-G167</f>
        <v>-3</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92</v>
      </c>
      <c r="H168" s="13" t="n">
        <v>108</v>
      </c>
      <c r="I168" s="13" t="n">
        <f aca="false">H168-G168</f>
        <v>16</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20</v>
      </c>
      <c r="H169" s="13" t="n">
        <v>38</v>
      </c>
      <c r="I169" s="13" t="n">
        <f aca="false">H169-G169</f>
        <v>18</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133</v>
      </c>
      <c r="H172" s="13" t="n">
        <v>137</v>
      </c>
      <c r="I172" s="13" t="n">
        <f aca="false">H172-G172</f>
        <v>4</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102</v>
      </c>
      <c r="H188" s="13" t="n">
        <v>103</v>
      </c>
      <c r="I188" s="13" t="n">
        <f aca="false">H188-G188</f>
        <v>1</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0</v>
      </c>
      <c r="H191" s="13" t="n">
        <v>87</v>
      </c>
      <c r="I191" s="13" t="n">
        <f aca="false">H191-G191</f>
        <v>87</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0</v>
      </c>
      <c r="H194" s="13" t="n">
        <v>34</v>
      </c>
      <c r="I194" s="13" t="n">
        <f aca="false">H194-G194</f>
        <v>34</v>
      </c>
      <c r="J194" s="13" t="n">
        <f aca="false">H194-F194</f>
        <v>34</v>
      </c>
    </row>
    <row r="195" customFormat="false" ht="15" hidden="false" customHeight="false" outlineLevel="0" collapsed="false">
      <c r="A195" s="13" t="s">
        <v>67</v>
      </c>
      <c r="B195" s="13" t="s">
        <v>68</v>
      </c>
      <c r="C195" s="13" t="n">
        <v>105</v>
      </c>
      <c r="D195" s="13" t="s">
        <v>23</v>
      </c>
      <c r="E195" s="13" t="s">
        <v>32</v>
      </c>
      <c r="F195" s="13" t="n">
        <v>0</v>
      </c>
      <c r="G195" s="13" t="n">
        <v>0</v>
      </c>
      <c r="H195" s="13" t="n">
        <v>49</v>
      </c>
      <c r="I195" s="13" t="n">
        <f aca="false">H195-G195</f>
        <v>49</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6</v>
      </c>
      <c r="H197" s="13" t="n">
        <v>7</v>
      </c>
      <c r="I197" s="13" t="n">
        <f aca="false">H197-G197</f>
        <v>1</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0</v>
      </c>
      <c r="H202" s="13" t="n">
        <v>1</v>
      </c>
      <c r="I202" s="13" t="n">
        <f aca="false">H202-G202</f>
        <v>1</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102</v>
      </c>
      <c r="H211" s="13" t="n">
        <v>105</v>
      </c>
      <c r="I211" s="13" t="n">
        <f aca="false">H211-G211</f>
        <v>3</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85</v>
      </c>
      <c r="H212" s="13" t="n">
        <v>64</v>
      </c>
      <c r="I212" s="13" t="n">
        <f aca="false">H212-G212</f>
        <v>-21</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93</v>
      </c>
      <c r="H213" s="13" t="n">
        <v>76</v>
      </c>
      <c r="I213" s="13" t="n">
        <f aca="false">H213-G213</f>
        <v>-17</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95</v>
      </c>
      <c r="H214" s="13" t="n">
        <v>73</v>
      </c>
      <c r="I214" s="13" t="n">
        <f aca="false">H214-G214</f>
        <v>-22</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95</v>
      </c>
      <c r="H215" s="13" t="n">
        <v>73</v>
      </c>
      <c r="I215" s="13" t="n">
        <f aca="false">H215-G215</f>
        <v>-22</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0</v>
      </c>
      <c r="H217" s="13" t="n">
        <v>4</v>
      </c>
      <c r="I217" s="13" t="n">
        <f aca="false">H217-G217</f>
        <v>4</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71</v>
      </c>
      <c r="H218" s="13" t="n">
        <v>72</v>
      </c>
      <c r="I218" s="13" t="n">
        <f aca="false">H218-G218</f>
        <v>1</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88</v>
      </c>
      <c r="H234" s="13" t="n">
        <v>90</v>
      </c>
      <c r="I234" s="13" t="n">
        <f aca="false">H234-G234</f>
        <v>2</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89</v>
      </c>
      <c r="H236" s="13" t="n">
        <v>90</v>
      </c>
      <c r="I236" s="13" t="n">
        <f aca="false">H236-G236</f>
        <v>1</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82</v>
      </c>
      <c r="H237" s="13" t="n">
        <v>86</v>
      </c>
      <c r="I237" s="13" t="n">
        <f aca="false">H237-G237</f>
        <v>4</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12</v>
      </c>
      <c r="H238" s="13" t="n">
        <v>15</v>
      </c>
      <c r="I238" s="13" t="n">
        <f aca="false">H238-G238</f>
        <v>3</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55</v>
      </c>
      <c r="H241" s="13" t="n">
        <v>76</v>
      </c>
      <c r="I241" s="13" t="n">
        <f aca="false">H241-G241</f>
        <v>21</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22</v>
      </c>
      <c r="H258" s="13" t="n">
        <v>0</v>
      </c>
      <c r="I258" s="13" t="n">
        <f aca="false">H258-G258</f>
        <v>-22</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14</v>
      </c>
      <c r="H259" s="13" t="n">
        <v>0</v>
      </c>
      <c r="I259" s="13" t="n">
        <f aca="false">H259-G259</f>
        <v>-14</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35</v>
      </c>
      <c r="H260" s="13" t="n">
        <v>0</v>
      </c>
      <c r="I260" s="13" t="n">
        <f aca="false">H260-G260</f>
        <v>-35</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0</v>
      </c>
      <c r="H266" s="13" t="n">
        <v>26</v>
      </c>
      <c r="I266" s="13" t="n">
        <f aca="false">H266-G266</f>
        <v>26</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79</v>
      </c>
      <c r="H278" s="13" t="n">
        <v>80</v>
      </c>
      <c r="I278" s="13" t="n">
        <f aca="false">H278-G278</f>
        <v>1</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79</v>
      </c>
      <c r="H279" s="13" t="n">
        <v>80</v>
      </c>
      <c r="I279" s="13" t="n">
        <f aca="false">H279-G279</f>
        <v>1</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79</v>
      </c>
      <c r="H280" s="13" t="n">
        <v>80</v>
      </c>
      <c r="I280" s="13" t="n">
        <f aca="false">H280-G280</f>
        <v>1</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77</v>
      </c>
      <c r="H281" s="13" t="n">
        <v>78</v>
      </c>
      <c r="I281" s="13" t="n">
        <f aca="false">H281-G281</f>
        <v>1</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79</v>
      </c>
      <c r="H282" s="13" t="n">
        <v>80</v>
      </c>
      <c r="I282" s="13" t="n">
        <f aca="false">H282-G282</f>
        <v>1</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72</v>
      </c>
      <c r="H283" s="13" t="n">
        <v>73</v>
      </c>
      <c r="I283" s="13" t="n">
        <f aca="false">H283-G283</f>
        <v>1</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79</v>
      </c>
      <c r="H285" s="13" t="n">
        <v>80</v>
      </c>
      <c r="I285" s="13" t="n">
        <f aca="false">H285-G285</f>
        <v>1</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27</v>
      </c>
      <c r="H286" s="13" t="n">
        <v>29</v>
      </c>
      <c r="I286" s="13" t="n">
        <f aca="false">H286-G286</f>
        <v>2</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32</v>
      </c>
      <c r="H287" s="13" t="n">
        <v>47</v>
      </c>
      <c r="I287" s="13" t="n">
        <f aca="false">H287-G287</f>
        <v>15</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3</v>
      </c>
      <c r="H289" s="13" t="n">
        <v>5</v>
      </c>
      <c r="I289" s="13" t="n">
        <f aca="false">H289-G289</f>
        <v>2</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4</v>
      </c>
      <c r="H304" s="13" t="n">
        <v>2</v>
      </c>
      <c r="I304" s="13" t="n">
        <f aca="false">H304-G304</f>
        <v>-2</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47</v>
      </c>
      <c r="H305" s="13" t="n">
        <v>26</v>
      </c>
      <c r="I305" s="13" t="n">
        <f aca="false">H305-G305</f>
        <v>-21</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59</v>
      </c>
      <c r="H306" s="13" t="n">
        <v>51</v>
      </c>
      <c r="I306" s="13" t="n">
        <f aca="false">H306-G306</f>
        <v>-8</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59</v>
      </c>
      <c r="H307" s="13" t="n">
        <v>51</v>
      </c>
      <c r="I307" s="13" t="n">
        <f aca="false">H307-G307</f>
        <v>-8</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0</v>
      </c>
      <c r="H309" s="13" t="n">
        <v>6</v>
      </c>
      <c r="I309" s="13" t="n">
        <f aca="false">H309-G309</f>
        <v>6</v>
      </c>
      <c r="J309" s="13" t="n">
        <f aca="false">H309-F309</f>
        <v>6</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1</v>
      </c>
      <c r="H312" s="13" t="n">
        <v>2</v>
      </c>
      <c r="I312" s="13" t="n">
        <f aca="false">H312-G312</f>
        <v>1</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74</v>
      </c>
      <c r="H326" s="13" t="n">
        <v>75</v>
      </c>
      <c r="I326" s="13" t="n">
        <f aca="false">H326-G326</f>
        <v>1</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12</v>
      </c>
      <c r="H327" s="13" t="n">
        <v>5</v>
      </c>
      <c r="I327" s="13" t="n">
        <f aca="false">H327-G327</f>
        <v>-7</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24</v>
      </c>
      <c r="H328" s="13" t="n">
        <v>10</v>
      </c>
      <c r="I328" s="13" t="n">
        <f aca="false">H328-G328</f>
        <v>-14</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35</v>
      </c>
      <c r="H329" s="13" t="n">
        <v>24</v>
      </c>
      <c r="I329" s="13" t="n">
        <f aca="false">H329-G329</f>
        <v>-11</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35</v>
      </c>
      <c r="H330" s="13" t="n">
        <v>24</v>
      </c>
      <c r="I330" s="13" t="n">
        <f aca="false">H330-G330</f>
        <v>-11</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19</v>
      </c>
      <c r="H333" s="13" t="n">
        <v>21</v>
      </c>
      <c r="I333" s="13" t="n">
        <f aca="false">H333-G333</f>
        <v>2</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69</v>
      </c>
      <c r="H351" s="13" t="n">
        <v>70</v>
      </c>
      <c r="I351" s="13" t="n">
        <f aca="false">H351-G351</f>
        <v>1</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0</v>
      </c>
      <c r="H355" s="13" t="n">
        <v>54</v>
      </c>
      <c r="I355" s="13" t="n">
        <f aca="false">H355-G355</f>
        <v>54</v>
      </c>
      <c r="J355" s="13" t="n">
        <f aca="false">H355-F355</f>
        <v>54</v>
      </c>
    </row>
    <row r="356" customFormat="false" ht="15" hidden="false" customHeight="false" outlineLevel="0" collapsed="false">
      <c r="A356" s="13" t="s">
        <v>81</v>
      </c>
      <c r="B356" s="13" t="s">
        <v>82</v>
      </c>
      <c r="C356" s="13" t="n">
        <v>72</v>
      </c>
      <c r="D356" s="13" t="s">
        <v>23</v>
      </c>
      <c r="E356" s="13" t="s">
        <v>32</v>
      </c>
      <c r="F356" s="13" t="n">
        <v>0</v>
      </c>
      <c r="G356" s="13" t="n">
        <v>0</v>
      </c>
      <c r="H356" s="13" t="n">
        <v>72</v>
      </c>
      <c r="I356" s="13" t="n">
        <f aca="false">H356-G356</f>
        <v>72</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2</v>
      </c>
      <c r="H358" s="13" t="n">
        <v>18</v>
      </c>
      <c r="I358" s="13" t="n">
        <f aca="false">H358-G358</f>
        <v>16</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60</v>
      </c>
      <c r="H374" s="13" t="n">
        <v>57</v>
      </c>
      <c r="I374" s="13" t="n">
        <f aca="false">H374-G374</f>
        <v>-3</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60</v>
      </c>
      <c r="H375" s="13" t="n">
        <v>57</v>
      </c>
      <c r="I375" s="13" t="n">
        <f aca="false">H375-G375</f>
        <v>-3</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60</v>
      </c>
      <c r="H376" s="13" t="n">
        <v>57</v>
      </c>
      <c r="I376" s="13" t="n">
        <f aca="false">H376-G376</f>
        <v>-3</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54</v>
      </c>
      <c r="H378" s="13" t="n">
        <v>55</v>
      </c>
      <c r="I378" s="13" t="n">
        <f aca="false">H378-G378</f>
        <v>1</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30</v>
      </c>
      <c r="H393" s="13" t="n">
        <v>30</v>
      </c>
      <c r="I393" s="13" t="n">
        <f aca="false">H393-G393</f>
        <v>0</v>
      </c>
      <c r="J393" s="13" t="n">
        <f aca="false">H393-F393</f>
        <v>-3</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7</v>
      </c>
      <c r="H396" s="13" t="n">
        <v>8</v>
      </c>
      <c r="I396" s="13" t="n">
        <f aca="false">H396-G396</f>
        <v>1</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54</v>
      </c>
      <c r="H397" s="13" t="n">
        <v>57</v>
      </c>
      <c r="I397" s="13" t="n">
        <f aca="false">H397-G397</f>
        <v>3</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38</v>
      </c>
      <c r="H398" s="13" t="n">
        <v>49</v>
      </c>
      <c r="I398" s="13" t="n">
        <f aca="false">H398-G398</f>
        <v>11</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38</v>
      </c>
      <c r="H399" s="13" t="n">
        <v>49</v>
      </c>
      <c r="I399" s="13" t="n">
        <f aca="false">H399-G399</f>
        <v>11</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0</v>
      </c>
      <c r="H402" s="13" t="n">
        <v>1</v>
      </c>
      <c r="I402" s="13" t="n">
        <f aca="false">H402-G402</f>
        <v>1</v>
      </c>
      <c r="J402" s="13" t="n">
        <f aca="false">H402-F402</f>
        <v>1</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27</v>
      </c>
      <c r="H404" s="13" t="n">
        <v>27</v>
      </c>
      <c r="I404" s="13" t="n">
        <f aca="false">H404-G404</f>
        <v>0</v>
      </c>
      <c r="J404" s="13" t="n">
        <f aca="false">H404-F404</f>
        <v>0</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56</v>
      </c>
      <c r="H418" s="13" t="n">
        <v>57</v>
      </c>
      <c r="I418" s="13" t="n">
        <f aca="false">H418-G418</f>
        <v>1</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55</v>
      </c>
      <c r="H420" s="13" t="n">
        <v>54</v>
      </c>
      <c r="I420" s="13" t="n">
        <f aca="false">H420-G420</f>
        <v>-1</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47</v>
      </c>
      <c r="H421" s="13" t="n">
        <v>51</v>
      </c>
      <c r="I421" s="13" t="n">
        <f aca="false">H421-G421</f>
        <v>4</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0</v>
      </c>
      <c r="H424" s="13" t="n">
        <v>16</v>
      </c>
      <c r="I424" s="13" t="n">
        <f aca="false">H424-G424</f>
        <v>16</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51</v>
      </c>
      <c r="H442" s="13" t="n">
        <v>50</v>
      </c>
      <c r="I442" s="13" t="n">
        <f aca="false">H442-G442</f>
        <v>-1</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51</v>
      </c>
      <c r="H443" s="13" t="n">
        <v>50</v>
      </c>
      <c r="I443" s="13" t="n">
        <f aca="false">H443-G443</f>
        <v>-1</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49</v>
      </c>
      <c r="H444" s="13" t="n">
        <v>48</v>
      </c>
      <c r="I444" s="13" t="n">
        <f aca="false">H444-G444</f>
        <v>-1</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49</v>
      </c>
      <c r="H445" s="13" t="n">
        <v>48</v>
      </c>
      <c r="I445" s="13" t="n">
        <f aca="false">H445-G445</f>
        <v>-1</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0</v>
      </c>
      <c r="H447" s="13" t="n">
        <v>17</v>
      </c>
      <c r="I447" s="13" t="n">
        <f aca="false">H447-G447</f>
        <v>17</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0</v>
      </c>
      <c r="H448" s="13" t="n">
        <v>9</v>
      </c>
      <c r="I448" s="13" t="n">
        <f aca="false">H448-G448</f>
        <v>9</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0</v>
      </c>
      <c r="H450" s="13" t="n">
        <v>1</v>
      </c>
      <c r="I450" s="13" t="n">
        <f aca="false">H450-G450</f>
        <v>1</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33</v>
      </c>
      <c r="H485" s="13" t="n">
        <v>33</v>
      </c>
      <c r="I485" s="13" t="n">
        <f aca="false">H485-G485</f>
        <v>0</v>
      </c>
      <c r="J485" s="13" t="n">
        <f aca="false">H485-F485</f>
        <v>-54</v>
      </c>
    </row>
    <row r="486" customFormat="false" ht="15" hidden="false" customHeight="false" outlineLevel="0" collapsed="false">
      <c r="A486" s="13" t="s">
        <v>93</v>
      </c>
      <c r="B486" s="13" t="s">
        <v>94</v>
      </c>
      <c r="C486" s="13" t="n">
        <v>49</v>
      </c>
      <c r="D486" s="13" t="s">
        <v>23</v>
      </c>
      <c r="E486" s="13" t="s">
        <v>24</v>
      </c>
      <c r="F486" s="13" t="n">
        <v>16</v>
      </c>
      <c r="G486" s="13" t="n">
        <v>42</v>
      </c>
      <c r="H486" s="13" t="n">
        <v>49</v>
      </c>
      <c r="I486" s="13" t="n">
        <f aca="false">H486-G486</f>
        <v>7</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42</v>
      </c>
      <c r="H487" s="13" t="n">
        <v>49</v>
      </c>
      <c r="I487" s="13" t="n">
        <f aca="false">H487-G487</f>
        <v>7</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35</v>
      </c>
      <c r="H488" s="13" t="n">
        <v>35</v>
      </c>
      <c r="I488" s="13" t="n">
        <f aca="false">H488-G488</f>
        <v>0</v>
      </c>
      <c r="J488" s="13" t="n">
        <f aca="false">H488-F488</f>
        <v>-39</v>
      </c>
    </row>
    <row r="489" customFormat="false" ht="15" hidden="false" customHeight="false" outlineLevel="0" collapsed="false">
      <c r="A489" s="13" t="s">
        <v>93</v>
      </c>
      <c r="B489" s="13" t="s">
        <v>94</v>
      </c>
      <c r="C489" s="13" t="n">
        <v>49</v>
      </c>
      <c r="D489" s="13" t="s">
        <v>23</v>
      </c>
      <c r="E489" s="13" t="s">
        <v>27</v>
      </c>
      <c r="F489" s="13" t="n">
        <v>119</v>
      </c>
      <c r="G489" s="13" t="n">
        <v>39</v>
      </c>
      <c r="H489" s="13" t="n">
        <v>39</v>
      </c>
      <c r="I489" s="13" t="n">
        <f aca="false">H489-G489</f>
        <v>0</v>
      </c>
      <c r="J489" s="13" t="n">
        <f aca="false">H489-F489</f>
        <v>-80</v>
      </c>
    </row>
    <row r="490" customFormat="false" ht="15" hidden="false" customHeight="false" outlineLevel="0" collapsed="false">
      <c r="A490" s="13" t="s">
        <v>93</v>
      </c>
      <c r="B490" s="13" t="s">
        <v>94</v>
      </c>
      <c r="C490" s="13" t="n">
        <v>49</v>
      </c>
      <c r="D490" s="13" t="s">
        <v>23</v>
      </c>
      <c r="E490" s="13" t="s">
        <v>28</v>
      </c>
      <c r="F490" s="13" t="n">
        <v>69</v>
      </c>
      <c r="G490" s="13" t="n">
        <v>27</v>
      </c>
      <c r="H490" s="13" t="n">
        <v>35</v>
      </c>
      <c r="I490" s="13" t="n">
        <f aca="false">H490-G490</f>
        <v>8</v>
      </c>
      <c r="J490" s="13" t="n">
        <f aca="false">H490-F490</f>
        <v>-34</v>
      </c>
    </row>
    <row r="491" customFormat="false" ht="15" hidden="false" customHeight="false" outlineLevel="0" collapsed="false">
      <c r="A491" s="13" t="s">
        <v>93</v>
      </c>
      <c r="B491" s="13" t="s">
        <v>94</v>
      </c>
      <c r="C491" s="13" t="n">
        <v>49</v>
      </c>
      <c r="D491" s="13" t="s">
        <v>23</v>
      </c>
      <c r="E491" s="13" t="s">
        <v>29</v>
      </c>
      <c r="F491" s="13" t="n">
        <v>69</v>
      </c>
      <c r="G491" s="13" t="n">
        <v>27</v>
      </c>
      <c r="H491" s="13" t="n">
        <v>27</v>
      </c>
      <c r="I491" s="13" t="n">
        <f aca="false">H491-G491</f>
        <v>0</v>
      </c>
      <c r="J491" s="13" t="n">
        <f aca="false">H491-F491</f>
        <v>-42</v>
      </c>
    </row>
    <row r="492" customFormat="false" ht="15" hidden="false" customHeight="false" outlineLevel="0" collapsed="false">
      <c r="A492" s="13" t="s">
        <v>93</v>
      </c>
      <c r="B492" s="13" t="s">
        <v>94</v>
      </c>
      <c r="C492" s="13" t="n">
        <v>49</v>
      </c>
      <c r="D492" s="13" t="s">
        <v>23</v>
      </c>
      <c r="E492" s="13" t="s">
        <v>30</v>
      </c>
      <c r="F492" s="13" t="n">
        <v>214</v>
      </c>
      <c r="G492" s="13" t="n">
        <v>42</v>
      </c>
      <c r="H492" s="13" t="n">
        <v>49</v>
      </c>
      <c r="I492" s="13" t="n">
        <f aca="false">H492-G492</f>
        <v>7</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0</v>
      </c>
      <c r="H493" s="13" t="n">
        <v>9</v>
      </c>
      <c r="I493" s="13" t="n">
        <f aca="false">H493-G493</f>
        <v>9</v>
      </c>
      <c r="J493" s="13" t="n">
        <f aca="false">H493-F493</f>
        <v>9</v>
      </c>
    </row>
    <row r="494" customFormat="false" ht="15" hidden="false" customHeight="false" outlineLevel="0" collapsed="false">
      <c r="A494" s="13" t="s">
        <v>93</v>
      </c>
      <c r="B494" s="13" t="s">
        <v>94</v>
      </c>
      <c r="C494" s="13" t="n">
        <v>49</v>
      </c>
      <c r="D494" s="13" t="s">
        <v>23</v>
      </c>
      <c r="E494" s="13" t="s">
        <v>32</v>
      </c>
      <c r="F494" s="13" t="n">
        <v>0</v>
      </c>
      <c r="G494" s="13" t="n">
        <v>0</v>
      </c>
      <c r="H494" s="13" t="n">
        <v>32</v>
      </c>
      <c r="I494" s="13" t="n">
        <f aca="false">H494-G494</f>
        <v>32</v>
      </c>
      <c r="J494" s="13" t="n">
        <f aca="false">H494-F494</f>
        <v>32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2</v>
      </c>
      <c r="H496" s="13" t="n">
        <v>3</v>
      </c>
      <c r="I496" s="13" t="n">
        <f aca="false">H496-G496</f>
        <v>1</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35</v>
      </c>
      <c r="H534" s="13" t="n">
        <v>32</v>
      </c>
      <c r="I534" s="13" t="n">
        <f aca="false">H534-G534</f>
        <v>-3</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40</v>
      </c>
      <c r="H535" s="13" t="n">
        <v>36</v>
      </c>
      <c r="I535" s="13" t="n">
        <f aca="false">H535-G535</f>
        <v>-4</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41</v>
      </c>
      <c r="H536" s="13" t="n">
        <v>36</v>
      </c>
      <c r="I536" s="13" t="n">
        <f aca="false">H536-G536</f>
        <v>-5</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40</v>
      </c>
      <c r="H557" s="13" t="n">
        <v>31</v>
      </c>
      <c r="I557" s="13" t="n">
        <f aca="false">H557-G557</f>
        <v>-9</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40</v>
      </c>
      <c r="H558" s="13" t="n">
        <v>32</v>
      </c>
      <c r="I558" s="13" t="n">
        <f aca="false">H558-G558</f>
        <v>-8</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40</v>
      </c>
      <c r="H559" s="13" t="n">
        <v>32</v>
      </c>
      <c r="I559" s="13" t="n">
        <f aca="false">H559-G559</f>
        <v>-8</v>
      </c>
      <c r="J559" s="13" t="n">
        <f aca="false">H559-F559</f>
        <v>-2</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25</v>
      </c>
      <c r="H562" s="13" t="n">
        <v>25</v>
      </c>
      <c r="I562" s="13" t="n">
        <f aca="false">H562-G562</f>
        <v>0</v>
      </c>
      <c r="J562" s="13" t="n">
        <f aca="false">H562-F562</f>
        <v>0</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38</v>
      </c>
      <c r="H581" s="13" t="n">
        <v>39</v>
      </c>
      <c r="I581" s="13" t="n">
        <f aca="false">H581-G581</f>
        <v>1</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10</v>
      </c>
      <c r="H582" s="13" t="n">
        <v>32</v>
      </c>
      <c r="I582" s="13" t="n">
        <f aca="false">H582-G582</f>
        <v>22</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10</v>
      </c>
      <c r="H583" s="13" t="n">
        <v>32</v>
      </c>
      <c r="I583" s="13" t="n">
        <f aca="false">H583-G583</f>
        <v>22</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41</v>
      </c>
      <c r="H586" s="13" t="n">
        <v>42</v>
      </c>
      <c r="I586" s="13" t="n">
        <f aca="false">H586-G586</f>
        <v>1</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1</v>
      </c>
      <c r="H588" s="13" t="n">
        <v>4</v>
      </c>
      <c r="I588" s="13" t="n">
        <f aca="false">H588-G588</f>
        <v>3</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3</v>
      </c>
      <c r="H603" s="13" t="n">
        <v>4</v>
      </c>
      <c r="I603" s="13" t="n">
        <f aca="false">H603-G603</f>
        <v>1</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40</v>
      </c>
      <c r="H604" s="13" t="n">
        <v>41</v>
      </c>
      <c r="I604" s="13" t="n">
        <f aca="false">H604-G604</f>
        <v>1</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38</v>
      </c>
      <c r="H605" s="13" t="n">
        <v>41</v>
      </c>
      <c r="I605" s="13" t="n">
        <f aca="false">H605-G605</f>
        <v>3</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0</v>
      </c>
      <c r="H608" s="13" t="n">
        <v>10</v>
      </c>
      <c r="I608" s="13" t="n">
        <f aca="false">H608-G608</f>
        <v>10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v>
      </c>
      <c r="H609" s="13" t="n">
        <v>34</v>
      </c>
      <c r="I609" s="13" t="n">
        <f aca="false">H609-G609</f>
        <v>31</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28</v>
      </c>
      <c r="H626" s="13" t="n">
        <v>9</v>
      </c>
      <c r="I626" s="13" t="n">
        <f aca="false">H626-G626</f>
        <v>-19</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32</v>
      </c>
      <c r="H627" s="13" t="n">
        <v>9</v>
      </c>
      <c r="I627" s="13" t="n">
        <f aca="false">H627-G627</f>
        <v>-23</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30</v>
      </c>
      <c r="H628" s="13" t="n">
        <v>8</v>
      </c>
      <c r="I628" s="13" t="n">
        <f aca="false">H628-G628</f>
        <v>-22</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0</v>
      </c>
      <c r="H632" s="13" t="n">
        <v>11</v>
      </c>
      <c r="I632" s="13" t="n">
        <f aca="false">H632-G632</f>
        <v>11</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0</v>
      </c>
      <c r="H634" s="13" t="n">
        <v>30</v>
      </c>
      <c r="I634" s="13" t="n">
        <f aca="false">H634-G634</f>
        <v>30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9</v>
      </c>
      <c r="H650" s="13" t="n">
        <v>8</v>
      </c>
      <c r="I650" s="13" t="n">
        <f aca="false">H650-G650</f>
        <v>-1</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14</v>
      </c>
      <c r="H655" s="13" t="n">
        <v>16</v>
      </c>
      <c r="I655" s="13" t="n">
        <f aca="false">H655-G655</f>
        <v>2</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17</v>
      </c>
      <c r="H673" s="13" t="n">
        <v>10</v>
      </c>
      <c r="I673" s="13" t="n">
        <f aca="false">H673-G673</f>
        <v>-7</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12</v>
      </c>
      <c r="H674" s="13" t="n">
        <v>8</v>
      </c>
      <c r="I674" s="13" t="n">
        <f aca="false">H674-G674</f>
        <v>-4</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17</v>
      </c>
      <c r="H692" s="13" t="n">
        <v>17</v>
      </c>
      <c r="I692" s="13" t="n">
        <f aca="false">H692-G692</f>
        <v>0</v>
      </c>
      <c r="J692" s="13" t="n">
        <f aca="false">H692-F692</f>
        <v>0</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29</v>
      </c>
      <c r="H694" s="13" t="n">
        <v>31</v>
      </c>
      <c r="I694" s="13" t="n">
        <f aca="false">H694-G694</f>
        <v>2</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22</v>
      </c>
      <c r="H696" s="13" t="n">
        <v>18</v>
      </c>
      <c r="I696" s="13" t="n">
        <f aca="false">H696-G696</f>
        <v>-4</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12</v>
      </c>
      <c r="H697" s="13" t="n">
        <v>30</v>
      </c>
      <c r="I697" s="13" t="n">
        <f aca="false">H697-G697</f>
        <v>18</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12</v>
      </c>
      <c r="H698" s="13" t="n">
        <v>30</v>
      </c>
      <c r="I698" s="13" t="n">
        <f aca="false">H698-G698</f>
        <v>18</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0</v>
      </c>
      <c r="H700" s="13" t="n">
        <v>2</v>
      </c>
      <c r="I700" s="13" t="n">
        <f aca="false">H700-G700</f>
        <v>2</v>
      </c>
      <c r="J700" s="13" t="n">
        <f aca="false">H700-F700</f>
        <v>2</v>
      </c>
    </row>
    <row r="701" customFormat="false" ht="15" hidden="false" customHeight="false" outlineLevel="0" collapsed="false">
      <c r="A701" s="13" t="s">
        <v>111</v>
      </c>
      <c r="B701" s="13" t="s">
        <v>112</v>
      </c>
      <c r="C701" s="13" t="n">
        <v>31</v>
      </c>
      <c r="D701" s="13" t="s">
        <v>23</v>
      </c>
      <c r="E701" s="13" t="s">
        <v>32</v>
      </c>
      <c r="F701" s="13" t="n">
        <v>14</v>
      </c>
      <c r="G701" s="13" t="n">
        <v>14</v>
      </c>
      <c r="H701" s="13" t="n">
        <v>15</v>
      </c>
      <c r="I701" s="13" t="n">
        <f aca="false">H701-G701</f>
        <v>1</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7</v>
      </c>
      <c r="H718" s="13" t="n">
        <v>4</v>
      </c>
      <c r="I718" s="13" t="n">
        <f aca="false">H718-G718</f>
        <v>-3</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29</v>
      </c>
      <c r="H719" s="13" t="n">
        <v>6</v>
      </c>
      <c r="I719" s="13" t="n">
        <f aca="false">H719-G719</f>
        <v>-23</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10</v>
      </c>
      <c r="H720" s="13" t="n">
        <v>3</v>
      </c>
      <c r="I720" s="13" t="n">
        <f aca="false">H720-G720</f>
        <v>-7</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3</v>
      </c>
      <c r="H741" s="13" t="n">
        <v>0</v>
      </c>
      <c r="I741" s="13" t="n">
        <f aca="false">H741-G741</f>
        <v>-3</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0</v>
      </c>
      <c r="H749" s="13" t="n">
        <v>28</v>
      </c>
      <c r="I749" s="13" t="n">
        <f aca="false">H749-G749</f>
        <v>28</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4</v>
      </c>
      <c r="H765" s="13" t="n">
        <v>0</v>
      </c>
      <c r="I765" s="13" t="n">
        <f aca="false">H765-G765</f>
        <v>-4</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3</v>
      </c>
      <c r="H766" s="13" t="n">
        <v>1</v>
      </c>
      <c r="I766" s="13" t="n">
        <f aca="false">H766-G766</f>
        <v>-2</v>
      </c>
      <c r="J766" s="13" t="n">
        <f aca="false">H766-F766</f>
        <v>-1</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0</v>
      </c>
      <c r="H772" s="13" t="n">
        <v>27</v>
      </c>
      <c r="I772" s="13" t="n">
        <f aca="false">H772-G772</f>
        <v>27</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17</v>
      </c>
      <c r="H786" s="13" t="n">
        <v>20</v>
      </c>
      <c r="I786" s="13" t="n">
        <f aca="false">H786-G786</f>
        <v>3</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15</v>
      </c>
      <c r="H789" s="13" t="n">
        <v>18</v>
      </c>
      <c r="I789" s="13" t="n">
        <f aca="false">H789-G789</f>
        <v>3</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6</v>
      </c>
      <c r="H810" s="13" t="n">
        <v>4</v>
      </c>
      <c r="I810" s="13" t="n">
        <f aca="false">H810-G810</f>
        <v>-2</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11</v>
      </c>
      <c r="H811" s="13" t="n">
        <v>14</v>
      </c>
      <c r="I811" s="13" t="n">
        <f aca="false">H811-G811</f>
        <v>3</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9</v>
      </c>
      <c r="H812" s="13" t="n">
        <v>4</v>
      </c>
      <c r="I812" s="13" t="n">
        <f aca="false">H812-G812</f>
        <v>-5</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18</v>
      </c>
      <c r="H832" s="13" t="n">
        <v>19</v>
      </c>
      <c r="I832" s="13" t="n">
        <f aca="false">H832-G832</f>
        <v>1</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11</v>
      </c>
      <c r="H833" s="13" t="n">
        <v>16</v>
      </c>
      <c r="I833" s="13" t="n">
        <f aca="false">H833-G833</f>
        <v>5</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0</v>
      </c>
      <c r="H838" s="13" t="n">
        <v>12</v>
      </c>
      <c r="I838" s="13" t="n">
        <f aca="false">H838-G838</f>
        <v>12</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0</v>
      </c>
      <c r="H839" s="13" t="n">
        <v>1</v>
      </c>
      <c r="I839" s="13" t="n">
        <f aca="false">H839-G839</f>
        <v>1</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9</v>
      </c>
      <c r="H881" s="13" t="n">
        <v>10</v>
      </c>
      <c r="I881" s="13" t="n">
        <f aca="false">H881-G881</f>
        <v>1</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9</v>
      </c>
      <c r="H882" s="13" t="n">
        <v>10</v>
      </c>
      <c r="I882" s="13" t="n">
        <f aca="false">H882-G882</f>
        <v>1</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0</v>
      </c>
      <c r="H884" s="13" t="n">
        <v>7</v>
      </c>
      <c r="I884" s="13" t="n">
        <f aca="false">H884-G884</f>
        <v>7</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0</v>
      </c>
      <c r="H885" s="13" t="n">
        <v>1</v>
      </c>
      <c r="I885" s="13" t="n">
        <f aca="false">H885-G885</f>
        <v>1</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10</v>
      </c>
      <c r="H903" s="13" t="n">
        <v>9</v>
      </c>
      <c r="I903" s="13" t="n">
        <f aca="false">H903-G903</f>
        <v>-1</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10</v>
      </c>
      <c r="H904" s="13" t="n">
        <v>9</v>
      </c>
      <c r="I904" s="13" t="n">
        <f aca="false">H904-G904</f>
        <v>-1</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0</v>
      </c>
      <c r="H954" s="13" t="n">
        <v>9</v>
      </c>
      <c r="I954" s="13" t="n">
        <f aca="false">H954-G954</f>
        <v>9</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5</v>
      </c>
      <c r="H972" s="13" t="n">
        <v>6</v>
      </c>
      <c r="I972" s="13" t="n">
        <f aca="false">H972-G972</f>
        <v>1</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5</v>
      </c>
      <c r="H973" s="13" t="n">
        <v>5</v>
      </c>
      <c r="I973" s="13" t="n">
        <f aca="false">H973-G973</f>
        <v>0</v>
      </c>
      <c r="J973" s="13" t="n">
        <f aca="false">H973-F973</f>
        <v>3</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1</v>
      </c>
      <c r="H994" s="13" t="n">
        <v>0</v>
      </c>
      <c r="I994" s="13" t="n">
        <f aca="false">H994-G994</f>
        <v>-1</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2</v>
      </c>
      <c r="H995" s="13" t="n">
        <v>0</v>
      </c>
      <c r="I995" s="13" t="n">
        <f aca="false">H995-G995</f>
        <v>-2</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1</v>
      </c>
      <c r="H1064" s="13" t="n">
        <v>0</v>
      </c>
      <c r="I1064" s="13" t="n">
        <f aca="false">H1064-G1064</f>
        <v>-1</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2</v>
      </c>
      <c r="H1065" s="13" t="n">
        <v>0</v>
      </c>
      <c r="I1065" s="13" t="n">
        <f aca="false">H1065-G1065</f>
        <v>-2</v>
      </c>
      <c r="J1065" s="13" t="n">
        <f aca="false">H1065-F1065</f>
        <v>-2</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0</v>
      </c>
      <c r="H1071" s="13" t="n">
        <v>2</v>
      </c>
      <c r="I1071" s="13" t="n">
        <f aca="false">H1071-G1071</f>
        <v>2</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0</v>
      </c>
      <c r="H1083" s="13" t="n">
        <v>0</v>
      </c>
      <c r="I1083" s="13" t="n">
        <f aca="false">H1083-G1083</f>
        <v>0</v>
      </c>
      <c r="J1083" s="13" t="n">
        <f aca="false">H1083-F1083</f>
        <v>0</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0</v>
      </c>
      <c r="H1091" s="13" t="n">
        <v>0</v>
      </c>
      <c r="I1091" s="13" t="n">
        <f aca="false">H1091-G1091</f>
        <v>0</v>
      </c>
      <c r="J1091" s="13" t="n">
        <f aca="false">H1091-F1091</f>
        <v>0</v>
      </c>
    </row>
    <row r="1092" customFormat="false" ht="15" hidden="false" customHeight="false" outlineLevel="0" collapsed="false">
      <c r="A1092" s="13" t="s">
        <v>145</v>
      </c>
      <c r="B1092" s="13" t="s">
        <v>146</v>
      </c>
      <c r="C1092" s="13" t="n">
        <v>2</v>
      </c>
      <c r="D1092" s="13" t="s">
        <v>23</v>
      </c>
      <c r="E1092" s="13" t="s">
        <v>32</v>
      </c>
      <c r="F1092" s="13" t="n">
        <v>0</v>
      </c>
      <c r="G1092" s="13" t="n">
        <v>0</v>
      </c>
      <c r="H1092" s="13" t="n">
        <v>0</v>
      </c>
      <c r="I1092" s="13" t="n">
        <f aca="false">H1092-G1092</f>
        <v>0</v>
      </c>
      <c r="J1092" s="13" t="n">
        <f aca="false">H1092-F1092</f>
        <v>0</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0</v>
      </c>
      <c r="H1094" s="13" t="n">
        <v>0</v>
      </c>
      <c r="I1094" s="13" t="n">
        <f aca="false">H1094-G1094</f>
        <v>0</v>
      </c>
      <c r="J1094" s="13" t="n">
        <f aca="false">H1094-F1094</f>
        <v>0</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1</v>
      </c>
      <c r="H1110" s="13" t="n">
        <v>2</v>
      </c>
      <c r="I1110" s="13" t="n">
        <f aca="false">H1110-G1110</f>
        <v>1</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0</v>
      </c>
      <c r="H1111" s="13" t="n">
        <v>2</v>
      </c>
      <c r="I1111" s="13" t="n">
        <f aca="false">H1111-G1111</f>
        <v>2</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0</v>
      </c>
      <c r="H1112" s="13" t="n">
        <v>2</v>
      </c>
      <c r="I1112" s="13" t="n">
        <f aca="false">H1112-G1112</f>
        <v>2</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0</v>
      </c>
      <c r="H1145" s="13" t="n">
        <v>1</v>
      </c>
      <c r="I1145" s="13" t="n">
        <f aca="false">H1145-G1145</f>
        <v>1</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0</v>
      </c>
      <c r="H1183" s="13" t="n">
        <v>0</v>
      </c>
      <c r="I1183" s="13" t="n">
        <f aca="false">H1183-G1183</f>
        <v>0</v>
      </c>
      <c r="J1183" s="13" t="n">
        <f aca="false">H1183-F1183</f>
        <v>0</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SUMIF($B$15:$B$648,$A4,C$15:C$648)</f>
        <v>2</v>
      </c>
      <c r="C4" s="4" t="n">
        <f aca="false">SUMIF($B$15:$B$648,$A4,D$15:D$648)</f>
        <v>0</v>
      </c>
      <c r="D4" s="4" t="n">
        <f aca="false">SUMIF($B$15:$B$648,$A4,E$15:E$648)</f>
        <v>57</v>
      </c>
      <c r="E4" s="4" t="n">
        <f aca="false">SUMIF($B$15:$B$648,$A4,F$15:F$648)</f>
        <v>4</v>
      </c>
      <c r="F4" s="15" t="n">
        <f aca="false">SUMIF($B$15:$B$648,$A4,G$15:G$648)</f>
        <v>0</v>
      </c>
      <c r="G4" s="4" t="n">
        <f aca="false">SUMIF($B$15:$B$648,$A4,H$15:H$648)</f>
        <v>2168</v>
      </c>
      <c r="H4" s="4" t="n">
        <f aca="false">SUMIF($B$15:$B$648,$A4,I$15:I$648)</f>
        <v>35</v>
      </c>
      <c r="I4" s="4" t="n">
        <f aca="false">SUMIF($B$15:$B$648,$A4,J$15:J$648)</f>
        <v>1060</v>
      </c>
      <c r="J4" s="4" t="n">
        <f aca="false">SUMIF($B$15:$B$648,$A4,K$15:K$648)</f>
        <v>4336</v>
      </c>
      <c r="K4" s="15" t="n">
        <f aca="false">SUMIF($B$15:$B$648,$A4,L$15:L$648)</f>
        <v>0</v>
      </c>
      <c r="L4" s="16" t="n">
        <f aca="false">IF(G4=0,"",H4/G4)</f>
        <v>0.0161439114391144</v>
      </c>
    </row>
    <row r="5" customFormat="false" ht="15" hidden="false" customHeight="false" outlineLevel="0" collapsed="false">
      <c r="A5" s="4" t="s">
        <v>170</v>
      </c>
      <c r="B5" s="4" t="n">
        <f aca="false">SUMIF($B$15:$B$648,$A5,C$15:C$648)</f>
        <v>2199</v>
      </c>
      <c r="C5" s="4" t="n">
        <f aca="false">SUMIF($B$15:$B$648,$A5,D$15:D$648)</f>
        <v>2012</v>
      </c>
      <c r="D5" s="4" t="n">
        <f aca="false">SUMIF($B$15:$B$648,$A5,E$15:E$648)</f>
        <v>91</v>
      </c>
      <c r="E5" s="4" t="n">
        <f aca="false">SUMIF($B$15:$B$648,$A5,F$15:F$648)</f>
        <v>89</v>
      </c>
      <c r="F5" s="15" t="n">
        <f aca="false">SUMIF($B$15:$B$648,$A5,G$15:G$648)</f>
        <v>0</v>
      </c>
      <c r="G5" s="4" t="n">
        <f aca="false">SUMIF($B$15:$B$648,$A5,H$15:H$648)</f>
        <v>3875</v>
      </c>
      <c r="H5" s="4" t="n">
        <f aca="false">SUMIF($B$15:$B$648,$A5,I$15:I$648)</f>
        <v>2067</v>
      </c>
      <c r="I5" s="4" t="n">
        <f aca="false">SUMIF($B$15:$B$648,$A5,J$15:J$648)</f>
        <v>500</v>
      </c>
      <c r="J5" s="4" t="n">
        <f aca="false">SUMIF($B$15:$B$648,$A5,K$15:K$648)</f>
        <v>339</v>
      </c>
      <c r="K5" s="15" t="n">
        <f aca="false">SUMIF($B$15:$B$648,$A5,L$15:L$648)</f>
        <v>0</v>
      </c>
      <c r="L5" s="16" t="n">
        <f aca="false">IF(G5=0,"",H5/G5)</f>
        <v>0.53341935483871</v>
      </c>
    </row>
    <row r="6" customFormat="false" ht="15" hidden="false" customHeight="false" outlineLevel="0" collapsed="false">
      <c r="A6" s="4" t="s">
        <v>171</v>
      </c>
      <c r="B6" s="4" t="n">
        <f aca="false">SUMIF($B$15:$B$648,$A6,C$15:C$648)</f>
        <v>154</v>
      </c>
      <c r="C6" s="4" t="n">
        <f aca="false">SUMIF($B$15:$B$648,$A6,D$15:D$648)</f>
        <v>3</v>
      </c>
      <c r="D6" s="4" t="n">
        <f aca="false">SUMIF($B$15:$B$648,$A6,E$15:E$648)</f>
        <v>102</v>
      </c>
      <c r="E6" s="4" t="n">
        <f aca="false">SUMIF($B$15:$B$648,$A6,F$15:F$648)</f>
        <v>0</v>
      </c>
      <c r="F6" s="15" t="n">
        <f aca="false">SUMIF($B$15:$B$648,$A6,G$15:G$648)</f>
        <v>0.01728624</v>
      </c>
      <c r="G6" s="4" t="n">
        <f aca="false">SUMIF($B$15:$B$648,$A6,H$15:H$648)</f>
        <v>625</v>
      </c>
      <c r="H6" s="4" t="n">
        <f aca="false">SUMIF($B$15:$B$648,$A6,I$15:I$648)</f>
        <v>11</v>
      </c>
      <c r="I6" s="4" t="n">
        <f aca="false">SUMIF($B$15:$B$648,$A6,J$15:J$648)</f>
        <v>346</v>
      </c>
      <c r="J6" s="4" t="n">
        <f aca="false">SUMIF($B$15:$B$648,$A6,K$15:K$648)</f>
        <v>0</v>
      </c>
      <c r="K6" s="15" t="n">
        <f aca="false">SUMIF($B$15:$B$648,$A6,L$15:L$648)</f>
        <v>0.07844832</v>
      </c>
      <c r="L6" s="16" t="n">
        <f aca="false">IF(G6=0,"",H6/G6)</f>
        <v>0.0176</v>
      </c>
    </row>
    <row r="7" customFormat="false" ht="15" hidden="false" customHeight="false" outlineLevel="0" collapsed="false">
      <c r="A7" s="4" t="s">
        <v>172</v>
      </c>
      <c r="B7" s="4" t="n">
        <f aca="false">SUMIF($B$15:$B$648,$A7,C$15:C$648)</f>
        <v>13058</v>
      </c>
      <c r="C7" s="4" t="n">
        <f aca="false">SUMIF($B$15:$B$648,$A7,D$15:D$648)</f>
        <v>2993</v>
      </c>
      <c r="D7" s="4" t="n">
        <f aca="false">SUMIF($B$15:$B$648,$A7,E$15:E$648)</f>
        <v>9953</v>
      </c>
      <c r="E7" s="4" t="n">
        <f aca="false">SUMIF($B$15:$B$648,$A7,F$15:F$648)</f>
        <v>0</v>
      </c>
      <c r="F7" s="15" t="n">
        <f aca="false">SUMIF($B$15:$B$648,$A7,G$15:G$648)</f>
        <v>8.13406093333333</v>
      </c>
      <c r="G7" s="4" t="n">
        <f aca="false">SUMIF($B$15:$B$648,$A7,H$15:H$648)</f>
        <v>17037</v>
      </c>
      <c r="H7" s="4" t="n">
        <f aca="false">SUMIF($B$15:$B$648,$A7,I$15:I$648)</f>
        <v>4503</v>
      </c>
      <c r="I7" s="4" t="n">
        <f aca="false">SUMIF($B$15:$B$648,$A7,J$15:J$648)</f>
        <v>12340</v>
      </c>
      <c r="J7" s="4" t="n">
        <f aca="false">SUMIF($B$15:$B$648,$A7,K$15:K$648)</f>
        <v>0</v>
      </c>
      <c r="K7" s="15" t="n">
        <f aca="false">SUMIF($B$15:$B$648,$A7,L$15:L$648)</f>
        <v>9.48333363333333</v>
      </c>
      <c r="L7" s="16" t="n">
        <f aca="false">IF(G7=0,"",H7/G7)</f>
        <v>0.264307096319775</v>
      </c>
    </row>
    <row r="8" customFormat="false" ht="15" hidden="false" customHeight="false" outlineLevel="0" collapsed="false">
      <c r="A8" s="4" t="s">
        <v>173</v>
      </c>
      <c r="B8" s="4" t="n">
        <f aca="false">SUMIF($B$15:$B$648,$A8,C$15:C$648)</f>
        <v>1560</v>
      </c>
      <c r="C8" s="4" t="n">
        <f aca="false">SUMIF($B$15:$B$648,$A8,D$15:D$648)</f>
        <v>538</v>
      </c>
      <c r="D8" s="4" t="n">
        <f aca="false">SUMIF($B$15:$B$648,$A8,E$15:E$648)</f>
        <v>1022</v>
      </c>
      <c r="E8" s="4" t="n">
        <f aca="false">SUMIF($B$15:$B$648,$A8,F$15:F$648)</f>
        <v>0</v>
      </c>
      <c r="F8" s="15" t="n">
        <f aca="false">SUMIF($B$15:$B$648,$A8,G$15:G$648)</f>
        <v>2.5562568</v>
      </c>
      <c r="G8" s="4" t="n">
        <f aca="false">SUMIF($B$15:$B$648,$A8,H$15:H$648)</f>
        <v>1560</v>
      </c>
      <c r="H8" s="4" t="n">
        <f aca="false">SUMIF($B$15:$B$648,$A8,I$15:I$648)</f>
        <v>538</v>
      </c>
      <c r="I8" s="4" t="n">
        <f aca="false">SUMIF($B$15:$B$648,$A8,J$15:J$648)</f>
        <v>1022</v>
      </c>
      <c r="J8" s="4" t="n">
        <f aca="false">SUMIF($B$15:$B$648,$A8,K$15:K$648)</f>
        <v>0</v>
      </c>
      <c r="K8" s="15" t="n">
        <f aca="false">SUMIF($B$15:$B$648,$A8,L$15:L$648)</f>
        <v>2.5562568</v>
      </c>
      <c r="L8" s="16" t="n">
        <f aca="false">IF(G8=0,"",H8/G8)</f>
        <v>0.344871794871795</v>
      </c>
    </row>
    <row r="9" customFormat="false" ht="15" hidden="false" customHeight="false" outlineLevel="0" collapsed="false">
      <c r="A9" s="4" t="s">
        <v>174</v>
      </c>
      <c r="B9" s="4" t="n">
        <f aca="false">SUMIF($B$15:$B$648,$A9,C$15:C$648)</f>
        <v>215</v>
      </c>
      <c r="C9" s="4" t="n">
        <f aca="false">SUMIF($B$15:$B$648,$A9,D$15:D$648)</f>
        <v>148</v>
      </c>
      <c r="D9" s="4" t="n">
        <f aca="false">SUMIF($B$15:$B$648,$A9,E$15:E$648)</f>
        <v>3</v>
      </c>
      <c r="E9" s="4" t="n">
        <f aca="false">SUMIF($B$15:$B$648,$A9,F$15:F$648)</f>
        <v>0</v>
      </c>
      <c r="F9" s="15" t="n">
        <f aca="false">SUMIF($B$15:$B$648,$A9,G$15:G$648)</f>
        <v>0.0742985</v>
      </c>
      <c r="G9" s="4" t="n">
        <f aca="false">SUMIF($B$15:$B$648,$A9,H$15:H$648)</f>
        <v>793</v>
      </c>
      <c r="H9" s="4" t="n">
        <f aca="false">SUMIF($B$15:$B$648,$A9,I$15:I$648)</f>
        <v>599</v>
      </c>
      <c r="I9" s="4" t="n">
        <f aca="false">SUMIF($B$15:$B$648,$A9,J$15:J$648)</f>
        <v>6</v>
      </c>
      <c r="J9" s="4" t="n">
        <f aca="false">SUMIF($B$15:$B$648,$A9,K$15:K$648)</f>
        <v>0</v>
      </c>
      <c r="K9" s="15" t="n">
        <f aca="false">SUMIF($B$15:$B$648,$A9,L$15:L$648)</f>
        <v>0.29891021</v>
      </c>
      <c r="L9" s="16" t="n">
        <f aca="false">IF(G9=0,"",H9/G9)</f>
        <v>0.755359394703657</v>
      </c>
    </row>
    <row r="10" customFormat="false" ht="15" hidden="false" customHeight="false" outlineLevel="0" collapsed="false">
      <c r="A10" s="4" t="s">
        <v>175</v>
      </c>
      <c r="B10" s="4" t="n">
        <f aca="false">SUMIF($B$15:$B$648,$A10,C$15:C$648)</f>
        <v>307</v>
      </c>
      <c r="C10" s="4" t="n">
        <f aca="false">SUMIF($B$15:$B$648,$A10,D$15:D$648)</f>
        <v>0</v>
      </c>
      <c r="D10" s="4" t="n">
        <f aca="false">SUMIF($B$15:$B$648,$A10,E$15:E$648)</f>
        <v>0</v>
      </c>
      <c r="E10" s="4" t="n">
        <f aca="false">SUMIF($B$15:$B$648,$A10,F$15:F$648)</f>
        <v>447</v>
      </c>
      <c r="F10" s="15" t="n">
        <f aca="false">SUMIF($B$15:$B$648,$A10,G$15:G$648)</f>
        <v>0</v>
      </c>
      <c r="G10" s="4" t="n">
        <f aca="false">SUMIF($B$15:$B$648,$A10,H$15:H$648)</f>
        <v>992</v>
      </c>
      <c r="H10" s="4" t="n">
        <f aca="false">SUMIF($B$15:$B$648,$A10,I$15:I$648)</f>
        <v>0</v>
      </c>
      <c r="I10" s="4" t="n">
        <f aca="false">SUMIF($B$15:$B$648,$A10,J$15:J$648)</f>
        <v>0</v>
      </c>
      <c r="J10" s="4" t="n">
        <f aca="false">SUMIF($B$15:$B$648,$A10,K$15:K$648)</f>
        <v>1252</v>
      </c>
      <c r="K10" s="15" t="n">
        <f aca="false">SUMIF($B$15:$B$648,$A10,L$15:L$648)</f>
        <v>0</v>
      </c>
      <c r="L10" s="16" t="n">
        <f aca="false">IF(G10=0,"",H10/G10)</f>
        <v>0</v>
      </c>
    </row>
    <row r="11" customFormat="false" ht="15" hidden="false" customHeight="false" outlineLevel="0" collapsed="false">
      <c r="A11" s="4" t="s">
        <v>176</v>
      </c>
      <c r="B11" s="4" t="n">
        <f aca="false">SUMIF($B$15:$B$648,$A11,C$15:C$648)</f>
        <v>6012</v>
      </c>
      <c r="C11" s="4" t="n">
        <f aca="false">SUMIF($B$15:$B$648,$A11,D$15:D$648)</f>
        <v>0</v>
      </c>
      <c r="D11" s="4" t="n">
        <f aca="false">SUMIF($B$15:$B$648,$A11,E$15:E$648)</f>
        <v>0</v>
      </c>
      <c r="E11" s="4" t="n">
        <f aca="false">SUMIF($B$15:$B$648,$A11,F$15:F$648)</f>
        <v>0</v>
      </c>
      <c r="F11" s="15" t="n">
        <f aca="false">SUMIF($B$15:$B$648,$A11,G$15:G$648)</f>
        <v>0</v>
      </c>
      <c r="G11" s="4" t="n">
        <f aca="false">SUMIF($B$15:$B$648,$A11,H$15:H$648)</f>
        <v>8371</v>
      </c>
      <c r="H11" s="4" t="n">
        <f aca="false">SUMIF($B$15:$B$648,$A11,I$15:I$648)</f>
        <v>0</v>
      </c>
      <c r="I11" s="4" t="n">
        <f aca="false">SUMIF($B$15:$B$648,$A11,J$15:J$648)</f>
        <v>0</v>
      </c>
      <c r="J11" s="4" t="n">
        <f aca="false">SUMIF($B$15:$B$648,$A11,K$15:K$648)</f>
        <v>0</v>
      </c>
      <c r="K11" s="15" t="n">
        <f aca="false">SUMIF($B$15:$B$648,$A11,L$15:L$648)</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20</v>
      </c>
      <c r="I28" s="13" t="n">
        <v>0</v>
      </c>
      <c r="J28" s="13" t="n">
        <v>10</v>
      </c>
      <c r="K28" s="13" t="n">
        <v>40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10</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13</v>
      </c>
      <c r="D30" s="13" t="n">
        <v>0</v>
      </c>
      <c r="E30" s="13" t="n">
        <v>13</v>
      </c>
      <c r="F30" s="13" t="n">
        <v>0</v>
      </c>
      <c r="G30" s="17" t="n">
        <v>0.00394026666666667</v>
      </c>
      <c r="H30" s="13" t="n">
        <v>51</v>
      </c>
      <c r="I30" s="13" t="n">
        <v>3</v>
      </c>
      <c r="J30" s="13" t="n">
        <v>48</v>
      </c>
      <c r="K30" s="13" t="n">
        <v>0</v>
      </c>
      <c r="L30" s="17" t="n">
        <v>0.0190638666666667</v>
      </c>
      <c r="M30" s="18" t="n">
        <f aca="false">IF(H30=0,"",I30/H30)</f>
        <v>0.0588235294117647</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1</v>
      </c>
      <c r="D32" s="13" t="n">
        <v>0</v>
      </c>
      <c r="E32" s="13" t="n">
        <v>0</v>
      </c>
      <c r="F32" s="13" t="n">
        <v>1</v>
      </c>
      <c r="G32" s="17" t="n">
        <v>0</v>
      </c>
      <c r="H32" s="13" t="n">
        <v>25</v>
      </c>
      <c r="I32" s="13" t="n">
        <v>0</v>
      </c>
      <c r="J32" s="13" t="n">
        <v>0</v>
      </c>
      <c r="K32" s="13" t="n">
        <v>25</v>
      </c>
      <c r="L32" s="17" t="n">
        <v>0</v>
      </c>
      <c r="M32" s="18" t="n">
        <f aca="false">IF(H32=0,"",I32/H32)</f>
        <v>0</v>
      </c>
    </row>
    <row r="33" customFormat="false" ht="15" hidden="false" customHeight="false" outlineLevel="0" collapsed="false">
      <c r="A33" s="13" t="s">
        <v>137</v>
      </c>
      <c r="B33" s="13" t="s">
        <v>176</v>
      </c>
      <c r="C33" s="13" t="n">
        <v>8</v>
      </c>
      <c r="D33" s="13" t="n">
        <v>0</v>
      </c>
      <c r="E33" s="13" t="n">
        <v>0</v>
      </c>
      <c r="F33" s="13" t="n">
        <v>0</v>
      </c>
      <c r="G33" s="17" t="n">
        <v>0</v>
      </c>
      <c r="H33" s="13" t="n">
        <v>35</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61</v>
      </c>
      <c r="D36" s="13" t="n">
        <v>61</v>
      </c>
      <c r="E36" s="13" t="n">
        <v>0</v>
      </c>
      <c r="F36" s="13" t="n">
        <v>0</v>
      </c>
      <c r="G36" s="17" t="n">
        <v>0</v>
      </c>
      <c r="H36" s="13" t="n">
        <v>64</v>
      </c>
      <c r="I36" s="13" t="n">
        <v>64</v>
      </c>
      <c r="J36" s="13" t="n">
        <v>0</v>
      </c>
      <c r="K36" s="13" t="n">
        <v>0</v>
      </c>
      <c r="L36" s="17" t="n">
        <v>0</v>
      </c>
      <c r="M36" s="18" t="n">
        <f aca="false">IF(H36=0,"",I36/H36)</f>
        <v>1</v>
      </c>
    </row>
    <row r="37" customFormat="false" ht="15" hidden="false" customHeight="false" outlineLevel="0" collapsed="false">
      <c r="A37" s="13" t="s">
        <v>85</v>
      </c>
      <c r="B37" s="13" t="s">
        <v>172</v>
      </c>
      <c r="C37" s="13" t="n">
        <v>213</v>
      </c>
      <c r="D37" s="13" t="n">
        <v>22</v>
      </c>
      <c r="E37" s="13" t="n">
        <v>187</v>
      </c>
      <c r="F37" s="13" t="n">
        <v>0</v>
      </c>
      <c r="G37" s="17" t="n">
        <v>0.1989696</v>
      </c>
      <c r="H37" s="13" t="n">
        <v>230</v>
      </c>
      <c r="I37" s="13" t="n">
        <v>27</v>
      </c>
      <c r="J37" s="13" t="n">
        <v>195</v>
      </c>
      <c r="K37" s="13" t="n">
        <v>0</v>
      </c>
      <c r="L37" s="17" t="n">
        <v>0.21759076</v>
      </c>
      <c r="M37" s="18" t="n">
        <f aca="false">IF(H37=0,"",I37/H37)</f>
        <v>0.117391304347826</v>
      </c>
    </row>
    <row r="38" customFormat="false" ht="15" hidden="false" customHeight="false" outlineLevel="0" collapsed="false">
      <c r="A38" s="13" t="s">
        <v>85</v>
      </c>
      <c r="B38" s="13" t="s">
        <v>173</v>
      </c>
      <c r="C38" s="13" t="n">
        <v>29</v>
      </c>
      <c r="D38" s="13" t="n">
        <v>0</v>
      </c>
      <c r="E38" s="13" t="n">
        <v>29</v>
      </c>
      <c r="F38" s="13" t="n">
        <v>0</v>
      </c>
      <c r="G38" s="17" t="n">
        <v>0.0133516</v>
      </c>
      <c r="H38" s="13" t="n">
        <v>29</v>
      </c>
      <c r="I38" s="13" t="n">
        <v>0</v>
      </c>
      <c r="J38" s="13" t="n">
        <v>29</v>
      </c>
      <c r="K38" s="13" t="n">
        <v>0</v>
      </c>
      <c r="L38" s="17" t="n">
        <v>0.0133516</v>
      </c>
      <c r="M38" s="18" t="n">
        <f aca="false">IF(H38=0,"",I38/H38)</f>
        <v>0</v>
      </c>
    </row>
    <row r="39" customFormat="false" ht="15" hidden="false" customHeight="false" outlineLevel="0" collapsed="false">
      <c r="A39" s="13" t="s">
        <v>85</v>
      </c>
      <c r="B39" s="13" t="s">
        <v>175</v>
      </c>
      <c r="C39" s="13" t="n">
        <v>3</v>
      </c>
      <c r="D39" s="13" t="n">
        <v>0</v>
      </c>
      <c r="E39" s="13" t="n">
        <v>0</v>
      </c>
      <c r="F39" s="13" t="n">
        <v>3</v>
      </c>
      <c r="G39" s="17" t="n">
        <v>0</v>
      </c>
      <c r="H39" s="13" t="n">
        <v>3</v>
      </c>
      <c r="I39" s="13" t="n">
        <v>0</v>
      </c>
      <c r="J39" s="13" t="n">
        <v>0</v>
      </c>
      <c r="K39" s="13" t="n">
        <v>3</v>
      </c>
      <c r="L39" s="17" t="n">
        <v>0</v>
      </c>
      <c r="M39" s="18" t="n">
        <f aca="false">IF(H39=0,"",I39/H39)</f>
        <v>0</v>
      </c>
    </row>
    <row r="40" customFormat="false" ht="15" hidden="false" customHeight="false" outlineLevel="0" collapsed="false">
      <c r="A40" s="13" t="s">
        <v>85</v>
      </c>
      <c r="B40" s="13" t="s">
        <v>176</v>
      </c>
      <c r="C40" s="13" t="n">
        <v>87</v>
      </c>
      <c r="D40" s="13" t="n">
        <v>0</v>
      </c>
      <c r="E40" s="13" t="n">
        <v>0</v>
      </c>
      <c r="F40" s="13" t="n">
        <v>0</v>
      </c>
      <c r="G40" s="17" t="n">
        <v>0</v>
      </c>
      <c r="H40" s="13" t="n">
        <v>93</v>
      </c>
      <c r="I40" s="13" t="n">
        <v>0</v>
      </c>
      <c r="J40" s="13" t="n">
        <v>0</v>
      </c>
      <c r="K40" s="13" t="n">
        <v>0</v>
      </c>
      <c r="L40" s="17" t="n">
        <v>0</v>
      </c>
      <c r="M40" s="18" t="n">
        <f aca="false">IF(H40=0,"",I40/H40)</f>
        <v>0</v>
      </c>
    </row>
    <row r="41" customFormat="false" ht="15" hidden="false" customHeight="false" outlineLevel="0" collapsed="false">
      <c r="A41" s="13" t="s">
        <v>191</v>
      </c>
      <c r="B41" s="13" t="s">
        <v>176</v>
      </c>
      <c r="C41" s="13" t="n">
        <v>0</v>
      </c>
      <c r="D41" s="13" t="n">
        <v>0</v>
      </c>
      <c r="E41" s="13" t="n">
        <v>0</v>
      </c>
      <c r="F41" s="13" t="n">
        <v>0</v>
      </c>
      <c r="G41" s="17" t="n">
        <v>0</v>
      </c>
      <c r="H41" s="13" t="n">
        <v>1</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192</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193</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194</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195</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91</v>
      </c>
      <c r="B47" s="13" t="s">
        <v>170</v>
      </c>
      <c r="C47" s="13" t="n">
        <v>1</v>
      </c>
      <c r="D47" s="13" t="n">
        <v>1</v>
      </c>
      <c r="E47" s="13" t="n">
        <v>0</v>
      </c>
      <c r="F47" s="13" t="n">
        <v>0</v>
      </c>
      <c r="G47" s="17" t="n">
        <v>0</v>
      </c>
      <c r="H47" s="13" t="n">
        <v>1</v>
      </c>
      <c r="I47" s="13" t="n">
        <v>1</v>
      </c>
      <c r="J47" s="13" t="n">
        <v>0</v>
      </c>
      <c r="K47" s="13" t="n">
        <v>0</v>
      </c>
      <c r="L47" s="17" t="n">
        <v>0</v>
      </c>
      <c r="M47" s="18" t="n">
        <f aca="false">IF(H47=0,"",I47/H47)</f>
        <v>1</v>
      </c>
    </row>
    <row r="48" customFormat="false" ht="15" hidden="false" customHeight="false" outlineLevel="0" collapsed="false">
      <c r="A48" s="13" t="s">
        <v>91</v>
      </c>
      <c r="B48" s="13" t="s">
        <v>172</v>
      </c>
      <c r="C48" s="13" t="n">
        <v>5</v>
      </c>
      <c r="D48" s="13" t="n">
        <v>0</v>
      </c>
      <c r="E48" s="13" t="n">
        <v>5</v>
      </c>
      <c r="F48" s="13" t="n">
        <v>0</v>
      </c>
      <c r="G48" s="17" t="n">
        <v>0.0070404</v>
      </c>
      <c r="H48" s="13" t="n">
        <v>10</v>
      </c>
      <c r="I48" s="13" t="n">
        <v>3</v>
      </c>
      <c r="J48" s="13" t="n">
        <v>6</v>
      </c>
      <c r="K48" s="13" t="n">
        <v>0</v>
      </c>
      <c r="L48" s="17" t="n">
        <v>0.0100152</v>
      </c>
      <c r="M48" s="18" t="n">
        <f aca="false">IF(H48=0,"",I48/H48)</f>
        <v>0.3</v>
      </c>
    </row>
    <row r="49" customFormat="false" ht="15" hidden="false" customHeight="false" outlineLevel="0" collapsed="false">
      <c r="A49" s="13" t="s">
        <v>91</v>
      </c>
      <c r="B49" s="13" t="s">
        <v>174</v>
      </c>
      <c r="C49" s="13" t="n">
        <v>0</v>
      </c>
      <c r="D49" s="13" t="n">
        <v>0</v>
      </c>
      <c r="E49" s="13" t="n">
        <v>0</v>
      </c>
      <c r="F49" s="13" t="n">
        <v>0</v>
      </c>
      <c r="G49" s="17" t="n">
        <v>0</v>
      </c>
      <c r="H49" s="13" t="n">
        <v>4</v>
      </c>
      <c r="I49" s="13" t="n">
        <v>4</v>
      </c>
      <c r="J49" s="13" t="n">
        <v>0</v>
      </c>
      <c r="K49" s="13" t="n">
        <v>0</v>
      </c>
      <c r="L49" s="17" t="n">
        <v>0.00092112</v>
      </c>
      <c r="M49" s="18" t="n">
        <f aca="false">IF(H49=0,"",I49/H49)</f>
        <v>1</v>
      </c>
    </row>
    <row r="50" customFormat="false" ht="15" hidden="false" customHeight="false" outlineLevel="0" collapsed="false">
      <c r="A50" s="13" t="s">
        <v>91</v>
      </c>
      <c r="B50" s="13" t="s">
        <v>175</v>
      </c>
      <c r="C50" s="13" t="n">
        <v>0</v>
      </c>
      <c r="D50" s="13" t="n">
        <v>0</v>
      </c>
      <c r="E50" s="13" t="n">
        <v>0</v>
      </c>
      <c r="F50" s="13" t="n">
        <v>0</v>
      </c>
      <c r="G50" s="17" t="n">
        <v>0</v>
      </c>
      <c r="H50" s="13" t="n">
        <v>5</v>
      </c>
      <c r="I50" s="13" t="n">
        <v>0</v>
      </c>
      <c r="J50" s="13" t="n">
        <v>0</v>
      </c>
      <c r="K50" s="13" t="n">
        <v>5</v>
      </c>
      <c r="L50" s="17" t="n">
        <v>0</v>
      </c>
      <c r="M50" s="18" t="n">
        <f aca="false">IF(H50=0,"",I50/H50)</f>
        <v>0</v>
      </c>
    </row>
    <row r="51" customFormat="false" ht="15" hidden="false" customHeight="false" outlineLevel="0" collapsed="false">
      <c r="A51" s="13" t="s">
        <v>91</v>
      </c>
      <c r="B51" s="13" t="s">
        <v>176</v>
      </c>
      <c r="C51" s="13" t="n">
        <v>4</v>
      </c>
      <c r="D51" s="13" t="n">
        <v>0</v>
      </c>
      <c r="E51" s="13" t="n">
        <v>0</v>
      </c>
      <c r="F51" s="13" t="n">
        <v>0</v>
      </c>
      <c r="G51" s="17" t="n">
        <v>0</v>
      </c>
      <c r="H51" s="13" t="n">
        <v>5</v>
      </c>
      <c r="I51" s="13" t="n">
        <v>0</v>
      </c>
      <c r="J51" s="13" t="n">
        <v>0</v>
      </c>
      <c r="K51" s="13" t="n">
        <v>0</v>
      </c>
      <c r="L51" s="17" t="n">
        <v>0</v>
      </c>
      <c r="M51" s="18" t="n">
        <f aca="false">IF(H51=0,"",I51/H51)</f>
        <v>0</v>
      </c>
    </row>
    <row r="52" customFormat="false" ht="15" hidden="false" customHeight="false" outlineLevel="0" collapsed="false">
      <c r="A52" s="13" t="s">
        <v>196</v>
      </c>
      <c r="B52" s="13" t="s">
        <v>176</v>
      </c>
      <c r="C52" s="13" t="n">
        <v>0</v>
      </c>
      <c r="D52" s="13" t="n">
        <v>0</v>
      </c>
      <c r="E52" s="13" t="n">
        <v>0</v>
      </c>
      <c r="F52" s="13" t="n">
        <v>0</v>
      </c>
      <c r="G52" s="17" t="n">
        <v>0</v>
      </c>
      <c r="H52" s="13" t="n">
        <v>1</v>
      </c>
      <c r="I52" s="13" t="n">
        <v>0</v>
      </c>
      <c r="J52" s="13" t="n">
        <v>0</v>
      </c>
      <c r="K52" s="13" t="n">
        <v>0</v>
      </c>
      <c r="L52" s="17" t="n">
        <v>0</v>
      </c>
      <c r="M52" s="18" t="n">
        <f aca="false">IF(H52=0,"",I52/H52)</f>
        <v>0</v>
      </c>
    </row>
    <row r="53" customFormat="false" ht="15" hidden="false" customHeight="false" outlineLevel="0" collapsed="false">
      <c r="A53" s="13" t="s">
        <v>197</v>
      </c>
      <c r="B53" s="13" t="s">
        <v>176</v>
      </c>
      <c r="C53" s="13" t="n">
        <v>0</v>
      </c>
      <c r="D53" s="13" t="n">
        <v>0</v>
      </c>
      <c r="E53" s="13" t="n">
        <v>0</v>
      </c>
      <c r="F53" s="13" t="n">
        <v>0</v>
      </c>
      <c r="G53" s="17" t="n">
        <v>0</v>
      </c>
      <c r="H53" s="13" t="n">
        <v>1</v>
      </c>
      <c r="I53" s="13" t="n">
        <v>0</v>
      </c>
      <c r="J53" s="13" t="n">
        <v>0</v>
      </c>
      <c r="K53" s="13" t="n">
        <v>0</v>
      </c>
      <c r="L53" s="17" t="n">
        <v>0</v>
      </c>
      <c r="M53" s="18" t="n">
        <f aca="false">IF(H53=0,"",I53/H53)</f>
        <v>0</v>
      </c>
    </row>
    <row r="54" customFormat="false" ht="15" hidden="false" customHeight="false" outlineLevel="0" collapsed="false">
      <c r="A54" s="13" t="s">
        <v>198</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133</v>
      </c>
      <c r="B55" s="13" t="s">
        <v>172</v>
      </c>
      <c r="C55" s="13" t="n">
        <v>22</v>
      </c>
      <c r="D55" s="13" t="n">
        <v>9</v>
      </c>
      <c r="E55" s="13" t="n">
        <v>13</v>
      </c>
      <c r="F55" s="13" t="n">
        <v>0</v>
      </c>
      <c r="G55" s="17" t="n">
        <v>0.0135584</v>
      </c>
      <c r="H55" s="13" t="n">
        <v>22</v>
      </c>
      <c r="I55" s="13" t="n">
        <v>9</v>
      </c>
      <c r="J55" s="13" t="n">
        <v>13</v>
      </c>
      <c r="K55" s="13" t="n">
        <v>0</v>
      </c>
      <c r="L55" s="17" t="n">
        <v>0.0135584</v>
      </c>
      <c r="M55" s="18" t="n">
        <f aca="false">IF(H55=0,"",I55/H55)</f>
        <v>0.409090909090909</v>
      </c>
    </row>
    <row r="56" customFormat="false" ht="15" hidden="false" customHeight="false" outlineLevel="0" collapsed="false">
      <c r="A56" s="13" t="s">
        <v>133</v>
      </c>
      <c r="B56" s="13" t="s">
        <v>173</v>
      </c>
      <c r="C56" s="13" t="n">
        <v>18</v>
      </c>
      <c r="D56" s="13" t="n">
        <v>0</v>
      </c>
      <c r="E56" s="13" t="n">
        <v>18</v>
      </c>
      <c r="F56" s="13" t="n">
        <v>0</v>
      </c>
      <c r="G56" s="17" t="n">
        <v>0</v>
      </c>
      <c r="H56" s="13" t="n">
        <v>18</v>
      </c>
      <c r="I56" s="13" t="n">
        <v>0</v>
      </c>
      <c r="J56" s="13" t="n">
        <v>18</v>
      </c>
      <c r="K56" s="13" t="n">
        <v>0</v>
      </c>
      <c r="L56" s="17" t="n">
        <v>0</v>
      </c>
      <c r="M56" s="18" t="n">
        <f aca="false">IF(H56=0,"",I56/H56)</f>
        <v>0</v>
      </c>
    </row>
    <row r="57" customFormat="false" ht="15" hidden="false" customHeight="false" outlineLevel="0" collapsed="false">
      <c r="A57" s="13" t="s">
        <v>133</v>
      </c>
      <c r="B57" s="13" t="s">
        <v>176</v>
      </c>
      <c r="C57" s="13" t="n">
        <v>12</v>
      </c>
      <c r="D57" s="13" t="n">
        <v>0</v>
      </c>
      <c r="E57" s="13" t="n">
        <v>0</v>
      </c>
      <c r="F57" s="13" t="n">
        <v>0</v>
      </c>
      <c r="G57" s="17" t="n">
        <v>0</v>
      </c>
      <c r="H57" s="13" t="n">
        <v>12</v>
      </c>
      <c r="I57" s="13" t="n">
        <v>0</v>
      </c>
      <c r="J57" s="13" t="n">
        <v>0</v>
      </c>
      <c r="K57" s="13" t="n">
        <v>0</v>
      </c>
      <c r="L57" s="17" t="n">
        <v>0</v>
      </c>
      <c r="M57" s="18" t="n">
        <f aca="false">IF(H57=0,"",I57/H57)</f>
        <v>0</v>
      </c>
    </row>
    <row r="58" customFormat="false" ht="15" hidden="false" customHeight="false" outlineLevel="0" collapsed="false">
      <c r="A58" s="13" t="s">
        <v>199</v>
      </c>
      <c r="B58" s="13" t="s">
        <v>176</v>
      </c>
      <c r="C58" s="13" t="n">
        <v>0</v>
      </c>
      <c r="D58" s="13" t="n">
        <v>0</v>
      </c>
      <c r="E58" s="13" t="n">
        <v>0</v>
      </c>
      <c r="F58" s="13" t="n">
        <v>0</v>
      </c>
      <c r="G58" s="17" t="n">
        <v>0</v>
      </c>
      <c r="H58" s="13" t="n">
        <v>1</v>
      </c>
      <c r="I58" s="13" t="n">
        <v>0</v>
      </c>
      <c r="J58" s="13" t="n">
        <v>0</v>
      </c>
      <c r="K58" s="13" t="n">
        <v>0</v>
      </c>
      <c r="L58" s="17" t="n">
        <v>0</v>
      </c>
      <c r="M58" s="18" t="n">
        <f aca="false">IF(H58=0,"",I58/H58)</f>
        <v>0</v>
      </c>
    </row>
    <row r="59" customFormat="false" ht="15" hidden="false" customHeight="false" outlineLevel="0" collapsed="false">
      <c r="A59" s="13" t="s">
        <v>200</v>
      </c>
      <c r="B59" s="13" t="s">
        <v>176</v>
      </c>
      <c r="C59" s="13" t="n">
        <v>0</v>
      </c>
      <c r="D59" s="13" t="n">
        <v>0</v>
      </c>
      <c r="E59" s="13" t="n">
        <v>0</v>
      </c>
      <c r="F59" s="13" t="n">
        <v>0</v>
      </c>
      <c r="G59" s="17" t="n">
        <v>0</v>
      </c>
      <c r="H59" s="13" t="n">
        <v>1</v>
      </c>
      <c r="I59" s="13" t="n">
        <v>0</v>
      </c>
      <c r="J59" s="13" t="n">
        <v>0</v>
      </c>
      <c r="K59" s="13" t="n">
        <v>0</v>
      </c>
      <c r="L59" s="17" t="n">
        <v>0</v>
      </c>
      <c r="M59" s="18" t="n">
        <f aca="false">IF(H59=0,"",I59/H59)</f>
        <v>0</v>
      </c>
    </row>
    <row r="60" customFormat="false" ht="15" hidden="false" customHeight="false" outlineLevel="0" collapsed="false">
      <c r="A60" s="13" t="s">
        <v>201</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202</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203</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204</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113</v>
      </c>
      <c r="B64" s="13" t="s">
        <v>169</v>
      </c>
      <c r="C64" s="13" t="n">
        <v>0</v>
      </c>
      <c r="D64" s="13" t="n">
        <v>0</v>
      </c>
      <c r="E64" s="13" t="n">
        <v>4</v>
      </c>
      <c r="F64" s="13" t="n">
        <v>0</v>
      </c>
      <c r="G64" s="17" t="n">
        <v>0</v>
      </c>
      <c r="H64" s="13" t="n">
        <v>23</v>
      </c>
      <c r="I64" s="13" t="n">
        <v>0</v>
      </c>
      <c r="J64" s="13" t="n">
        <v>21</v>
      </c>
      <c r="K64" s="13" t="n">
        <v>46</v>
      </c>
      <c r="L64" s="17" t="n">
        <v>0</v>
      </c>
      <c r="M64" s="18" t="n">
        <f aca="false">IF(H64=0,"",I64/H64)</f>
        <v>0</v>
      </c>
    </row>
    <row r="65" customFormat="false" ht="15" hidden="false" customHeight="false" outlineLevel="0" collapsed="false">
      <c r="A65" s="13" t="s">
        <v>113</v>
      </c>
      <c r="B65" s="13" t="s">
        <v>170</v>
      </c>
      <c r="C65" s="13" t="n">
        <v>14</v>
      </c>
      <c r="D65" s="13" t="n">
        <v>3</v>
      </c>
      <c r="E65" s="13" t="n">
        <v>0</v>
      </c>
      <c r="F65" s="13" t="n">
        <v>7</v>
      </c>
      <c r="G65" s="17" t="n">
        <v>0</v>
      </c>
      <c r="H65" s="13" t="n">
        <v>28</v>
      </c>
      <c r="I65" s="13" t="n">
        <v>3</v>
      </c>
      <c r="J65" s="13" t="n">
        <v>0</v>
      </c>
      <c r="K65" s="13" t="n">
        <v>7</v>
      </c>
      <c r="L65" s="17" t="n">
        <v>0</v>
      </c>
      <c r="M65" s="18" t="n">
        <f aca="false">IF(H65=0,"",I65/H65)</f>
        <v>0.107142857142857</v>
      </c>
    </row>
    <row r="66" customFormat="false" ht="15" hidden="false" customHeight="false" outlineLevel="0" collapsed="false">
      <c r="A66" s="13" t="s">
        <v>113</v>
      </c>
      <c r="B66" s="13" t="s">
        <v>171</v>
      </c>
      <c r="C66" s="13" t="n">
        <v>23</v>
      </c>
      <c r="D66" s="13" t="n">
        <v>0</v>
      </c>
      <c r="E66" s="13" t="n">
        <v>18</v>
      </c>
      <c r="F66" s="13" t="n">
        <v>0</v>
      </c>
      <c r="G66" s="17" t="n">
        <v>0.00279909</v>
      </c>
      <c r="H66" s="13" t="n">
        <v>23</v>
      </c>
      <c r="I66" s="13" t="n">
        <v>0</v>
      </c>
      <c r="J66" s="13" t="n">
        <v>18</v>
      </c>
      <c r="K66" s="13" t="n">
        <v>0</v>
      </c>
      <c r="L66" s="17" t="n">
        <v>0.00279909</v>
      </c>
      <c r="M66" s="18" t="n">
        <f aca="false">IF(H66=0,"",I66/H66)</f>
        <v>0</v>
      </c>
    </row>
    <row r="67" customFormat="false" ht="15" hidden="false" customHeight="false" outlineLevel="0" collapsed="false">
      <c r="A67" s="13" t="s">
        <v>113</v>
      </c>
      <c r="B67" s="13" t="s">
        <v>172</v>
      </c>
      <c r="C67" s="13" t="n">
        <v>133</v>
      </c>
      <c r="D67" s="13" t="n">
        <v>0</v>
      </c>
      <c r="E67" s="13" t="n">
        <v>132</v>
      </c>
      <c r="F67" s="13" t="n">
        <v>0</v>
      </c>
      <c r="G67" s="17" t="n">
        <v>0.0854990666666667</v>
      </c>
      <c r="H67" s="13" t="n">
        <v>166</v>
      </c>
      <c r="I67" s="13" t="n">
        <v>8</v>
      </c>
      <c r="J67" s="13" t="n">
        <v>155</v>
      </c>
      <c r="K67" s="13" t="n">
        <v>0</v>
      </c>
      <c r="L67" s="17" t="n">
        <v>0.123994666666667</v>
      </c>
      <c r="M67" s="18" t="n">
        <f aca="false">IF(H67=0,"",I67/H67)</f>
        <v>0.0481927710843374</v>
      </c>
    </row>
    <row r="68" customFormat="false" ht="15" hidden="false" customHeight="false" outlineLevel="0" collapsed="false">
      <c r="A68" s="13" t="s">
        <v>113</v>
      </c>
      <c r="B68" s="13" t="s">
        <v>173</v>
      </c>
      <c r="C68" s="13" t="n">
        <v>7</v>
      </c>
      <c r="D68" s="13" t="n">
        <v>0</v>
      </c>
      <c r="E68" s="13" t="n">
        <v>7</v>
      </c>
      <c r="F68" s="13" t="n">
        <v>0</v>
      </c>
      <c r="G68" s="17" t="n">
        <v>0.0147988</v>
      </c>
      <c r="H68" s="13" t="n">
        <v>7</v>
      </c>
      <c r="I68" s="13" t="n">
        <v>0</v>
      </c>
      <c r="J68" s="13" t="n">
        <v>7</v>
      </c>
      <c r="K68" s="13" t="n">
        <v>0</v>
      </c>
      <c r="L68" s="17" t="n">
        <v>0.0147988</v>
      </c>
      <c r="M68" s="18" t="n">
        <f aca="false">IF(H68=0,"",I68/H68)</f>
        <v>0</v>
      </c>
    </row>
    <row r="69" customFormat="false" ht="15" hidden="false" customHeight="false" outlineLevel="0" collapsed="false">
      <c r="A69" s="13" t="s">
        <v>113</v>
      </c>
      <c r="B69" s="13" t="s">
        <v>175</v>
      </c>
      <c r="C69" s="13" t="n">
        <v>6</v>
      </c>
      <c r="D69" s="13" t="n">
        <v>0</v>
      </c>
      <c r="E69" s="13" t="n">
        <v>0</v>
      </c>
      <c r="F69" s="13" t="n">
        <v>6</v>
      </c>
      <c r="G69" s="17" t="n">
        <v>0</v>
      </c>
      <c r="H69" s="13" t="n">
        <v>19</v>
      </c>
      <c r="I69" s="13" t="n">
        <v>0</v>
      </c>
      <c r="J69" s="13" t="n">
        <v>0</v>
      </c>
      <c r="K69" s="13" t="n">
        <v>19</v>
      </c>
      <c r="L69" s="17" t="n">
        <v>0</v>
      </c>
      <c r="M69" s="18" t="n">
        <f aca="false">IF(H69=0,"",I69/H69)</f>
        <v>0</v>
      </c>
    </row>
    <row r="70" customFormat="false" ht="15" hidden="false" customHeight="false" outlineLevel="0" collapsed="false">
      <c r="A70" s="13" t="s">
        <v>113</v>
      </c>
      <c r="B70" s="13" t="s">
        <v>176</v>
      </c>
      <c r="C70" s="13" t="n">
        <v>46</v>
      </c>
      <c r="D70" s="13" t="n">
        <v>0</v>
      </c>
      <c r="E70" s="13" t="n">
        <v>0</v>
      </c>
      <c r="F70" s="13" t="n">
        <v>0</v>
      </c>
      <c r="G70" s="17" t="n">
        <v>0</v>
      </c>
      <c r="H70" s="13" t="n">
        <v>66</v>
      </c>
      <c r="I70" s="13" t="n">
        <v>0</v>
      </c>
      <c r="J70" s="13" t="n">
        <v>0</v>
      </c>
      <c r="K70" s="13" t="n">
        <v>0</v>
      </c>
      <c r="L70" s="17" t="n">
        <v>0</v>
      </c>
      <c r="M70" s="18" t="n">
        <f aca="false">IF(H70=0,"",I70/H70)</f>
        <v>0</v>
      </c>
    </row>
    <row r="71" customFormat="false" ht="15" hidden="false" customHeight="false" outlineLevel="0" collapsed="false">
      <c r="A71" s="13" t="s">
        <v>205</v>
      </c>
      <c r="B71" s="13" t="s">
        <v>176</v>
      </c>
      <c r="C71" s="13" t="n">
        <v>0</v>
      </c>
      <c r="D71" s="13" t="n">
        <v>0</v>
      </c>
      <c r="E71" s="13" t="n">
        <v>0</v>
      </c>
      <c r="F71" s="13" t="n">
        <v>0</v>
      </c>
      <c r="G71" s="17" t="n">
        <v>0</v>
      </c>
      <c r="H71" s="13" t="n">
        <v>1</v>
      </c>
      <c r="I71" s="13" t="n">
        <v>0</v>
      </c>
      <c r="J71" s="13" t="n">
        <v>0</v>
      </c>
      <c r="K71" s="13" t="n">
        <v>0</v>
      </c>
      <c r="L71" s="17" t="n">
        <v>0</v>
      </c>
      <c r="M71" s="18" t="n">
        <f aca="false">IF(H71=0,"",I71/H71)</f>
        <v>0</v>
      </c>
    </row>
    <row r="72" customFormat="false" ht="15" hidden="false" customHeight="false" outlineLevel="0" collapsed="false">
      <c r="A72" s="13" t="s">
        <v>206</v>
      </c>
      <c r="B72" s="13" t="s">
        <v>176</v>
      </c>
      <c r="C72" s="13" t="n">
        <v>0</v>
      </c>
      <c r="D72" s="13" t="n">
        <v>0</v>
      </c>
      <c r="E72" s="13" t="n">
        <v>0</v>
      </c>
      <c r="F72" s="13" t="n">
        <v>0</v>
      </c>
      <c r="G72" s="17" t="n">
        <v>0</v>
      </c>
      <c r="H72" s="13" t="n">
        <v>1</v>
      </c>
      <c r="I72" s="13" t="n">
        <v>0</v>
      </c>
      <c r="J72" s="13" t="n">
        <v>0</v>
      </c>
      <c r="K72" s="13" t="n">
        <v>0</v>
      </c>
      <c r="L72" s="17" t="n">
        <v>0</v>
      </c>
      <c r="M72" s="18" t="n">
        <f aca="false">IF(H72=0,"",I72/H72)</f>
        <v>0</v>
      </c>
    </row>
    <row r="73" customFormat="false" ht="15" hidden="false" customHeight="false" outlineLevel="0" collapsed="false">
      <c r="A73" s="13" t="s">
        <v>117</v>
      </c>
      <c r="B73" s="13" t="s">
        <v>169</v>
      </c>
      <c r="C73" s="13" t="n">
        <v>0</v>
      </c>
      <c r="D73" s="13" t="n">
        <v>0</v>
      </c>
      <c r="E73" s="13" t="n">
        <v>0</v>
      </c>
      <c r="F73" s="13" t="n">
        <v>0</v>
      </c>
      <c r="G73" s="17" t="n">
        <v>0</v>
      </c>
      <c r="H73" s="13" t="n">
        <v>27</v>
      </c>
      <c r="I73" s="13" t="n">
        <v>0</v>
      </c>
      <c r="J73" s="13" t="n">
        <v>27</v>
      </c>
      <c r="K73" s="13" t="n">
        <v>54</v>
      </c>
      <c r="L73" s="17" t="n">
        <v>0</v>
      </c>
      <c r="M73" s="18" t="n">
        <f aca="false">IF(H73=0,"",I73/H73)</f>
        <v>0</v>
      </c>
    </row>
    <row r="74" customFormat="false" ht="15" hidden="false" customHeight="false" outlineLevel="0" collapsed="false">
      <c r="A74" s="13" t="s">
        <v>117</v>
      </c>
      <c r="B74" s="13" t="s">
        <v>170</v>
      </c>
      <c r="C74" s="13" t="n">
        <v>0</v>
      </c>
      <c r="D74" s="13" t="n">
        <v>0</v>
      </c>
      <c r="E74" s="13" t="n">
        <v>0</v>
      </c>
      <c r="F74" s="13" t="n">
        <v>0</v>
      </c>
      <c r="G74" s="17" t="n">
        <v>0</v>
      </c>
      <c r="H74" s="13" t="n">
        <v>27</v>
      </c>
      <c r="I74" s="13" t="n">
        <v>0</v>
      </c>
      <c r="J74" s="13" t="n">
        <v>0</v>
      </c>
      <c r="K74" s="13" t="n">
        <v>0</v>
      </c>
      <c r="L74" s="17" t="n">
        <v>0</v>
      </c>
      <c r="M74" s="18" t="n">
        <f aca="false">IF(H74=0,"",I74/H74)</f>
        <v>0</v>
      </c>
    </row>
    <row r="75" customFormat="false" ht="15" hidden="false" customHeight="false" outlineLevel="0" collapsed="false">
      <c r="A75" s="13" t="s">
        <v>117</v>
      </c>
      <c r="B75" s="13" t="s">
        <v>172</v>
      </c>
      <c r="C75" s="13" t="n">
        <v>57</v>
      </c>
      <c r="D75" s="13" t="n">
        <v>0</v>
      </c>
      <c r="E75" s="13" t="n">
        <v>57</v>
      </c>
      <c r="F75" s="13" t="n">
        <v>0</v>
      </c>
      <c r="G75" s="17" t="n">
        <v>0.0166165333333333</v>
      </c>
      <c r="H75" s="13" t="n">
        <v>135</v>
      </c>
      <c r="I75" s="13" t="n">
        <v>1</v>
      </c>
      <c r="J75" s="13" t="n">
        <v>133</v>
      </c>
      <c r="K75" s="13" t="n">
        <v>0</v>
      </c>
      <c r="L75" s="17" t="n">
        <v>0.0386105333333333</v>
      </c>
      <c r="M75" s="18" t="n">
        <f aca="false">IF(H75=0,"",I75/H75)</f>
        <v>0.00740740740740741</v>
      </c>
    </row>
    <row r="76" customFormat="false" ht="15" hidden="false" customHeight="false" outlineLevel="0" collapsed="false">
      <c r="A76" s="13" t="s">
        <v>117</v>
      </c>
      <c r="B76" s="13" t="s">
        <v>174</v>
      </c>
      <c r="C76" s="13" t="n">
        <v>10</v>
      </c>
      <c r="D76" s="13" t="n">
        <v>8</v>
      </c>
      <c r="E76" s="13" t="n">
        <v>0</v>
      </c>
      <c r="F76" s="13" t="n">
        <v>0</v>
      </c>
      <c r="G76" s="17" t="n">
        <v>0.0025695</v>
      </c>
      <c r="H76" s="13" t="n">
        <v>10</v>
      </c>
      <c r="I76" s="13" t="n">
        <v>8</v>
      </c>
      <c r="J76" s="13" t="n">
        <v>0</v>
      </c>
      <c r="K76" s="13" t="n">
        <v>0</v>
      </c>
      <c r="L76" s="17" t="n">
        <v>0.0025695</v>
      </c>
      <c r="M76" s="18" t="n">
        <f aca="false">IF(H76=0,"",I76/H76)</f>
        <v>0.8</v>
      </c>
    </row>
    <row r="77" customFormat="false" ht="15" hidden="false" customHeight="false" outlineLevel="0" collapsed="false">
      <c r="A77" s="13" t="s">
        <v>117</v>
      </c>
      <c r="B77" s="13" t="s">
        <v>175</v>
      </c>
      <c r="C77" s="13" t="n">
        <v>10</v>
      </c>
      <c r="D77" s="13" t="n">
        <v>0</v>
      </c>
      <c r="E77" s="13" t="n">
        <v>0</v>
      </c>
      <c r="F77" s="13" t="n">
        <v>10</v>
      </c>
      <c r="G77" s="17" t="n">
        <v>0</v>
      </c>
      <c r="H77" s="13" t="n">
        <v>10</v>
      </c>
      <c r="I77" s="13" t="n">
        <v>0</v>
      </c>
      <c r="J77" s="13" t="n">
        <v>0</v>
      </c>
      <c r="K77" s="13" t="n">
        <v>10</v>
      </c>
      <c r="L77" s="17" t="n">
        <v>0</v>
      </c>
      <c r="M77" s="18" t="n">
        <f aca="false">IF(H77=0,"",I77/H77)</f>
        <v>0</v>
      </c>
    </row>
    <row r="78" customFormat="false" ht="15" hidden="false" customHeight="false" outlineLevel="0" collapsed="false">
      <c r="A78" s="13" t="s">
        <v>117</v>
      </c>
      <c r="B78" s="13" t="s">
        <v>176</v>
      </c>
      <c r="C78" s="13" t="n">
        <v>47</v>
      </c>
      <c r="D78" s="13" t="n">
        <v>0</v>
      </c>
      <c r="E78" s="13" t="n">
        <v>0</v>
      </c>
      <c r="F78" s="13" t="n">
        <v>0</v>
      </c>
      <c r="G78" s="17" t="n">
        <v>0</v>
      </c>
      <c r="H78" s="13" t="n">
        <v>122</v>
      </c>
      <c r="I78" s="13" t="n">
        <v>0</v>
      </c>
      <c r="J78" s="13" t="n">
        <v>0</v>
      </c>
      <c r="K78" s="13" t="n">
        <v>0</v>
      </c>
      <c r="L78" s="17" t="n">
        <v>0</v>
      </c>
      <c r="M78" s="18" t="n">
        <f aca="false">IF(H78=0,"",I78/H78)</f>
        <v>0</v>
      </c>
    </row>
    <row r="79" customFormat="false" ht="15" hidden="false" customHeight="false" outlineLevel="0" collapsed="false">
      <c r="A79" s="13" t="s">
        <v>207</v>
      </c>
      <c r="B79" s="13" t="s">
        <v>176</v>
      </c>
      <c r="C79" s="13" t="n">
        <v>0</v>
      </c>
      <c r="D79" s="13" t="n">
        <v>0</v>
      </c>
      <c r="E79" s="13" t="n">
        <v>0</v>
      </c>
      <c r="F79" s="13" t="n">
        <v>0</v>
      </c>
      <c r="G79" s="17" t="n">
        <v>0</v>
      </c>
      <c r="H79" s="13" t="n">
        <v>1</v>
      </c>
      <c r="I79" s="13" t="n">
        <v>0</v>
      </c>
      <c r="J79" s="13" t="n">
        <v>0</v>
      </c>
      <c r="K79" s="13" t="n">
        <v>0</v>
      </c>
      <c r="L79" s="17" t="n">
        <v>0</v>
      </c>
      <c r="M79" s="18" t="n">
        <f aca="false">IF(H79=0,"",I79/H79)</f>
        <v>0</v>
      </c>
    </row>
    <row r="80" customFormat="false" ht="15" hidden="false" customHeight="false" outlineLevel="0" collapsed="false">
      <c r="A80" s="13" t="s">
        <v>81</v>
      </c>
      <c r="B80" s="13" t="s">
        <v>169</v>
      </c>
      <c r="C80" s="13" t="n">
        <v>0</v>
      </c>
      <c r="D80" s="13" t="n">
        <v>0</v>
      </c>
      <c r="E80" s="13" t="n">
        <v>0</v>
      </c>
      <c r="F80" s="13" t="n">
        <v>0</v>
      </c>
      <c r="G80" s="17" t="n">
        <v>0</v>
      </c>
      <c r="H80" s="13" t="n">
        <v>9</v>
      </c>
      <c r="I80" s="13" t="n">
        <v>0</v>
      </c>
      <c r="J80" s="13" t="n">
        <v>0</v>
      </c>
      <c r="K80" s="13" t="n">
        <v>18</v>
      </c>
      <c r="L80" s="17" t="n">
        <v>0</v>
      </c>
      <c r="M80" s="18" t="n">
        <f aca="false">IF(H80=0,"",I80/H80)</f>
        <v>0</v>
      </c>
    </row>
    <row r="81" customFormat="false" ht="15" hidden="false" customHeight="false" outlineLevel="0" collapsed="false">
      <c r="A81" s="13" t="s">
        <v>81</v>
      </c>
      <c r="B81" s="13" t="s">
        <v>170</v>
      </c>
      <c r="C81" s="13" t="n">
        <v>17</v>
      </c>
      <c r="D81" s="13" t="n">
        <v>17</v>
      </c>
      <c r="E81" s="13" t="n">
        <v>0</v>
      </c>
      <c r="F81" s="13" t="n">
        <v>0</v>
      </c>
      <c r="G81" s="17" t="n">
        <v>0</v>
      </c>
      <c r="H81" s="13" t="n">
        <v>26</v>
      </c>
      <c r="I81" s="13" t="n">
        <v>17</v>
      </c>
      <c r="J81" s="13" t="n">
        <v>9</v>
      </c>
      <c r="K81" s="13" t="n">
        <v>0</v>
      </c>
      <c r="L81" s="17" t="n">
        <v>0</v>
      </c>
      <c r="M81" s="18" t="n">
        <f aca="false">IF(H81=0,"",I81/H81)</f>
        <v>0.653846153846154</v>
      </c>
    </row>
    <row r="82" customFormat="false" ht="15" hidden="false" customHeight="false" outlineLevel="0" collapsed="false">
      <c r="A82" s="13" t="s">
        <v>81</v>
      </c>
      <c r="B82" s="13" t="s">
        <v>172</v>
      </c>
      <c r="C82" s="13" t="n">
        <v>205</v>
      </c>
      <c r="D82" s="13" t="n">
        <v>82</v>
      </c>
      <c r="E82" s="13" t="n">
        <v>123</v>
      </c>
      <c r="F82" s="13" t="n">
        <v>0</v>
      </c>
      <c r="G82" s="17" t="n">
        <v>0.1332128</v>
      </c>
      <c r="H82" s="13" t="n">
        <v>212</v>
      </c>
      <c r="I82" s="13" t="n">
        <v>88</v>
      </c>
      <c r="J82" s="13" t="n">
        <v>124</v>
      </c>
      <c r="K82" s="13" t="n">
        <v>0</v>
      </c>
      <c r="L82" s="17" t="n">
        <v>0.13576</v>
      </c>
      <c r="M82" s="18" t="n">
        <f aca="false">IF(H82=0,"",I82/H82)</f>
        <v>0.415094339622642</v>
      </c>
    </row>
    <row r="83" customFormat="false" ht="15" hidden="false" customHeight="false" outlineLevel="0" collapsed="false">
      <c r="A83" s="13" t="s">
        <v>81</v>
      </c>
      <c r="B83" s="13" t="s">
        <v>173</v>
      </c>
      <c r="C83" s="13" t="n">
        <v>62</v>
      </c>
      <c r="D83" s="13" t="n">
        <v>61</v>
      </c>
      <c r="E83" s="13" t="n">
        <v>1</v>
      </c>
      <c r="F83" s="13" t="n">
        <v>0</v>
      </c>
      <c r="G83" s="17" t="n">
        <v>0.1297876</v>
      </c>
      <c r="H83" s="13" t="n">
        <v>62</v>
      </c>
      <c r="I83" s="13" t="n">
        <v>61</v>
      </c>
      <c r="J83" s="13" t="n">
        <v>1</v>
      </c>
      <c r="K83" s="13" t="n">
        <v>0</v>
      </c>
      <c r="L83" s="17" t="n">
        <v>0.1297876</v>
      </c>
      <c r="M83" s="18" t="n">
        <f aca="false">IF(H83=0,"",I83/H83)</f>
        <v>0.983870967741936</v>
      </c>
    </row>
    <row r="84" customFormat="false" ht="15" hidden="false" customHeight="false" outlineLevel="0" collapsed="false">
      <c r="A84" s="13" t="s">
        <v>81</v>
      </c>
      <c r="B84" s="13" t="s">
        <v>174</v>
      </c>
      <c r="C84" s="13" t="n">
        <v>0</v>
      </c>
      <c r="D84" s="13" t="n">
        <v>0</v>
      </c>
      <c r="E84" s="13" t="n">
        <v>0</v>
      </c>
      <c r="F84" s="13" t="n">
        <v>0</v>
      </c>
      <c r="G84" s="17" t="n">
        <v>0</v>
      </c>
      <c r="H84" s="13" t="n">
        <v>8</v>
      </c>
      <c r="I84" s="13" t="n">
        <v>5</v>
      </c>
      <c r="J84" s="13" t="n">
        <v>0</v>
      </c>
      <c r="K84" s="13" t="n">
        <v>0</v>
      </c>
      <c r="L84" s="17" t="n">
        <v>0.00279223</v>
      </c>
      <c r="M84" s="18" t="n">
        <f aca="false">IF(H84=0,"",I84/H84)</f>
        <v>0.625</v>
      </c>
    </row>
    <row r="85" customFormat="false" ht="15" hidden="false" customHeight="false" outlineLevel="0" collapsed="false">
      <c r="A85" s="13" t="s">
        <v>81</v>
      </c>
      <c r="B85" s="13" t="s">
        <v>175</v>
      </c>
      <c r="C85" s="13" t="n">
        <v>2</v>
      </c>
      <c r="D85" s="13" t="n">
        <v>0</v>
      </c>
      <c r="E85" s="13" t="n">
        <v>0</v>
      </c>
      <c r="F85" s="13" t="n">
        <v>2</v>
      </c>
      <c r="G85" s="17" t="n">
        <v>0</v>
      </c>
      <c r="H85" s="13" t="n">
        <v>9</v>
      </c>
      <c r="I85" s="13" t="n">
        <v>0</v>
      </c>
      <c r="J85" s="13" t="n">
        <v>0</v>
      </c>
      <c r="K85" s="13" t="n">
        <v>9</v>
      </c>
      <c r="L85" s="17" t="n">
        <v>0</v>
      </c>
      <c r="M85" s="18" t="n">
        <f aca="false">IF(H85=0,"",I85/H85)</f>
        <v>0</v>
      </c>
    </row>
    <row r="86" customFormat="false" ht="15" hidden="false" customHeight="false" outlineLevel="0" collapsed="false">
      <c r="A86" s="13" t="s">
        <v>81</v>
      </c>
      <c r="B86" s="13" t="s">
        <v>176</v>
      </c>
      <c r="C86" s="13" t="n">
        <v>83</v>
      </c>
      <c r="D86" s="13" t="n">
        <v>0</v>
      </c>
      <c r="E86" s="13" t="n">
        <v>0</v>
      </c>
      <c r="F86" s="13" t="n">
        <v>0</v>
      </c>
      <c r="G86" s="17" t="n">
        <v>0</v>
      </c>
      <c r="H86" s="13" t="n">
        <v>84</v>
      </c>
      <c r="I86" s="13" t="n">
        <v>0</v>
      </c>
      <c r="J86" s="13" t="n">
        <v>0</v>
      </c>
      <c r="K86" s="13" t="n">
        <v>0</v>
      </c>
      <c r="L86" s="17" t="n">
        <v>0</v>
      </c>
      <c r="M86" s="18" t="n">
        <f aca="false">IF(H86=0,"",I86/H86)</f>
        <v>0</v>
      </c>
    </row>
    <row r="87" customFormat="false" ht="15" hidden="false" customHeight="false" outlineLevel="0" collapsed="false">
      <c r="A87" s="13" t="s">
        <v>208</v>
      </c>
      <c r="B87" s="13" t="s">
        <v>176</v>
      </c>
      <c r="C87" s="13" t="n">
        <v>0</v>
      </c>
      <c r="D87" s="13" t="n">
        <v>0</v>
      </c>
      <c r="E87" s="13" t="n">
        <v>0</v>
      </c>
      <c r="F87" s="13" t="n">
        <v>0</v>
      </c>
      <c r="G87" s="17" t="n">
        <v>0</v>
      </c>
      <c r="H87" s="13" t="n">
        <v>1</v>
      </c>
      <c r="I87" s="13" t="n">
        <v>0</v>
      </c>
      <c r="J87" s="13" t="n">
        <v>0</v>
      </c>
      <c r="K87" s="13" t="n">
        <v>0</v>
      </c>
      <c r="L87" s="17" t="n">
        <v>0</v>
      </c>
      <c r="M87" s="18" t="n">
        <f aca="false">IF(H87=0,"",I87/H87)</f>
        <v>0</v>
      </c>
    </row>
    <row r="88" customFormat="false" ht="15" hidden="false" customHeight="false" outlineLevel="0" collapsed="false">
      <c r="A88" s="13" t="s">
        <v>71</v>
      </c>
      <c r="B88" s="13" t="s">
        <v>170</v>
      </c>
      <c r="C88" s="13" t="n">
        <v>50</v>
      </c>
      <c r="D88" s="13" t="n">
        <v>50</v>
      </c>
      <c r="E88" s="13" t="n">
        <v>0</v>
      </c>
      <c r="F88" s="13" t="n">
        <v>0</v>
      </c>
      <c r="G88" s="17" t="n">
        <v>0</v>
      </c>
      <c r="H88" s="13" t="n">
        <v>50</v>
      </c>
      <c r="I88" s="13" t="n">
        <v>50</v>
      </c>
      <c r="J88" s="13" t="n">
        <v>0</v>
      </c>
      <c r="K88" s="13" t="n">
        <v>0</v>
      </c>
      <c r="L88" s="17" t="n">
        <v>0</v>
      </c>
      <c r="M88" s="18" t="n">
        <f aca="false">IF(H88=0,"",I88/H88)</f>
        <v>1</v>
      </c>
    </row>
    <row r="89" customFormat="false" ht="15" hidden="false" customHeight="false" outlineLevel="0" collapsed="false">
      <c r="A89" s="13" t="s">
        <v>71</v>
      </c>
      <c r="B89" s="13" t="s">
        <v>172</v>
      </c>
      <c r="C89" s="13" t="n">
        <v>226</v>
      </c>
      <c r="D89" s="13" t="n">
        <v>69</v>
      </c>
      <c r="E89" s="13" t="n">
        <v>152</v>
      </c>
      <c r="F89" s="13" t="n">
        <v>0</v>
      </c>
      <c r="G89" s="17" t="n">
        <v>0.1493629</v>
      </c>
      <c r="H89" s="13" t="n">
        <v>642</v>
      </c>
      <c r="I89" s="13" t="n">
        <v>466</v>
      </c>
      <c r="J89" s="13" t="n">
        <v>162</v>
      </c>
      <c r="K89" s="13" t="n">
        <v>0</v>
      </c>
      <c r="L89" s="17" t="n">
        <v>0.2473401</v>
      </c>
      <c r="M89" s="18" t="n">
        <f aca="false">IF(H89=0,"",I89/H89)</f>
        <v>0.725856697819315</v>
      </c>
    </row>
    <row r="90" customFormat="false" ht="15" hidden="false" customHeight="false" outlineLevel="0" collapsed="false">
      <c r="A90" s="13" t="s">
        <v>71</v>
      </c>
      <c r="B90" s="13" t="s">
        <v>173</v>
      </c>
      <c r="C90" s="13" t="n">
        <v>16</v>
      </c>
      <c r="D90" s="13" t="n">
        <v>11</v>
      </c>
      <c r="E90" s="13" t="n">
        <v>5</v>
      </c>
      <c r="F90" s="13" t="n">
        <v>0</v>
      </c>
      <c r="G90" s="17" t="n">
        <v>0.0210512</v>
      </c>
      <c r="H90" s="13" t="n">
        <v>16</v>
      </c>
      <c r="I90" s="13" t="n">
        <v>11</v>
      </c>
      <c r="J90" s="13" t="n">
        <v>5</v>
      </c>
      <c r="K90" s="13" t="n">
        <v>0</v>
      </c>
      <c r="L90" s="17" t="n">
        <v>0.0210512</v>
      </c>
      <c r="M90" s="18" t="n">
        <f aca="false">IF(H90=0,"",I90/H90)</f>
        <v>0.6875</v>
      </c>
    </row>
    <row r="91" customFormat="false" ht="15" hidden="false" customHeight="false" outlineLevel="0" collapsed="false">
      <c r="A91" s="13" t="s">
        <v>71</v>
      </c>
      <c r="B91" s="13" t="s">
        <v>174</v>
      </c>
      <c r="C91" s="13" t="n">
        <v>0</v>
      </c>
      <c r="D91" s="13" t="n">
        <v>0</v>
      </c>
      <c r="E91" s="13" t="n">
        <v>0</v>
      </c>
      <c r="F91" s="13" t="n">
        <v>0</v>
      </c>
      <c r="G91" s="17" t="n">
        <v>0</v>
      </c>
      <c r="H91" s="13" t="n">
        <v>19</v>
      </c>
      <c r="I91" s="13" t="n">
        <v>17</v>
      </c>
      <c r="J91" s="13" t="n">
        <v>0</v>
      </c>
      <c r="K91" s="13" t="n">
        <v>0</v>
      </c>
      <c r="L91" s="17" t="n">
        <v>0.00578265</v>
      </c>
      <c r="M91" s="18" t="n">
        <f aca="false">IF(H91=0,"",I91/H91)</f>
        <v>0.894736842105263</v>
      </c>
    </row>
    <row r="92" customFormat="false" ht="15" hidden="false" customHeight="false" outlineLevel="0" collapsed="false">
      <c r="A92" s="13" t="s">
        <v>71</v>
      </c>
      <c r="B92" s="13" t="s">
        <v>175</v>
      </c>
      <c r="C92" s="13" t="n">
        <v>0</v>
      </c>
      <c r="D92" s="13" t="n">
        <v>0</v>
      </c>
      <c r="E92" s="13" t="n">
        <v>0</v>
      </c>
      <c r="F92" s="13" t="n">
        <v>0</v>
      </c>
      <c r="G92" s="17" t="n">
        <v>0</v>
      </c>
      <c r="H92" s="13" t="n">
        <v>18</v>
      </c>
      <c r="I92" s="13" t="n">
        <v>0</v>
      </c>
      <c r="J92" s="13" t="n">
        <v>0</v>
      </c>
      <c r="K92" s="13" t="n">
        <v>18</v>
      </c>
      <c r="L92" s="17" t="n">
        <v>0</v>
      </c>
      <c r="M92" s="18" t="n">
        <f aca="false">IF(H92=0,"",I92/H92)</f>
        <v>0</v>
      </c>
    </row>
    <row r="93" customFormat="false" ht="15" hidden="false" customHeight="false" outlineLevel="0" collapsed="false">
      <c r="A93" s="13" t="s">
        <v>71</v>
      </c>
      <c r="B93" s="13" t="s">
        <v>176</v>
      </c>
      <c r="C93" s="13" t="n">
        <v>102</v>
      </c>
      <c r="D93" s="13" t="n">
        <v>0</v>
      </c>
      <c r="E93" s="13" t="n">
        <v>0</v>
      </c>
      <c r="F93" s="13" t="n">
        <v>0</v>
      </c>
      <c r="G93" s="17" t="n">
        <v>0</v>
      </c>
      <c r="H93" s="13" t="n">
        <v>112</v>
      </c>
      <c r="I93" s="13" t="n">
        <v>0</v>
      </c>
      <c r="J93" s="13" t="n">
        <v>0</v>
      </c>
      <c r="K93" s="13" t="n">
        <v>0</v>
      </c>
      <c r="L93" s="17" t="n">
        <v>0</v>
      </c>
      <c r="M93" s="18" t="n">
        <f aca="false">IF(H93=0,"",I93/H93)</f>
        <v>0</v>
      </c>
    </row>
    <row r="94" customFormat="false" ht="15" hidden="false" customHeight="false" outlineLevel="0" collapsed="false">
      <c r="A94" s="13" t="s">
        <v>209</v>
      </c>
      <c r="B94" s="13" t="s">
        <v>176</v>
      </c>
      <c r="C94" s="13" t="n">
        <v>0</v>
      </c>
      <c r="D94" s="13" t="n">
        <v>0</v>
      </c>
      <c r="E94" s="13" t="n">
        <v>0</v>
      </c>
      <c r="F94" s="13" t="n">
        <v>0</v>
      </c>
      <c r="G94" s="17" t="n">
        <v>0</v>
      </c>
      <c r="H94" s="13" t="n">
        <v>1</v>
      </c>
      <c r="I94" s="13" t="n">
        <v>0</v>
      </c>
      <c r="J94" s="13" t="n">
        <v>0</v>
      </c>
      <c r="K94" s="13" t="n">
        <v>0</v>
      </c>
      <c r="L94" s="17" t="n">
        <v>0</v>
      </c>
      <c r="M94" s="18" t="n">
        <f aca="false">IF(H94=0,"",I94/H94)</f>
        <v>0</v>
      </c>
    </row>
    <row r="95" customFormat="false" ht="15" hidden="false" customHeight="false" outlineLevel="0" collapsed="false">
      <c r="A95" s="13" t="s">
        <v>210</v>
      </c>
      <c r="B95" s="13" t="s">
        <v>176</v>
      </c>
      <c r="C95" s="13" t="n">
        <v>0</v>
      </c>
      <c r="D95" s="13" t="n">
        <v>0</v>
      </c>
      <c r="E95" s="13" t="n">
        <v>0</v>
      </c>
      <c r="F95" s="13" t="n">
        <v>0</v>
      </c>
      <c r="G95" s="17" t="n">
        <v>0</v>
      </c>
      <c r="H95" s="13" t="n">
        <v>1</v>
      </c>
      <c r="I95" s="13" t="n">
        <v>0</v>
      </c>
      <c r="J95" s="13" t="n">
        <v>0</v>
      </c>
      <c r="K95" s="13" t="n">
        <v>0</v>
      </c>
      <c r="L95" s="17" t="n">
        <v>0</v>
      </c>
      <c r="M95" s="18" t="n">
        <f aca="false">IF(H95=0,"",I95/H95)</f>
        <v>0</v>
      </c>
    </row>
    <row r="96" customFormat="false" ht="15" hidden="false" customHeight="false" outlineLevel="0" collapsed="false">
      <c r="A96" s="13" t="s">
        <v>211</v>
      </c>
      <c r="B96" s="13" t="s">
        <v>176</v>
      </c>
      <c r="C96" s="13" t="n">
        <v>0</v>
      </c>
      <c r="D96" s="13" t="n">
        <v>0</v>
      </c>
      <c r="E96" s="13" t="n">
        <v>0</v>
      </c>
      <c r="F96" s="13" t="n">
        <v>0</v>
      </c>
      <c r="G96" s="17" t="n">
        <v>0</v>
      </c>
      <c r="H96" s="13" t="n">
        <v>1</v>
      </c>
      <c r="I96" s="13" t="n">
        <v>0</v>
      </c>
      <c r="J96" s="13" t="n">
        <v>0</v>
      </c>
      <c r="K96" s="13" t="n">
        <v>0</v>
      </c>
      <c r="L96" s="17" t="n">
        <v>0</v>
      </c>
      <c r="M96" s="18" t="n">
        <f aca="false">IF(H96=0,"",I96/H96)</f>
        <v>0</v>
      </c>
    </row>
    <row r="97" customFormat="false" ht="15" hidden="false" customHeight="false" outlineLevel="0" collapsed="false">
      <c r="A97" s="13" t="s">
        <v>212</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213</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214</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215</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216</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217</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218</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219</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220</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221</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222</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223</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224</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225</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226</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227</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228</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89</v>
      </c>
      <c r="B114" s="13" t="s">
        <v>169</v>
      </c>
      <c r="C114" s="13" t="n">
        <v>0</v>
      </c>
      <c r="D114" s="13" t="n">
        <v>0</v>
      </c>
      <c r="E114" s="13" t="n">
        <v>0</v>
      </c>
      <c r="F114" s="13" t="n">
        <v>0</v>
      </c>
      <c r="G114" s="17" t="n">
        <v>0</v>
      </c>
      <c r="H114" s="13" t="n">
        <v>67</v>
      </c>
      <c r="I114" s="13" t="n">
        <v>0</v>
      </c>
      <c r="J114" s="13" t="n">
        <v>0</v>
      </c>
      <c r="K114" s="13" t="n">
        <v>134</v>
      </c>
      <c r="L114" s="17" t="n">
        <v>0</v>
      </c>
      <c r="M114" s="18" t="n">
        <f aca="false">IF(H114=0,"",I114/H114)</f>
        <v>0</v>
      </c>
    </row>
    <row r="115" customFormat="false" ht="15" hidden="false" customHeight="false" outlineLevel="0" collapsed="false">
      <c r="A115" s="13" t="s">
        <v>89</v>
      </c>
      <c r="B115" s="13" t="s">
        <v>170</v>
      </c>
      <c r="C115" s="13" t="n">
        <v>66</v>
      </c>
      <c r="D115" s="13" t="n">
        <v>1</v>
      </c>
      <c r="E115" s="13" t="n">
        <v>65</v>
      </c>
      <c r="F115" s="13" t="n">
        <v>0</v>
      </c>
      <c r="G115" s="17" t="n">
        <v>0</v>
      </c>
      <c r="H115" s="13" t="n">
        <v>132</v>
      </c>
      <c r="I115" s="13" t="n">
        <v>1</v>
      </c>
      <c r="J115" s="13" t="n">
        <v>131</v>
      </c>
      <c r="K115" s="13" t="n">
        <v>0</v>
      </c>
      <c r="L115" s="17" t="n">
        <v>0</v>
      </c>
      <c r="M115" s="18" t="n">
        <f aca="false">IF(H115=0,"",I115/H115)</f>
        <v>0.00757575757575758</v>
      </c>
    </row>
    <row r="116" customFormat="false" ht="15" hidden="false" customHeight="false" outlineLevel="0" collapsed="false">
      <c r="A116" s="13" t="s">
        <v>89</v>
      </c>
      <c r="B116" s="13" t="s">
        <v>172</v>
      </c>
      <c r="C116" s="13" t="n">
        <v>377</v>
      </c>
      <c r="D116" s="13" t="n">
        <v>9</v>
      </c>
      <c r="E116" s="13" t="n">
        <v>368</v>
      </c>
      <c r="F116" s="13" t="n">
        <v>0</v>
      </c>
      <c r="G116" s="17" t="n">
        <v>0.0831766</v>
      </c>
      <c r="H116" s="13" t="n">
        <v>397</v>
      </c>
      <c r="I116" s="13" t="n">
        <v>15</v>
      </c>
      <c r="J116" s="13" t="n">
        <v>382</v>
      </c>
      <c r="K116" s="13" t="n">
        <v>0</v>
      </c>
      <c r="L116" s="17" t="n">
        <v>0.0868058</v>
      </c>
      <c r="M116" s="18" t="n">
        <f aca="false">IF(H116=0,"",I116/H116)</f>
        <v>0.0377833753148615</v>
      </c>
    </row>
    <row r="117" customFormat="false" ht="15" hidden="false" customHeight="false" outlineLevel="0" collapsed="false">
      <c r="A117" s="13" t="s">
        <v>89</v>
      </c>
      <c r="B117" s="13" t="s">
        <v>173</v>
      </c>
      <c r="C117" s="13" t="n">
        <v>51</v>
      </c>
      <c r="D117" s="13" t="n">
        <v>34</v>
      </c>
      <c r="E117" s="13" t="n">
        <v>17</v>
      </c>
      <c r="F117" s="13" t="n">
        <v>0</v>
      </c>
      <c r="G117" s="17" t="n">
        <v>0.1481136</v>
      </c>
      <c r="H117" s="13" t="n">
        <v>51</v>
      </c>
      <c r="I117" s="13" t="n">
        <v>34</v>
      </c>
      <c r="J117" s="13" t="n">
        <v>17</v>
      </c>
      <c r="K117" s="13" t="n">
        <v>0</v>
      </c>
      <c r="L117" s="17" t="n">
        <v>0.1481136</v>
      </c>
      <c r="M117" s="18" t="n">
        <f aca="false">IF(H117=0,"",I117/H117)</f>
        <v>0.666666666666667</v>
      </c>
    </row>
    <row r="118" customFormat="false" ht="15" hidden="false" customHeight="false" outlineLevel="0" collapsed="false">
      <c r="A118" s="13" t="s">
        <v>89</v>
      </c>
      <c r="B118" s="13" t="s">
        <v>176</v>
      </c>
      <c r="C118" s="13" t="n">
        <v>205</v>
      </c>
      <c r="D118" s="13" t="n">
        <v>0</v>
      </c>
      <c r="E118" s="13" t="n">
        <v>0</v>
      </c>
      <c r="F118" s="13" t="n">
        <v>0</v>
      </c>
      <c r="G118" s="17" t="n">
        <v>0</v>
      </c>
      <c r="H118" s="13" t="n">
        <v>216</v>
      </c>
      <c r="I118" s="13" t="n">
        <v>0</v>
      </c>
      <c r="J118" s="13" t="n">
        <v>0</v>
      </c>
      <c r="K118" s="13" t="n">
        <v>0</v>
      </c>
      <c r="L118" s="17" t="n">
        <v>0</v>
      </c>
      <c r="M118" s="18" t="n">
        <f aca="false">IF(H118=0,"",I118/H118)</f>
        <v>0</v>
      </c>
    </row>
    <row r="119" customFormat="false" ht="15" hidden="false" customHeight="false" outlineLevel="0" collapsed="false">
      <c r="A119" s="13" t="s">
        <v>229</v>
      </c>
      <c r="B119" s="13" t="s">
        <v>176</v>
      </c>
      <c r="C119" s="13" t="n">
        <v>0</v>
      </c>
      <c r="D119" s="13" t="n">
        <v>0</v>
      </c>
      <c r="E119" s="13" t="n">
        <v>0</v>
      </c>
      <c r="F119" s="13" t="n">
        <v>0</v>
      </c>
      <c r="G119" s="17" t="n">
        <v>0</v>
      </c>
      <c r="H119" s="13" t="n">
        <v>1</v>
      </c>
      <c r="I119" s="13" t="n">
        <v>0</v>
      </c>
      <c r="J119" s="13" t="n">
        <v>0</v>
      </c>
      <c r="K119" s="13" t="n">
        <v>0</v>
      </c>
      <c r="L119" s="17" t="n">
        <v>0</v>
      </c>
      <c r="M119" s="18" t="n">
        <f aca="false">IF(H119=0,"",I119/H119)</f>
        <v>0</v>
      </c>
    </row>
    <row r="120" customFormat="false" ht="15" hidden="false" customHeight="false" outlineLevel="0" collapsed="false">
      <c r="A120" s="13" t="s">
        <v>230</v>
      </c>
      <c r="B120" s="13" t="s">
        <v>176</v>
      </c>
      <c r="C120" s="13" t="n">
        <v>0</v>
      </c>
      <c r="D120" s="13" t="n">
        <v>0</v>
      </c>
      <c r="E120" s="13" t="n">
        <v>0</v>
      </c>
      <c r="F120" s="13" t="n">
        <v>0</v>
      </c>
      <c r="G120" s="17" t="n">
        <v>0</v>
      </c>
      <c r="H120" s="13" t="n">
        <v>1</v>
      </c>
      <c r="I120" s="13" t="n">
        <v>0</v>
      </c>
      <c r="J120" s="13" t="n">
        <v>0</v>
      </c>
      <c r="K120" s="13" t="n">
        <v>0</v>
      </c>
      <c r="L120" s="17" t="n">
        <v>0</v>
      </c>
      <c r="M120" s="18" t="n">
        <f aca="false">IF(H120=0,"",I120/H120)</f>
        <v>0</v>
      </c>
    </row>
    <row r="121" customFormat="false" ht="15" hidden="false" customHeight="false" outlineLevel="0" collapsed="false">
      <c r="A121" s="13" t="s">
        <v>125</v>
      </c>
      <c r="B121" s="13" t="s">
        <v>170</v>
      </c>
      <c r="C121" s="13" t="n">
        <v>1</v>
      </c>
      <c r="D121" s="13" t="n">
        <v>1</v>
      </c>
      <c r="E121" s="13" t="n">
        <v>0</v>
      </c>
      <c r="F121" s="13" t="n">
        <v>0</v>
      </c>
      <c r="G121" s="17" t="n">
        <v>0</v>
      </c>
      <c r="H121" s="13" t="n">
        <v>1</v>
      </c>
      <c r="I121" s="13" t="n">
        <v>1</v>
      </c>
      <c r="J121" s="13" t="n">
        <v>0</v>
      </c>
      <c r="K121" s="13" t="n">
        <v>0</v>
      </c>
      <c r="L121" s="17" t="n">
        <v>0</v>
      </c>
      <c r="M121" s="18" t="n">
        <f aca="false">IF(H121=0,"",I121/H121)</f>
        <v>1</v>
      </c>
    </row>
    <row r="122" customFormat="false" ht="15" hidden="false" customHeight="false" outlineLevel="0" collapsed="false">
      <c r="A122" s="13" t="s">
        <v>125</v>
      </c>
      <c r="B122" s="13" t="s">
        <v>172</v>
      </c>
      <c r="C122" s="13" t="n">
        <v>23</v>
      </c>
      <c r="D122" s="13" t="n">
        <v>0</v>
      </c>
      <c r="E122" s="13" t="n">
        <v>23</v>
      </c>
      <c r="F122" s="13" t="n">
        <v>0</v>
      </c>
      <c r="G122" s="17" t="n">
        <v>0.0250016</v>
      </c>
      <c r="H122" s="13" t="n">
        <v>23</v>
      </c>
      <c r="I122" s="13" t="n">
        <v>0</v>
      </c>
      <c r="J122" s="13" t="n">
        <v>23</v>
      </c>
      <c r="K122" s="13" t="n">
        <v>0</v>
      </c>
      <c r="L122" s="17" t="n">
        <v>0.0250016</v>
      </c>
      <c r="M122" s="18" t="n">
        <f aca="false">IF(H122=0,"",I122/H122)</f>
        <v>0</v>
      </c>
    </row>
    <row r="123" customFormat="false" ht="15" hidden="false" customHeight="false" outlineLevel="0" collapsed="false">
      <c r="A123" s="13" t="s">
        <v>125</v>
      </c>
      <c r="B123" s="13" t="s">
        <v>175</v>
      </c>
      <c r="C123" s="13" t="n">
        <v>0</v>
      </c>
      <c r="D123" s="13" t="n">
        <v>0</v>
      </c>
      <c r="E123" s="13" t="n">
        <v>0</v>
      </c>
      <c r="F123" s="13" t="n">
        <v>0</v>
      </c>
      <c r="G123" s="17" t="n">
        <v>0</v>
      </c>
      <c r="H123" s="13" t="n">
        <v>16</v>
      </c>
      <c r="I123" s="13" t="n">
        <v>0</v>
      </c>
      <c r="J123" s="13" t="n">
        <v>0</v>
      </c>
      <c r="K123" s="13" t="n">
        <v>16</v>
      </c>
      <c r="L123" s="17" t="n">
        <v>0</v>
      </c>
      <c r="M123" s="18" t="n">
        <f aca="false">IF(H123=0,"",I123/H123)</f>
        <v>0</v>
      </c>
    </row>
    <row r="124" customFormat="false" ht="15" hidden="false" customHeight="false" outlineLevel="0" collapsed="false">
      <c r="A124" s="13" t="s">
        <v>125</v>
      </c>
      <c r="B124" s="13" t="s">
        <v>176</v>
      </c>
      <c r="C124" s="13" t="n">
        <v>18</v>
      </c>
      <c r="D124" s="13" t="n">
        <v>0</v>
      </c>
      <c r="E124" s="13" t="n">
        <v>0</v>
      </c>
      <c r="F124" s="13" t="n">
        <v>0</v>
      </c>
      <c r="G124" s="17" t="n">
        <v>0</v>
      </c>
      <c r="H124" s="13" t="n">
        <v>18</v>
      </c>
      <c r="I124" s="13" t="n">
        <v>0</v>
      </c>
      <c r="J124" s="13" t="n">
        <v>0</v>
      </c>
      <c r="K124" s="13" t="n">
        <v>0</v>
      </c>
      <c r="L124" s="17" t="n">
        <v>0</v>
      </c>
      <c r="M124" s="18" t="n">
        <f aca="false">IF(H124=0,"",I124/H124)</f>
        <v>0</v>
      </c>
    </row>
    <row r="125" customFormat="false" ht="15" hidden="false" customHeight="false" outlineLevel="0" collapsed="false">
      <c r="A125" s="13" t="s">
        <v>231</v>
      </c>
      <c r="B125" s="13" t="s">
        <v>176</v>
      </c>
      <c r="C125" s="13" t="n">
        <v>0</v>
      </c>
      <c r="D125" s="13" t="n">
        <v>0</v>
      </c>
      <c r="E125" s="13" t="n">
        <v>0</v>
      </c>
      <c r="F125" s="13" t="n">
        <v>0</v>
      </c>
      <c r="G125" s="17" t="n">
        <v>0</v>
      </c>
      <c r="H125" s="13" t="n">
        <v>1</v>
      </c>
      <c r="I125" s="13" t="n">
        <v>0</v>
      </c>
      <c r="J125" s="13" t="n">
        <v>0</v>
      </c>
      <c r="K125" s="13" t="n">
        <v>0</v>
      </c>
      <c r="L125" s="17" t="n">
        <v>0</v>
      </c>
      <c r="M125" s="18" t="n">
        <f aca="false">IF(H125=0,"",I125/H125)</f>
        <v>0</v>
      </c>
    </row>
    <row r="126" customFormat="false" ht="15" hidden="false" customHeight="false" outlineLevel="0" collapsed="false">
      <c r="A126" s="13" t="s">
        <v>232</v>
      </c>
      <c r="B126" s="13" t="s">
        <v>176</v>
      </c>
      <c r="C126" s="13" t="n">
        <v>0</v>
      </c>
      <c r="D126" s="13" t="n">
        <v>0</v>
      </c>
      <c r="E126" s="13" t="n">
        <v>0</v>
      </c>
      <c r="F126" s="13" t="n">
        <v>0</v>
      </c>
      <c r="G126" s="17" t="n">
        <v>0</v>
      </c>
      <c r="H126" s="13" t="n">
        <v>1</v>
      </c>
      <c r="I126" s="13" t="n">
        <v>0</v>
      </c>
      <c r="J126" s="13" t="n">
        <v>0</v>
      </c>
      <c r="K126" s="13" t="n">
        <v>0</v>
      </c>
      <c r="L126" s="17" t="n">
        <v>0</v>
      </c>
      <c r="M126" s="18" t="n">
        <f aca="false">IF(H126=0,"",I126/H126)</f>
        <v>0</v>
      </c>
    </row>
    <row r="127" customFormat="false" ht="15" hidden="false" customHeight="false" outlineLevel="0" collapsed="false">
      <c r="A127" s="13" t="s">
        <v>233</v>
      </c>
      <c r="B127" s="13" t="s">
        <v>176</v>
      </c>
      <c r="C127" s="13" t="n">
        <v>0</v>
      </c>
      <c r="D127" s="13" t="n">
        <v>0</v>
      </c>
      <c r="E127" s="13" t="n">
        <v>0</v>
      </c>
      <c r="F127" s="13" t="n">
        <v>0</v>
      </c>
      <c r="G127" s="17" t="n">
        <v>0</v>
      </c>
      <c r="H127" s="13" t="n">
        <v>1</v>
      </c>
      <c r="I127" s="13" t="n">
        <v>0</v>
      </c>
      <c r="J127" s="13" t="n">
        <v>0</v>
      </c>
      <c r="K127" s="13" t="n">
        <v>0</v>
      </c>
      <c r="L127" s="17" t="n">
        <v>0</v>
      </c>
      <c r="M127" s="18" t="n">
        <f aca="false">IF(H127=0,"",I127/H127)</f>
        <v>0</v>
      </c>
    </row>
    <row r="128" customFormat="false" ht="15" hidden="false" customHeight="false" outlineLevel="0" collapsed="false">
      <c r="A128" s="13" t="s">
        <v>234</v>
      </c>
      <c r="B128" s="13" t="s">
        <v>176</v>
      </c>
      <c r="C128" s="13" t="n">
        <v>0</v>
      </c>
      <c r="D128" s="13" t="n">
        <v>0</v>
      </c>
      <c r="E128" s="13" t="n">
        <v>0</v>
      </c>
      <c r="F128" s="13" t="n">
        <v>0</v>
      </c>
      <c r="G128" s="17" t="n">
        <v>0</v>
      </c>
      <c r="H128" s="13" t="n">
        <v>1</v>
      </c>
      <c r="I128" s="13" t="n">
        <v>0</v>
      </c>
      <c r="J128" s="13" t="n">
        <v>0</v>
      </c>
      <c r="K128" s="13" t="n">
        <v>0</v>
      </c>
      <c r="L128" s="17" t="n">
        <v>0</v>
      </c>
      <c r="M128" s="18" t="n">
        <f aca="false">IF(H128=0,"",I128/H128)</f>
        <v>0</v>
      </c>
    </row>
    <row r="129" customFormat="false" ht="15" hidden="false" customHeight="false" outlineLevel="0" collapsed="false">
      <c r="A129" s="13" t="s">
        <v>235</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236</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237</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238</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239</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240</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241</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242</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243</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244</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245</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246</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247</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248</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249</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250</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251</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252</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253</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254</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255</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256</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257</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258</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259</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260</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261</v>
      </c>
      <c r="B155" s="13" t="s">
        <v>176</v>
      </c>
      <c r="C155" s="13" t="n">
        <v>0</v>
      </c>
      <c r="D155" s="13" t="n">
        <v>0</v>
      </c>
      <c r="E155" s="13" t="n">
        <v>0</v>
      </c>
      <c r="F155" s="13" t="n">
        <v>0</v>
      </c>
      <c r="G155" s="17" t="n">
        <v>0</v>
      </c>
      <c r="H155" s="13" t="n">
        <v>1</v>
      </c>
      <c r="I155" s="13" t="n">
        <v>0</v>
      </c>
      <c r="J155" s="13" t="n">
        <v>0</v>
      </c>
      <c r="K155" s="13" t="n">
        <v>0</v>
      </c>
      <c r="L155" s="17" t="n">
        <v>0</v>
      </c>
      <c r="M155" s="18" t="n">
        <f aca="false">IF(H155=0,"",I155/H155)</f>
        <v>0</v>
      </c>
    </row>
    <row r="156" customFormat="false" ht="15" hidden="false" customHeight="false" outlineLevel="0" collapsed="false">
      <c r="A156" s="13" t="s">
        <v>262</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263</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264</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265</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266</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267</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268</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269</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149</v>
      </c>
      <c r="B164" s="13" t="s">
        <v>170</v>
      </c>
      <c r="C164" s="13" t="n">
        <v>3</v>
      </c>
      <c r="D164" s="13" t="n">
        <v>3</v>
      </c>
      <c r="E164" s="13" t="n">
        <v>0</v>
      </c>
      <c r="F164" s="13" t="n">
        <v>0</v>
      </c>
      <c r="G164" s="17" t="n">
        <v>0</v>
      </c>
      <c r="H164" s="13" t="n">
        <v>4</v>
      </c>
      <c r="I164" s="13" t="n">
        <v>3</v>
      </c>
      <c r="J164" s="13" t="n">
        <v>1</v>
      </c>
      <c r="K164" s="13" t="n">
        <v>0</v>
      </c>
      <c r="L164" s="17" t="n">
        <v>0</v>
      </c>
      <c r="M164" s="18" t="n">
        <f aca="false">IF(H164=0,"",I164/H164)</f>
        <v>0.75</v>
      </c>
    </row>
    <row r="165" customFormat="false" ht="15" hidden="false" customHeight="false" outlineLevel="0" collapsed="false">
      <c r="A165" s="13" t="s">
        <v>149</v>
      </c>
      <c r="B165" s="13" t="s">
        <v>172</v>
      </c>
      <c r="C165" s="13" t="n">
        <v>16</v>
      </c>
      <c r="D165" s="13" t="n">
        <v>10</v>
      </c>
      <c r="E165" s="13" t="n">
        <v>5</v>
      </c>
      <c r="F165" s="13" t="n">
        <v>0</v>
      </c>
      <c r="G165" s="17" t="n">
        <v>0.006272</v>
      </c>
      <c r="H165" s="13" t="n">
        <v>16</v>
      </c>
      <c r="I165" s="13" t="n">
        <v>10</v>
      </c>
      <c r="J165" s="13" t="n">
        <v>5</v>
      </c>
      <c r="K165" s="13" t="n">
        <v>0</v>
      </c>
      <c r="L165" s="17" t="n">
        <v>0.006272</v>
      </c>
      <c r="M165" s="18" t="n">
        <f aca="false">IF(H165=0,"",I165/H165)</f>
        <v>0.625</v>
      </c>
    </row>
    <row r="166" customFormat="false" ht="15" hidden="false" customHeight="false" outlineLevel="0" collapsed="false">
      <c r="A166" s="13" t="s">
        <v>149</v>
      </c>
      <c r="B166" s="13" t="s">
        <v>173</v>
      </c>
      <c r="C166" s="13" t="n">
        <v>3</v>
      </c>
      <c r="D166" s="13" t="n">
        <v>1</v>
      </c>
      <c r="E166" s="13" t="n">
        <v>2</v>
      </c>
      <c r="F166" s="13" t="n">
        <v>0</v>
      </c>
      <c r="G166" s="17" t="n">
        <v>0.0038712</v>
      </c>
      <c r="H166" s="13" t="n">
        <v>3</v>
      </c>
      <c r="I166" s="13" t="n">
        <v>1</v>
      </c>
      <c r="J166" s="13" t="n">
        <v>2</v>
      </c>
      <c r="K166" s="13" t="n">
        <v>0</v>
      </c>
      <c r="L166" s="17" t="n">
        <v>0.0038712</v>
      </c>
      <c r="M166" s="18" t="n">
        <f aca="false">IF(H166=0,"",I166/H166)</f>
        <v>0.333333333333333</v>
      </c>
    </row>
    <row r="167" customFormat="false" ht="15" hidden="false" customHeight="false" outlineLevel="0" collapsed="false">
      <c r="A167" s="13" t="s">
        <v>149</v>
      </c>
      <c r="B167" s="13" t="s">
        <v>174</v>
      </c>
      <c r="C167" s="13" t="n">
        <v>23</v>
      </c>
      <c r="D167" s="13" t="n">
        <v>18</v>
      </c>
      <c r="E167" s="13" t="n">
        <v>0</v>
      </c>
      <c r="F167" s="13" t="n">
        <v>0</v>
      </c>
      <c r="G167" s="17" t="n">
        <v>0.0071177</v>
      </c>
      <c r="H167" s="13" t="n">
        <v>23</v>
      </c>
      <c r="I167" s="13" t="n">
        <v>18</v>
      </c>
      <c r="J167" s="13" t="n">
        <v>0</v>
      </c>
      <c r="K167" s="13" t="n">
        <v>0</v>
      </c>
      <c r="L167" s="17" t="n">
        <v>0.0071177</v>
      </c>
      <c r="M167" s="18" t="n">
        <f aca="false">IF(H167=0,"",I167/H167)</f>
        <v>0.782608695652174</v>
      </c>
    </row>
    <row r="168" customFormat="false" ht="15" hidden="false" customHeight="false" outlineLevel="0" collapsed="false">
      <c r="A168" s="13" t="s">
        <v>149</v>
      </c>
      <c r="B168" s="13" t="s">
        <v>175</v>
      </c>
      <c r="C168" s="13" t="n">
        <v>20</v>
      </c>
      <c r="D168" s="13" t="n">
        <v>0</v>
      </c>
      <c r="E168" s="13" t="n">
        <v>0</v>
      </c>
      <c r="F168" s="13" t="n">
        <v>20</v>
      </c>
      <c r="G168" s="17" t="n">
        <v>0</v>
      </c>
      <c r="H168" s="13" t="n">
        <v>20</v>
      </c>
      <c r="I168" s="13" t="n">
        <v>0</v>
      </c>
      <c r="J168" s="13" t="n">
        <v>0</v>
      </c>
      <c r="K168" s="13" t="n">
        <v>20</v>
      </c>
      <c r="L168" s="17" t="n">
        <v>0</v>
      </c>
      <c r="M168" s="18" t="n">
        <f aca="false">IF(H168=0,"",I168/H168)</f>
        <v>0</v>
      </c>
    </row>
    <row r="169" customFormat="false" ht="15" hidden="false" customHeight="false" outlineLevel="0" collapsed="false">
      <c r="A169" s="13" t="s">
        <v>149</v>
      </c>
      <c r="B169" s="13" t="s">
        <v>176</v>
      </c>
      <c r="C169" s="13" t="n">
        <v>4</v>
      </c>
      <c r="D169" s="13" t="n">
        <v>0</v>
      </c>
      <c r="E169" s="13" t="n">
        <v>0</v>
      </c>
      <c r="F169" s="13" t="n">
        <v>0</v>
      </c>
      <c r="G169" s="17" t="n">
        <v>0</v>
      </c>
      <c r="H169" s="13" t="n">
        <v>4</v>
      </c>
      <c r="I169" s="13" t="n">
        <v>0</v>
      </c>
      <c r="J169" s="13" t="n">
        <v>0</v>
      </c>
      <c r="K169" s="13" t="n">
        <v>0</v>
      </c>
      <c r="L169" s="17" t="n">
        <v>0</v>
      </c>
      <c r="M169" s="18" t="n">
        <f aca="false">IF(H169=0,"",I169/H169)</f>
        <v>0</v>
      </c>
    </row>
    <row r="170" customFormat="false" ht="15" hidden="false" customHeight="false" outlineLevel="0" collapsed="false">
      <c r="A170" s="13" t="s">
        <v>270</v>
      </c>
      <c r="B170" s="13" t="s">
        <v>176</v>
      </c>
      <c r="C170" s="13" t="n">
        <v>0</v>
      </c>
      <c r="D170" s="13" t="n">
        <v>0</v>
      </c>
      <c r="E170" s="13" t="n">
        <v>0</v>
      </c>
      <c r="F170" s="13" t="n">
        <v>0</v>
      </c>
      <c r="G170" s="17" t="n">
        <v>0</v>
      </c>
      <c r="H170" s="13" t="n">
        <v>1</v>
      </c>
      <c r="I170" s="13" t="n">
        <v>0</v>
      </c>
      <c r="J170" s="13" t="n">
        <v>0</v>
      </c>
      <c r="K170" s="13" t="n">
        <v>0</v>
      </c>
      <c r="L170" s="17" t="n">
        <v>0</v>
      </c>
      <c r="M170" s="18" t="n">
        <f aca="false">IF(H170=0,"",I170/H170)</f>
        <v>0</v>
      </c>
    </row>
    <row r="171" customFormat="false" ht="15" hidden="false" customHeight="false" outlineLevel="0" collapsed="false">
      <c r="A171" s="13" t="s">
        <v>151</v>
      </c>
      <c r="B171" s="13" t="s">
        <v>170</v>
      </c>
      <c r="C171" s="13" t="n">
        <v>2</v>
      </c>
      <c r="D171" s="13" t="n">
        <v>2</v>
      </c>
      <c r="E171" s="13" t="n">
        <v>0</v>
      </c>
      <c r="F171" s="13" t="n">
        <v>0</v>
      </c>
      <c r="G171" s="17" t="n">
        <v>0</v>
      </c>
      <c r="H171" s="13" t="n">
        <v>2</v>
      </c>
      <c r="I171" s="13" t="n">
        <v>2</v>
      </c>
      <c r="J171" s="13" t="n">
        <v>0</v>
      </c>
      <c r="K171" s="13" t="n">
        <v>0</v>
      </c>
      <c r="L171" s="17" t="n">
        <v>0</v>
      </c>
      <c r="M171" s="18" t="n">
        <f aca="false">IF(H171=0,"",I171/H171)</f>
        <v>1</v>
      </c>
    </row>
    <row r="172" customFormat="false" ht="15" hidden="false" customHeight="false" outlineLevel="0" collapsed="false">
      <c r="A172" s="13" t="s">
        <v>151</v>
      </c>
      <c r="B172" s="13" t="s">
        <v>172</v>
      </c>
      <c r="C172" s="13" t="n">
        <v>12</v>
      </c>
      <c r="D172" s="13" t="n">
        <v>6</v>
      </c>
      <c r="E172" s="13" t="n">
        <v>4</v>
      </c>
      <c r="F172" s="13" t="n">
        <v>0</v>
      </c>
      <c r="G172" s="17" t="n">
        <v>0.0080172</v>
      </c>
      <c r="H172" s="13" t="n">
        <v>12</v>
      </c>
      <c r="I172" s="13" t="n">
        <v>6</v>
      </c>
      <c r="J172" s="13" t="n">
        <v>4</v>
      </c>
      <c r="K172" s="13" t="n">
        <v>0</v>
      </c>
      <c r="L172" s="17" t="n">
        <v>0.0080172</v>
      </c>
      <c r="M172" s="18" t="n">
        <f aca="false">IF(H172=0,"",I172/H172)</f>
        <v>0.5</v>
      </c>
    </row>
    <row r="173" customFormat="false" ht="15" hidden="false" customHeight="false" outlineLevel="0" collapsed="false">
      <c r="A173" s="13" t="s">
        <v>151</v>
      </c>
      <c r="B173" s="13" t="s">
        <v>173</v>
      </c>
      <c r="C173" s="13" t="n">
        <v>2</v>
      </c>
      <c r="D173" s="13" t="n">
        <v>0</v>
      </c>
      <c r="E173" s="13" t="n">
        <v>2</v>
      </c>
      <c r="F173" s="13" t="n">
        <v>0</v>
      </c>
      <c r="G173" s="17" t="n">
        <v>0.0017632</v>
      </c>
      <c r="H173" s="13" t="n">
        <v>2</v>
      </c>
      <c r="I173" s="13" t="n">
        <v>0</v>
      </c>
      <c r="J173" s="13" t="n">
        <v>2</v>
      </c>
      <c r="K173" s="13" t="n">
        <v>0</v>
      </c>
      <c r="L173" s="17" t="n">
        <v>0.0017632</v>
      </c>
      <c r="M173" s="18" t="n">
        <f aca="false">IF(H173=0,"",I173/H173)</f>
        <v>0</v>
      </c>
    </row>
    <row r="174" customFormat="false" ht="15" hidden="false" customHeight="false" outlineLevel="0" collapsed="false">
      <c r="A174" s="13" t="s">
        <v>151</v>
      </c>
      <c r="B174" s="13" t="s">
        <v>174</v>
      </c>
      <c r="C174" s="13" t="n">
        <v>80</v>
      </c>
      <c r="D174" s="13" t="n">
        <v>40</v>
      </c>
      <c r="E174" s="13" t="n">
        <v>1</v>
      </c>
      <c r="F174" s="13" t="n">
        <v>0</v>
      </c>
      <c r="G174" s="17" t="n">
        <v>0.03680443</v>
      </c>
      <c r="H174" s="13" t="n">
        <v>80</v>
      </c>
      <c r="I174" s="13" t="n">
        <v>40</v>
      </c>
      <c r="J174" s="13" t="n">
        <v>1</v>
      </c>
      <c r="K174" s="13" t="n">
        <v>0</v>
      </c>
      <c r="L174" s="17" t="n">
        <v>0.03680443</v>
      </c>
      <c r="M174" s="18" t="n">
        <f aca="false">IF(H174=0,"",I174/H174)</f>
        <v>0.5</v>
      </c>
    </row>
    <row r="175" customFormat="false" ht="15" hidden="false" customHeight="false" outlineLevel="0" collapsed="false">
      <c r="A175" s="13" t="s">
        <v>151</v>
      </c>
      <c r="B175" s="13" t="s">
        <v>175</v>
      </c>
      <c r="C175" s="13" t="n">
        <v>47</v>
      </c>
      <c r="D175" s="13" t="n">
        <v>0</v>
      </c>
      <c r="E175" s="13" t="n">
        <v>0</v>
      </c>
      <c r="F175" s="13" t="n">
        <v>47</v>
      </c>
      <c r="G175" s="17" t="n">
        <v>0</v>
      </c>
      <c r="H175" s="13" t="n">
        <v>47</v>
      </c>
      <c r="I175" s="13" t="n">
        <v>0</v>
      </c>
      <c r="J175" s="13" t="n">
        <v>0</v>
      </c>
      <c r="K175" s="13" t="n">
        <v>47</v>
      </c>
      <c r="L175" s="17" t="n">
        <v>0</v>
      </c>
      <c r="M175" s="18" t="n">
        <f aca="false">IF(H175=0,"",I175/H175)</f>
        <v>0</v>
      </c>
    </row>
    <row r="176" customFormat="false" ht="15" hidden="false" customHeight="false" outlineLevel="0" collapsed="false">
      <c r="A176" s="13" t="s">
        <v>151</v>
      </c>
      <c r="B176" s="13" t="s">
        <v>176</v>
      </c>
      <c r="C176" s="13" t="n">
        <v>2</v>
      </c>
      <c r="D176" s="13" t="n">
        <v>0</v>
      </c>
      <c r="E176" s="13" t="n">
        <v>0</v>
      </c>
      <c r="F176" s="13" t="n">
        <v>0</v>
      </c>
      <c r="G176" s="17" t="n">
        <v>0</v>
      </c>
      <c r="H176" s="13" t="n">
        <v>2</v>
      </c>
      <c r="I176" s="13" t="n">
        <v>0</v>
      </c>
      <c r="J176" s="13" t="n">
        <v>0</v>
      </c>
      <c r="K176" s="13" t="n">
        <v>0</v>
      </c>
      <c r="L176" s="17" t="n">
        <v>0</v>
      </c>
      <c r="M176" s="18" t="n">
        <f aca="false">IF(H176=0,"",I176/H176)</f>
        <v>0</v>
      </c>
    </row>
    <row r="177" customFormat="false" ht="15" hidden="false" customHeight="false" outlineLevel="0" collapsed="false">
      <c r="A177" s="13" t="s">
        <v>67</v>
      </c>
      <c r="B177" s="13" t="s">
        <v>169</v>
      </c>
      <c r="C177" s="13" t="n">
        <v>0</v>
      </c>
      <c r="D177" s="13" t="n">
        <v>0</v>
      </c>
      <c r="E177" s="13" t="n">
        <v>0</v>
      </c>
      <c r="F177" s="13" t="n">
        <v>0</v>
      </c>
      <c r="G177" s="17" t="n">
        <v>0</v>
      </c>
      <c r="H177" s="13" t="n">
        <v>1</v>
      </c>
      <c r="I177" s="13" t="n">
        <v>0</v>
      </c>
      <c r="J177" s="13" t="n">
        <v>0</v>
      </c>
      <c r="K177" s="13" t="n">
        <v>2</v>
      </c>
      <c r="L177" s="17" t="n">
        <v>0</v>
      </c>
      <c r="M177" s="18" t="n">
        <f aca="false">IF(H177=0,"",I177/H177)</f>
        <v>0</v>
      </c>
    </row>
    <row r="178" customFormat="false" ht="15" hidden="false" customHeight="false" outlineLevel="0" collapsed="false">
      <c r="A178" s="13" t="s">
        <v>67</v>
      </c>
      <c r="B178" s="13" t="s">
        <v>170</v>
      </c>
      <c r="C178" s="13" t="n">
        <v>86</v>
      </c>
      <c r="D178" s="13" t="n">
        <v>85</v>
      </c>
      <c r="E178" s="13" t="n">
        <v>1</v>
      </c>
      <c r="F178" s="13" t="n">
        <v>0</v>
      </c>
      <c r="G178" s="17" t="n">
        <v>0</v>
      </c>
      <c r="H178" s="13" t="n">
        <v>88</v>
      </c>
      <c r="I178" s="13" t="n">
        <v>86</v>
      </c>
      <c r="J178" s="13" t="n">
        <v>2</v>
      </c>
      <c r="K178" s="13" t="n">
        <v>0</v>
      </c>
      <c r="L178" s="17" t="n">
        <v>0</v>
      </c>
      <c r="M178" s="18" t="n">
        <f aca="false">IF(H178=0,"",I178/H178)</f>
        <v>0.977272727272727</v>
      </c>
    </row>
    <row r="179" customFormat="false" ht="15" hidden="false" customHeight="false" outlineLevel="0" collapsed="false">
      <c r="A179" s="13" t="s">
        <v>67</v>
      </c>
      <c r="B179" s="13" t="s">
        <v>172</v>
      </c>
      <c r="C179" s="13" t="n">
        <v>510</v>
      </c>
      <c r="D179" s="13" t="n">
        <v>151</v>
      </c>
      <c r="E179" s="13" t="n">
        <v>339</v>
      </c>
      <c r="F179" s="13" t="n">
        <v>0</v>
      </c>
      <c r="G179" s="17" t="n">
        <v>0.3445846</v>
      </c>
      <c r="H179" s="13" t="n">
        <v>747</v>
      </c>
      <c r="I179" s="13" t="n">
        <v>151</v>
      </c>
      <c r="J179" s="13" t="n">
        <v>576</v>
      </c>
      <c r="K179" s="13" t="n">
        <v>0</v>
      </c>
      <c r="L179" s="17" t="n">
        <v>0.35544244</v>
      </c>
      <c r="M179" s="18" t="n">
        <f aca="false">IF(H179=0,"",I179/H179)</f>
        <v>0.202141900937082</v>
      </c>
    </row>
    <row r="180" customFormat="false" ht="15" hidden="false" customHeight="false" outlineLevel="0" collapsed="false">
      <c r="A180" s="13" t="s">
        <v>67</v>
      </c>
      <c r="B180" s="13" t="s">
        <v>173</v>
      </c>
      <c r="C180" s="13" t="n">
        <v>56</v>
      </c>
      <c r="D180" s="13" t="n">
        <v>49</v>
      </c>
      <c r="E180" s="13" t="n">
        <v>7</v>
      </c>
      <c r="F180" s="13" t="n">
        <v>0</v>
      </c>
      <c r="G180" s="17" t="n">
        <v>0.2046188</v>
      </c>
      <c r="H180" s="13" t="n">
        <v>56</v>
      </c>
      <c r="I180" s="13" t="n">
        <v>49</v>
      </c>
      <c r="J180" s="13" t="n">
        <v>7</v>
      </c>
      <c r="K180" s="13" t="n">
        <v>0</v>
      </c>
      <c r="L180" s="17" t="n">
        <v>0.2046188</v>
      </c>
      <c r="M180" s="18" t="n">
        <f aca="false">IF(H180=0,"",I180/H180)</f>
        <v>0.875</v>
      </c>
    </row>
    <row r="181" customFormat="false" ht="15" hidden="false" customHeight="false" outlineLevel="0" collapsed="false">
      <c r="A181" s="13" t="s">
        <v>67</v>
      </c>
      <c r="B181" s="13" t="s">
        <v>176</v>
      </c>
      <c r="C181" s="13" t="n">
        <v>149</v>
      </c>
      <c r="D181" s="13" t="n">
        <v>0</v>
      </c>
      <c r="E181" s="13" t="n">
        <v>0</v>
      </c>
      <c r="F181" s="13" t="n">
        <v>0</v>
      </c>
      <c r="G181" s="17" t="n">
        <v>0</v>
      </c>
      <c r="H181" s="13" t="n">
        <v>151</v>
      </c>
      <c r="I181" s="13" t="n">
        <v>0</v>
      </c>
      <c r="J181" s="13" t="n">
        <v>0</v>
      </c>
      <c r="K181" s="13" t="n">
        <v>0</v>
      </c>
      <c r="L181" s="17" t="n">
        <v>0</v>
      </c>
      <c r="M181" s="18" t="n">
        <f aca="false">IF(H181=0,"",I181/H181)</f>
        <v>0</v>
      </c>
    </row>
    <row r="182" customFormat="false" ht="15" hidden="false" customHeight="false" outlineLevel="0" collapsed="false">
      <c r="A182" s="13" t="s">
        <v>103</v>
      </c>
      <c r="B182" s="13" t="s">
        <v>170</v>
      </c>
      <c r="C182" s="13" t="n">
        <v>58</v>
      </c>
      <c r="D182" s="13" t="n">
        <v>58</v>
      </c>
      <c r="E182" s="13" t="n">
        <v>0</v>
      </c>
      <c r="F182" s="13" t="n">
        <v>0</v>
      </c>
      <c r="G182" s="17" t="n">
        <v>0</v>
      </c>
      <c r="H182" s="13" t="n">
        <v>58</v>
      </c>
      <c r="I182" s="13" t="n">
        <v>58</v>
      </c>
      <c r="J182" s="13" t="n">
        <v>0</v>
      </c>
      <c r="K182" s="13" t="n">
        <v>0</v>
      </c>
      <c r="L182" s="17" t="n">
        <v>0</v>
      </c>
      <c r="M182" s="18" t="n">
        <f aca="false">IF(H182=0,"",I182/H182)</f>
        <v>1</v>
      </c>
    </row>
    <row r="183" customFormat="false" ht="15" hidden="false" customHeight="false" outlineLevel="0" collapsed="false">
      <c r="A183" s="13" t="s">
        <v>103</v>
      </c>
      <c r="B183" s="13" t="s">
        <v>172</v>
      </c>
      <c r="C183" s="13" t="n">
        <v>256</v>
      </c>
      <c r="D183" s="13" t="n">
        <v>106</v>
      </c>
      <c r="E183" s="13" t="n">
        <v>148</v>
      </c>
      <c r="F183" s="13" t="n">
        <v>0</v>
      </c>
      <c r="G183" s="17" t="n">
        <v>0.1197112</v>
      </c>
      <c r="H183" s="13" t="n">
        <v>447</v>
      </c>
      <c r="I183" s="13" t="n">
        <v>258</v>
      </c>
      <c r="J183" s="13" t="n">
        <v>184</v>
      </c>
      <c r="K183" s="13" t="n">
        <v>0</v>
      </c>
      <c r="L183" s="17" t="n">
        <v>0.16596</v>
      </c>
      <c r="M183" s="18" t="n">
        <f aca="false">IF(H183=0,"",I183/H183)</f>
        <v>0.577181208053691</v>
      </c>
    </row>
    <row r="184" customFormat="false" ht="15" hidden="false" customHeight="false" outlineLevel="0" collapsed="false">
      <c r="A184" s="13" t="s">
        <v>103</v>
      </c>
      <c r="B184" s="13" t="s">
        <v>173</v>
      </c>
      <c r="C184" s="13" t="n">
        <v>56</v>
      </c>
      <c r="D184" s="13" t="n">
        <v>45</v>
      </c>
      <c r="E184" s="13" t="n">
        <v>11</v>
      </c>
      <c r="F184" s="13" t="n">
        <v>0</v>
      </c>
      <c r="G184" s="17" t="n">
        <v>0.0999316</v>
      </c>
      <c r="H184" s="13" t="n">
        <v>56</v>
      </c>
      <c r="I184" s="13" t="n">
        <v>45</v>
      </c>
      <c r="J184" s="13" t="n">
        <v>11</v>
      </c>
      <c r="K184" s="13" t="n">
        <v>0</v>
      </c>
      <c r="L184" s="17" t="n">
        <v>0.0999316</v>
      </c>
      <c r="M184" s="18" t="n">
        <f aca="false">IF(H184=0,"",I184/H184)</f>
        <v>0.803571428571429</v>
      </c>
    </row>
    <row r="185" customFormat="false" ht="15" hidden="false" customHeight="false" outlineLevel="0" collapsed="false">
      <c r="A185" s="13" t="s">
        <v>103</v>
      </c>
      <c r="B185" s="13" t="s">
        <v>174</v>
      </c>
      <c r="C185" s="13" t="n">
        <v>0</v>
      </c>
      <c r="D185" s="13" t="n">
        <v>0</v>
      </c>
      <c r="E185" s="13" t="n">
        <v>0</v>
      </c>
      <c r="F185" s="13" t="n">
        <v>0</v>
      </c>
      <c r="G185" s="17" t="n">
        <v>0</v>
      </c>
      <c r="H185" s="13" t="n">
        <v>16</v>
      </c>
      <c r="I185" s="13" t="n">
        <v>15</v>
      </c>
      <c r="J185" s="13" t="n">
        <v>0</v>
      </c>
      <c r="K185" s="13" t="n">
        <v>0</v>
      </c>
      <c r="L185" s="17" t="n">
        <v>0.00431966</v>
      </c>
      <c r="M185" s="18" t="n">
        <f aca="false">IF(H185=0,"",I185/H185)</f>
        <v>0.9375</v>
      </c>
    </row>
    <row r="186" customFormat="false" ht="15" hidden="false" customHeight="false" outlineLevel="0" collapsed="false">
      <c r="A186" s="13" t="s">
        <v>103</v>
      </c>
      <c r="B186" s="13" t="s">
        <v>175</v>
      </c>
      <c r="C186" s="13" t="n">
        <v>0</v>
      </c>
      <c r="D186" s="13" t="n">
        <v>0</v>
      </c>
      <c r="E186" s="13" t="n">
        <v>0</v>
      </c>
      <c r="F186" s="13" t="n">
        <v>0</v>
      </c>
      <c r="G186" s="17" t="n">
        <v>0</v>
      </c>
      <c r="H186" s="13" t="n">
        <v>16</v>
      </c>
      <c r="I186" s="13" t="n">
        <v>0</v>
      </c>
      <c r="J186" s="13" t="n">
        <v>0</v>
      </c>
      <c r="K186" s="13" t="n">
        <v>16</v>
      </c>
      <c r="L186" s="17" t="n">
        <v>0</v>
      </c>
      <c r="M186" s="18" t="n">
        <f aca="false">IF(H186=0,"",I186/H186)</f>
        <v>0</v>
      </c>
    </row>
    <row r="187" customFormat="false" ht="15" hidden="false" customHeight="false" outlineLevel="0" collapsed="false">
      <c r="A187" s="13" t="s">
        <v>103</v>
      </c>
      <c r="B187" s="13" t="s">
        <v>176</v>
      </c>
      <c r="C187" s="13" t="n">
        <v>105</v>
      </c>
      <c r="D187" s="13" t="n">
        <v>0</v>
      </c>
      <c r="E187" s="13" t="n">
        <v>0</v>
      </c>
      <c r="F187" s="13" t="n">
        <v>0</v>
      </c>
      <c r="G187" s="17" t="n">
        <v>0</v>
      </c>
      <c r="H187" s="13" t="n">
        <v>141</v>
      </c>
      <c r="I187" s="13" t="n">
        <v>0</v>
      </c>
      <c r="J187" s="13" t="n">
        <v>0</v>
      </c>
      <c r="K187" s="13" t="n">
        <v>0</v>
      </c>
      <c r="L187" s="17" t="n">
        <v>0</v>
      </c>
      <c r="M187" s="18" t="n">
        <f aca="false">IF(H187=0,"",I187/H187)</f>
        <v>0</v>
      </c>
    </row>
    <row r="188" customFormat="false" ht="15" hidden="false" customHeight="false" outlineLevel="0" collapsed="false">
      <c r="A188" s="13" t="s">
        <v>271</v>
      </c>
      <c r="B188" s="13" t="s">
        <v>176</v>
      </c>
      <c r="C188" s="13" t="n">
        <v>0</v>
      </c>
      <c r="D188" s="13" t="n">
        <v>0</v>
      </c>
      <c r="E188" s="13" t="n">
        <v>0</v>
      </c>
      <c r="F188" s="13" t="n">
        <v>0</v>
      </c>
      <c r="G188" s="17" t="n">
        <v>0</v>
      </c>
      <c r="H188" s="13" t="n">
        <v>1</v>
      </c>
      <c r="I188" s="13" t="n">
        <v>0</v>
      </c>
      <c r="J188" s="13" t="n">
        <v>0</v>
      </c>
      <c r="K188" s="13" t="n">
        <v>0</v>
      </c>
      <c r="L188" s="17" t="n">
        <v>0</v>
      </c>
      <c r="M188" s="18" t="n">
        <f aca="false">IF(H188=0,"",I188/H188)</f>
        <v>0</v>
      </c>
    </row>
    <row r="189" customFormat="false" ht="15" hidden="false" customHeight="false" outlineLevel="0" collapsed="false">
      <c r="A189" s="13" t="s">
        <v>272</v>
      </c>
      <c r="B189" s="13" t="s">
        <v>176</v>
      </c>
      <c r="C189" s="13" t="n">
        <v>0</v>
      </c>
      <c r="D189" s="13" t="n">
        <v>0</v>
      </c>
      <c r="E189" s="13" t="n">
        <v>0</v>
      </c>
      <c r="F189" s="13" t="n">
        <v>0</v>
      </c>
      <c r="G189" s="17" t="n">
        <v>0</v>
      </c>
      <c r="H189" s="13" t="n">
        <v>1</v>
      </c>
      <c r="I189" s="13" t="n">
        <v>0</v>
      </c>
      <c r="J189" s="13" t="n">
        <v>0</v>
      </c>
      <c r="K189" s="13" t="n">
        <v>0</v>
      </c>
      <c r="L189" s="17" t="n">
        <v>0</v>
      </c>
      <c r="M189" s="18" t="n">
        <f aca="false">IF(H189=0,"",I189/H189)</f>
        <v>0</v>
      </c>
    </row>
    <row r="190" customFormat="false" ht="15" hidden="false" customHeight="false" outlineLevel="0" collapsed="false">
      <c r="A190" s="13" t="s">
        <v>273</v>
      </c>
      <c r="B190" s="13" t="s">
        <v>176</v>
      </c>
      <c r="C190" s="13" t="n">
        <v>0</v>
      </c>
      <c r="D190" s="13" t="n">
        <v>0</v>
      </c>
      <c r="E190" s="13" t="n">
        <v>0</v>
      </c>
      <c r="F190" s="13" t="n">
        <v>0</v>
      </c>
      <c r="G190" s="17" t="n">
        <v>0</v>
      </c>
      <c r="H190" s="13" t="n">
        <v>1</v>
      </c>
      <c r="I190" s="13" t="n">
        <v>0</v>
      </c>
      <c r="J190" s="13" t="n">
        <v>0</v>
      </c>
      <c r="K190" s="13" t="n">
        <v>0</v>
      </c>
      <c r="L190" s="17" t="n">
        <v>0</v>
      </c>
      <c r="M190" s="18" t="n">
        <f aca="false">IF(H190=0,"",I190/H190)</f>
        <v>0</v>
      </c>
    </row>
    <row r="191" customFormat="false" ht="15" hidden="false" customHeight="false" outlineLevel="0" collapsed="false">
      <c r="A191" s="13" t="s">
        <v>274</v>
      </c>
      <c r="B191" s="13" t="s">
        <v>176</v>
      </c>
      <c r="C191" s="13" t="n">
        <v>0</v>
      </c>
      <c r="D191" s="13" t="n">
        <v>0</v>
      </c>
      <c r="E191" s="13" t="n">
        <v>0</v>
      </c>
      <c r="F191" s="13" t="n">
        <v>0</v>
      </c>
      <c r="G191" s="17" t="n">
        <v>0</v>
      </c>
      <c r="H191" s="13" t="n">
        <v>1</v>
      </c>
      <c r="I191" s="13" t="n">
        <v>0</v>
      </c>
      <c r="J191" s="13" t="n">
        <v>0</v>
      </c>
      <c r="K191" s="13" t="n">
        <v>0</v>
      </c>
      <c r="L191" s="17" t="n">
        <v>0</v>
      </c>
      <c r="M191" s="18" t="n">
        <f aca="false">IF(H191=0,"",I191/H191)</f>
        <v>0</v>
      </c>
    </row>
    <row r="192" customFormat="false" ht="15" hidden="false" customHeight="false" outlineLevel="0" collapsed="false">
      <c r="A192" s="13" t="s">
        <v>275</v>
      </c>
      <c r="B192" s="13" t="s">
        <v>176</v>
      </c>
      <c r="C192" s="13" t="n">
        <v>0</v>
      </c>
      <c r="D192" s="13" t="n">
        <v>0</v>
      </c>
      <c r="E192" s="13" t="n">
        <v>0</v>
      </c>
      <c r="F192" s="13" t="n">
        <v>0</v>
      </c>
      <c r="G192" s="17" t="n">
        <v>0</v>
      </c>
      <c r="H192" s="13" t="n">
        <v>1</v>
      </c>
      <c r="I192" s="13" t="n">
        <v>0</v>
      </c>
      <c r="J192" s="13" t="n">
        <v>0</v>
      </c>
      <c r="K192" s="13" t="n">
        <v>0</v>
      </c>
      <c r="L192" s="17" t="n">
        <v>0</v>
      </c>
      <c r="M192" s="18" t="n">
        <f aca="false">IF(H192=0,"",I192/H192)</f>
        <v>0</v>
      </c>
    </row>
    <row r="193" customFormat="false" ht="15" hidden="false" customHeight="false" outlineLevel="0" collapsed="false">
      <c r="A193" s="13" t="s">
        <v>276</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277</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278</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279</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280</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281</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282</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55</v>
      </c>
      <c r="B200" s="13" t="s">
        <v>169</v>
      </c>
      <c r="C200" s="13" t="n">
        <v>0</v>
      </c>
      <c r="D200" s="13" t="n">
        <v>0</v>
      </c>
      <c r="E200" s="13" t="n">
        <v>0</v>
      </c>
      <c r="F200" s="13" t="n">
        <v>0</v>
      </c>
      <c r="G200" s="17" t="n">
        <v>0</v>
      </c>
      <c r="H200" s="13" t="n">
        <v>45</v>
      </c>
      <c r="I200" s="13" t="n">
        <v>0</v>
      </c>
      <c r="J200" s="13" t="n">
        <v>1</v>
      </c>
      <c r="K200" s="13" t="n">
        <v>90</v>
      </c>
      <c r="L200" s="17" t="n">
        <v>0</v>
      </c>
      <c r="M200" s="18" t="n">
        <f aca="false">IF(H200=0,"",I200/H200)</f>
        <v>0</v>
      </c>
    </row>
    <row r="201" customFormat="false" ht="15" hidden="false" customHeight="false" outlineLevel="0" collapsed="false">
      <c r="A201" s="13" t="s">
        <v>55</v>
      </c>
      <c r="B201" s="13" t="s">
        <v>170</v>
      </c>
      <c r="C201" s="13" t="n">
        <v>261</v>
      </c>
      <c r="D201" s="13" t="n">
        <v>261</v>
      </c>
      <c r="E201" s="13" t="n">
        <v>0</v>
      </c>
      <c r="F201" s="13" t="n">
        <v>0</v>
      </c>
      <c r="G201" s="17" t="n">
        <v>0</v>
      </c>
      <c r="H201" s="13" t="n">
        <v>306</v>
      </c>
      <c r="I201" s="13" t="n">
        <v>261</v>
      </c>
      <c r="J201" s="13" t="n">
        <v>44</v>
      </c>
      <c r="K201" s="13" t="n">
        <v>0</v>
      </c>
      <c r="L201" s="17" t="n">
        <v>0</v>
      </c>
      <c r="M201" s="18" t="n">
        <f aca="false">IF(H201=0,"",I201/H201)</f>
        <v>0.852941176470588</v>
      </c>
    </row>
    <row r="202" customFormat="false" ht="15" hidden="false" customHeight="false" outlineLevel="0" collapsed="false">
      <c r="A202" s="13" t="s">
        <v>55</v>
      </c>
      <c r="B202" s="13" t="s">
        <v>172</v>
      </c>
      <c r="C202" s="13" t="n">
        <v>842</v>
      </c>
      <c r="D202" s="13" t="n">
        <v>172</v>
      </c>
      <c r="E202" s="13" t="n">
        <v>667</v>
      </c>
      <c r="F202" s="13" t="n">
        <v>0</v>
      </c>
      <c r="G202" s="17" t="n">
        <v>0.5950276</v>
      </c>
      <c r="H202" s="13" t="n">
        <v>854</v>
      </c>
      <c r="I202" s="13" t="n">
        <v>172</v>
      </c>
      <c r="J202" s="13" t="n">
        <v>678</v>
      </c>
      <c r="K202" s="13" t="n">
        <v>0</v>
      </c>
      <c r="L202" s="17" t="n">
        <v>0.5991444</v>
      </c>
      <c r="M202" s="18" t="n">
        <f aca="false">IF(H202=0,"",I202/H202)</f>
        <v>0.201405152224824</v>
      </c>
    </row>
    <row r="203" customFormat="false" ht="15" hidden="false" customHeight="false" outlineLevel="0" collapsed="false">
      <c r="A203" s="13" t="s">
        <v>55</v>
      </c>
      <c r="B203" s="13" t="s">
        <v>173</v>
      </c>
      <c r="C203" s="13" t="n">
        <v>235</v>
      </c>
      <c r="D203" s="13" t="n">
        <v>58</v>
      </c>
      <c r="E203" s="13" t="n">
        <v>177</v>
      </c>
      <c r="F203" s="13" t="n">
        <v>0</v>
      </c>
      <c r="G203" s="17" t="n">
        <v>0.6059876</v>
      </c>
      <c r="H203" s="13" t="n">
        <v>235</v>
      </c>
      <c r="I203" s="13" t="n">
        <v>58</v>
      </c>
      <c r="J203" s="13" t="n">
        <v>177</v>
      </c>
      <c r="K203" s="13" t="n">
        <v>0</v>
      </c>
      <c r="L203" s="17" t="n">
        <v>0.6059876</v>
      </c>
      <c r="M203" s="18" t="n">
        <f aca="false">IF(H203=0,"",I203/H203)</f>
        <v>0.246808510638298</v>
      </c>
    </row>
    <row r="204" customFormat="false" ht="15" hidden="false" customHeight="false" outlineLevel="0" collapsed="false">
      <c r="A204" s="13" t="s">
        <v>55</v>
      </c>
      <c r="B204" s="13" t="s">
        <v>175</v>
      </c>
      <c r="C204" s="13" t="n">
        <v>1</v>
      </c>
      <c r="D204" s="13" t="n">
        <v>0</v>
      </c>
      <c r="E204" s="13" t="n">
        <v>0</v>
      </c>
      <c r="F204" s="13" t="n">
        <v>1</v>
      </c>
      <c r="G204" s="17" t="n">
        <v>0</v>
      </c>
      <c r="H204" s="13" t="n">
        <v>8</v>
      </c>
      <c r="I204" s="13" t="n">
        <v>0</v>
      </c>
      <c r="J204" s="13" t="n">
        <v>0</v>
      </c>
      <c r="K204" s="13" t="n">
        <v>8</v>
      </c>
      <c r="L204" s="17" t="n">
        <v>0</v>
      </c>
      <c r="M204" s="18" t="n">
        <f aca="false">IF(H204=0,"",I204/H204)</f>
        <v>0</v>
      </c>
    </row>
    <row r="205" customFormat="false" ht="15" hidden="false" customHeight="false" outlineLevel="0" collapsed="false">
      <c r="A205" s="13" t="s">
        <v>55</v>
      </c>
      <c r="B205" s="13" t="s">
        <v>176</v>
      </c>
      <c r="C205" s="13" t="n">
        <v>489</v>
      </c>
      <c r="D205" s="13" t="n">
        <v>0</v>
      </c>
      <c r="E205" s="13" t="n">
        <v>0</v>
      </c>
      <c r="F205" s="13" t="n">
        <v>0</v>
      </c>
      <c r="G205" s="17" t="n">
        <v>0</v>
      </c>
      <c r="H205" s="13" t="n">
        <v>490</v>
      </c>
      <c r="I205" s="13" t="n">
        <v>0</v>
      </c>
      <c r="J205" s="13" t="n">
        <v>0</v>
      </c>
      <c r="K205" s="13" t="n">
        <v>0</v>
      </c>
      <c r="L205" s="17" t="n">
        <v>0</v>
      </c>
      <c r="M205" s="18" t="n">
        <f aca="false">IF(H205=0,"",I205/H205)</f>
        <v>0</v>
      </c>
    </row>
    <row r="206" customFormat="false" ht="15" hidden="false" customHeight="false" outlineLevel="0" collapsed="false">
      <c r="A206" s="13" t="s">
        <v>119</v>
      </c>
      <c r="B206" s="13" t="s">
        <v>169</v>
      </c>
      <c r="C206" s="13" t="n">
        <v>0</v>
      </c>
      <c r="D206" s="13" t="n">
        <v>0</v>
      </c>
      <c r="E206" s="13" t="n">
        <v>0</v>
      </c>
      <c r="F206" s="13" t="n">
        <v>0</v>
      </c>
      <c r="G206" s="17" t="n">
        <v>0</v>
      </c>
      <c r="H206" s="13" t="n">
        <v>59</v>
      </c>
      <c r="I206" s="13" t="n">
        <v>0</v>
      </c>
      <c r="J206" s="13" t="n">
        <v>0</v>
      </c>
      <c r="K206" s="13" t="n">
        <v>118</v>
      </c>
      <c r="L206" s="17" t="n">
        <v>0</v>
      </c>
      <c r="M206" s="18" t="n">
        <f aca="false">IF(H206=0,"",I206/H206)</f>
        <v>0</v>
      </c>
    </row>
    <row r="207" customFormat="false" ht="15" hidden="false" customHeight="false" outlineLevel="0" collapsed="false">
      <c r="A207" s="13" t="s">
        <v>119</v>
      </c>
      <c r="B207" s="13" t="s">
        <v>170</v>
      </c>
      <c r="C207" s="13" t="n">
        <v>21</v>
      </c>
      <c r="D207" s="13" t="n">
        <v>21</v>
      </c>
      <c r="E207" s="13" t="n">
        <v>0</v>
      </c>
      <c r="F207" s="13" t="n">
        <v>0</v>
      </c>
      <c r="G207" s="17" t="n">
        <v>0</v>
      </c>
      <c r="H207" s="13" t="n">
        <v>21</v>
      </c>
      <c r="I207" s="13" t="n">
        <v>21</v>
      </c>
      <c r="J207" s="13" t="n">
        <v>0</v>
      </c>
      <c r="K207" s="13" t="n">
        <v>0</v>
      </c>
      <c r="L207" s="17" t="n">
        <v>0</v>
      </c>
      <c r="M207" s="18" t="n">
        <f aca="false">IF(H207=0,"",I207/H207)</f>
        <v>1</v>
      </c>
    </row>
    <row r="208" customFormat="false" ht="15" hidden="false" customHeight="false" outlineLevel="0" collapsed="false">
      <c r="A208" s="13" t="s">
        <v>119</v>
      </c>
      <c r="B208" s="13" t="s">
        <v>172</v>
      </c>
      <c r="C208" s="13" t="n">
        <v>52</v>
      </c>
      <c r="D208" s="13" t="n">
        <v>7</v>
      </c>
      <c r="E208" s="13" t="n">
        <v>45</v>
      </c>
      <c r="F208" s="13" t="n">
        <v>0</v>
      </c>
      <c r="G208" s="17" t="n">
        <v>0.048812</v>
      </c>
      <c r="H208" s="13" t="n">
        <v>55</v>
      </c>
      <c r="I208" s="13" t="n">
        <v>9</v>
      </c>
      <c r="J208" s="13" t="n">
        <v>46</v>
      </c>
      <c r="K208" s="13" t="n">
        <v>0</v>
      </c>
      <c r="L208" s="17" t="n">
        <v>0.0542608</v>
      </c>
      <c r="M208" s="18" t="n">
        <f aca="false">IF(H208=0,"",I208/H208)</f>
        <v>0.163636363636364</v>
      </c>
    </row>
    <row r="209" customFormat="false" ht="15" hidden="false" customHeight="false" outlineLevel="0" collapsed="false">
      <c r="A209" s="13" t="s">
        <v>119</v>
      </c>
      <c r="B209" s="13" t="s">
        <v>173</v>
      </c>
      <c r="C209" s="13" t="n">
        <v>19</v>
      </c>
      <c r="D209" s="13" t="n">
        <v>7</v>
      </c>
      <c r="E209" s="13" t="n">
        <v>12</v>
      </c>
      <c r="F209" s="13" t="n">
        <v>0</v>
      </c>
      <c r="G209" s="17" t="n">
        <v>0.0207528</v>
      </c>
      <c r="H209" s="13" t="n">
        <v>19</v>
      </c>
      <c r="I209" s="13" t="n">
        <v>7</v>
      </c>
      <c r="J209" s="13" t="n">
        <v>12</v>
      </c>
      <c r="K209" s="13" t="n">
        <v>0</v>
      </c>
      <c r="L209" s="17" t="n">
        <v>0.0207528</v>
      </c>
      <c r="M209" s="18" t="n">
        <f aca="false">IF(H209=0,"",I209/H209)</f>
        <v>0.368421052631579</v>
      </c>
    </row>
    <row r="210" customFormat="false" ht="15" hidden="false" customHeight="false" outlineLevel="0" collapsed="false">
      <c r="A210" s="13" t="s">
        <v>119</v>
      </c>
      <c r="B210" s="13" t="s">
        <v>175</v>
      </c>
      <c r="C210" s="13" t="n">
        <v>3</v>
      </c>
      <c r="D210" s="13" t="n">
        <v>0</v>
      </c>
      <c r="E210" s="13" t="n">
        <v>0</v>
      </c>
      <c r="F210" s="13" t="n">
        <v>3</v>
      </c>
      <c r="G210" s="17" t="n">
        <v>0</v>
      </c>
      <c r="H210" s="13" t="n">
        <v>3</v>
      </c>
      <c r="I210" s="13" t="n">
        <v>0</v>
      </c>
      <c r="J210" s="13" t="n">
        <v>0</v>
      </c>
      <c r="K210" s="13" t="n">
        <v>3</v>
      </c>
      <c r="L210" s="17" t="n">
        <v>0</v>
      </c>
      <c r="M210" s="18" t="n">
        <f aca="false">IF(H210=0,"",I210/H210)</f>
        <v>0</v>
      </c>
    </row>
    <row r="211" customFormat="false" ht="15" hidden="false" customHeight="false" outlineLevel="0" collapsed="false">
      <c r="A211" s="13" t="s">
        <v>119</v>
      </c>
      <c r="B211" s="13" t="s">
        <v>176</v>
      </c>
      <c r="C211" s="13" t="n">
        <v>22</v>
      </c>
      <c r="D211" s="13" t="n">
        <v>0</v>
      </c>
      <c r="E211" s="13" t="n">
        <v>0</v>
      </c>
      <c r="F211" s="13" t="n">
        <v>0</v>
      </c>
      <c r="G211" s="17" t="n">
        <v>0</v>
      </c>
      <c r="H211" s="13" t="n">
        <v>22</v>
      </c>
      <c r="I211" s="13" t="n">
        <v>0</v>
      </c>
      <c r="J211" s="13" t="n">
        <v>0</v>
      </c>
      <c r="K211" s="13" t="n">
        <v>0</v>
      </c>
      <c r="L211" s="17" t="n">
        <v>0</v>
      </c>
      <c r="M211" s="18" t="n">
        <f aca="false">IF(H211=0,"",I211/H211)</f>
        <v>0</v>
      </c>
    </row>
    <row r="212" customFormat="false" ht="15" hidden="false" customHeight="false" outlineLevel="0" collapsed="false">
      <c r="A212" s="13" t="s">
        <v>283</v>
      </c>
      <c r="B212" s="13" t="s">
        <v>176</v>
      </c>
      <c r="C212" s="13" t="n">
        <v>0</v>
      </c>
      <c r="D212" s="13" t="n">
        <v>0</v>
      </c>
      <c r="E212" s="13" t="n">
        <v>0</v>
      </c>
      <c r="F212" s="13" t="n">
        <v>0</v>
      </c>
      <c r="G212" s="17" t="n">
        <v>0</v>
      </c>
      <c r="H212" s="13" t="n">
        <v>1</v>
      </c>
      <c r="I212" s="13" t="n">
        <v>0</v>
      </c>
      <c r="J212" s="13" t="n">
        <v>0</v>
      </c>
      <c r="K212" s="13" t="n">
        <v>0</v>
      </c>
      <c r="L212" s="17" t="n">
        <v>0</v>
      </c>
      <c r="M212" s="18" t="n">
        <f aca="false">IF(H212=0,"",I212/H212)</f>
        <v>0</v>
      </c>
    </row>
    <row r="213" customFormat="false" ht="15" hidden="false" customHeight="false" outlineLevel="0" collapsed="false">
      <c r="A213" s="13" t="s">
        <v>284</v>
      </c>
      <c r="B213" s="13" t="s">
        <v>176</v>
      </c>
      <c r="C213" s="13" t="n">
        <v>0</v>
      </c>
      <c r="D213" s="13" t="n">
        <v>0</v>
      </c>
      <c r="E213" s="13" t="n">
        <v>0</v>
      </c>
      <c r="F213" s="13" t="n">
        <v>0</v>
      </c>
      <c r="G213" s="17" t="n">
        <v>0</v>
      </c>
      <c r="H213" s="13" t="n">
        <v>1</v>
      </c>
      <c r="I213" s="13" t="n">
        <v>0</v>
      </c>
      <c r="J213" s="13" t="n">
        <v>0</v>
      </c>
      <c r="K213" s="13" t="n">
        <v>0</v>
      </c>
      <c r="L213" s="17" t="n">
        <v>0</v>
      </c>
      <c r="M213" s="18" t="n">
        <f aca="false">IF(H213=0,"",I213/H213)</f>
        <v>0</v>
      </c>
    </row>
    <row r="214" customFormat="false" ht="15" hidden="false" customHeight="false" outlineLevel="0" collapsed="false">
      <c r="A214" s="13" t="s">
        <v>285</v>
      </c>
      <c r="B214" s="13" t="s">
        <v>176</v>
      </c>
      <c r="C214" s="13" t="n">
        <v>0</v>
      </c>
      <c r="D214" s="13" t="n">
        <v>0</v>
      </c>
      <c r="E214" s="13" t="n">
        <v>0</v>
      </c>
      <c r="F214" s="13" t="n">
        <v>0</v>
      </c>
      <c r="G214" s="17" t="n">
        <v>0</v>
      </c>
      <c r="H214" s="13" t="n">
        <v>1</v>
      </c>
      <c r="I214" s="13" t="n">
        <v>0</v>
      </c>
      <c r="J214" s="13" t="n">
        <v>0</v>
      </c>
      <c r="K214" s="13" t="n">
        <v>0</v>
      </c>
      <c r="L214" s="17" t="n">
        <v>0</v>
      </c>
      <c r="M214" s="18" t="n">
        <f aca="false">IF(H214=0,"",I214/H214)</f>
        <v>0</v>
      </c>
    </row>
    <row r="215" customFormat="false" ht="15" hidden="false" customHeight="false" outlineLevel="0" collapsed="false">
      <c r="A215" s="13" t="s">
        <v>286</v>
      </c>
      <c r="B215" s="13" t="s">
        <v>176</v>
      </c>
      <c r="C215" s="13" t="n">
        <v>0</v>
      </c>
      <c r="D215" s="13" t="n">
        <v>0</v>
      </c>
      <c r="E215" s="13" t="n">
        <v>0</v>
      </c>
      <c r="F215" s="13" t="n">
        <v>0</v>
      </c>
      <c r="G215" s="17" t="n">
        <v>0</v>
      </c>
      <c r="H215" s="13" t="n">
        <v>1</v>
      </c>
      <c r="I215" s="13" t="n">
        <v>0</v>
      </c>
      <c r="J215" s="13" t="n">
        <v>0</v>
      </c>
      <c r="K215" s="13" t="n">
        <v>0</v>
      </c>
      <c r="L215" s="17" t="n">
        <v>0</v>
      </c>
      <c r="M215" s="18" t="n">
        <f aca="false">IF(H215=0,"",I215/H215)</f>
        <v>0</v>
      </c>
    </row>
    <row r="216" customFormat="false" ht="15" hidden="false" customHeight="false" outlineLevel="0" collapsed="false">
      <c r="A216" s="13" t="s">
        <v>287</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288</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289</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290</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291</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292</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293</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294</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295</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296</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297</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298</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299</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300</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301</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302</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303</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304</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305</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306</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307</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308</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309</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310</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311</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312</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313</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314</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315</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316</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317</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129</v>
      </c>
      <c r="B247" s="13" t="s">
        <v>169</v>
      </c>
      <c r="C247" s="13" t="n">
        <v>0</v>
      </c>
      <c r="D247" s="13" t="n">
        <v>0</v>
      </c>
      <c r="E247" s="13" t="n">
        <v>0</v>
      </c>
      <c r="F247" s="13" t="n">
        <v>0</v>
      </c>
      <c r="G247" s="17" t="n">
        <v>0</v>
      </c>
      <c r="H247" s="13" t="n">
        <v>1</v>
      </c>
      <c r="I247" s="13" t="n">
        <v>0</v>
      </c>
      <c r="J247" s="13" t="n">
        <v>1</v>
      </c>
      <c r="K247" s="13" t="n">
        <v>2</v>
      </c>
      <c r="L247" s="17" t="n">
        <v>0</v>
      </c>
      <c r="M247" s="18" t="n">
        <f aca="false">IF(H247=0,"",I247/H247)</f>
        <v>0</v>
      </c>
    </row>
    <row r="248" customFormat="false" ht="15" hidden="false" customHeight="false" outlineLevel="0" collapsed="false">
      <c r="A248" s="13" t="s">
        <v>129</v>
      </c>
      <c r="B248" s="13" t="s">
        <v>170</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129</v>
      </c>
      <c r="B249" s="13" t="s">
        <v>172</v>
      </c>
      <c r="C249" s="13" t="n">
        <v>13</v>
      </c>
      <c r="D249" s="13" t="n">
        <v>0</v>
      </c>
      <c r="E249" s="13" t="n">
        <v>13</v>
      </c>
      <c r="F249" s="13" t="n">
        <v>0</v>
      </c>
      <c r="G249" s="17" t="n">
        <v>0.0152990666666667</v>
      </c>
      <c r="H249" s="13" t="n">
        <v>14</v>
      </c>
      <c r="I249" s="13" t="n">
        <v>0</v>
      </c>
      <c r="J249" s="13" t="n">
        <v>14</v>
      </c>
      <c r="K249" s="13" t="n">
        <v>0</v>
      </c>
      <c r="L249" s="17" t="n">
        <v>0.0162222666666667</v>
      </c>
      <c r="M249" s="18" t="n">
        <f aca="false">IF(H249=0,"",I249/H249)</f>
        <v>0</v>
      </c>
    </row>
    <row r="250" customFormat="false" ht="15" hidden="false" customHeight="false" outlineLevel="0" collapsed="false">
      <c r="A250" s="13" t="s">
        <v>129</v>
      </c>
      <c r="B250" s="13" t="s">
        <v>175</v>
      </c>
      <c r="C250" s="13" t="n">
        <v>0</v>
      </c>
      <c r="D250" s="13" t="n">
        <v>0</v>
      </c>
      <c r="E250" s="13" t="n">
        <v>0</v>
      </c>
      <c r="F250" s="13" t="n">
        <v>0</v>
      </c>
      <c r="G250" s="17" t="n">
        <v>0</v>
      </c>
      <c r="H250" s="13" t="n">
        <v>16</v>
      </c>
      <c r="I250" s="13" t="n">
        <v>0</v>
      </c>
      <c r="J250" s="13" t="n">
        <v>0</v>
      </c>
      <c r="K250" s="13" t="n">
        <v>16</v>
      </c>
      <c r="L250" s="17" t="n">
        <v>0</v>
      </c>
      <c r="M250" s="18" t="n">
        <f aca="false">IF(H250=0,"",I250/H250)</f>
        <v>0</v>
      </c>
    </row>
    <row r="251" customFormat="false" ht="15" hidden="false" customHeight="false" outlineLevel="0" collapsed="false">
      <c r="A251" s="13" t="s">
        <v>129</v>
      </c>
      <c r="B251" s="13" t="s">
        <v>176</v>
      </c>
      <c r="C251" s="13" t="n">
        <v>8</v>
      </c>
      <c r="D251" s="13" t="n">
        <v>0</v>
      </c>
      <c r="E251" s="13" t="n">
        <v>0</v>
      </c>
      <c r="F251" s="13" t="n">
        <v>0</v>
      </c>
      <c r="G251" s="17" t="n">
        <v>0</v>
      </c>
      <c r="H251" s="13" t="n">
        <v>9</v>
      </c>
      <c r="I251" s="13" t="n">
        <v>0</v>
      </c>
      <c r="J251" s="13" t="n">
        <v>0</v>
      </c>
      <c r="K251" s="13" t="n">
        <v>0</v>
      </c>
      <c r="L251" s="17" t="n">
        <v>0</v>
      </c>
      <c r="M251" s="18" t="n">
        <f aca="false">IF(H251=0,"",I251/H251)</f>
        <v>0</v>
      </c>
    </row>
    <row r="252" customFormat="false" ht="15" hidden="false" customHeight="false" outlineLevel="0" collapsed="false">
      <c r="A252" s="13" t="s">
        <v>65</v>
      </c>
      <c r="B252" s="13" t="s">
        <v>169</v>
      </c>
      <c r="C252" s="13" t="n">
        <v>0</v>
      </c>
      <c r="D252" s="13" t="n">
        <v>0</v>
      </c>
      <c r="E252" s="13" t="n">
        <v>4</v>
      </c>
      <c r="F252" s="13" t="n">
        <v>0</v>
      </c>
      <c r="G252" s="17" t="n">
        <v>0</v>
      </c>
      <c r="H252" s="13" t="n">
        <v>16</v>
      </c>
      <c r="I252" s="13" t="n">
        <v>0</v>
      </c>
      <c r="J252" s="13" t="n">
        <v>4</v>
      </c>
      <c r="K252" s="13" t="n">
        <v>32</v>
      </c>
      <c r="L252" s="17" t="n">
        <v>0</v>
      </c>
      <c r="M252" s="18" t="n">
        <f aca="false">IF(H252=0,"",I252/H252)</f>
        <v>0</v>
      </c>
    </row>
    <row r="253" customFormat="false" ht="15" hidden="false" customHeight="false" outlineLevel="0" collapsed="false">
      <c r="A253" s="13" t="s">
        <v>65</v>
      </c>
      <c r="B253" s="13" t="s">
        <v>170</v>
      </c>
      <c r="C253" s="13" t="n">
        <v>120</v>
      </c>
      <c r="D253" s="13" t="n">
        <v>116</v>
      </c>
      <c r="E253" s="13" t="n">
        <v>0</v>
      </c>
      <c r="F253" s="13" t="n">
        <v>0</v>
      </c>
      <c r="G253" s="17" t="n">
        <v>0</v>
      </c>
      <c r="H253" s="13" t="n">
        <v>132</v>
      </c>
      <c r="I253" s="13" t="n">
        <v>119</v>
      </c>
      <c r="J253" s="13" t="n">
        <v>9</v>
      </c>
      <c r="K253" s="13" t="n">
        <v>0</v>
      </c>
      <c r="L253" s="17" t="n">
        <v>0</v>
      </c>
      <c r="M253" s="18" t="n">
        <f aca="false">IF(H253=0,"",I253/H253)</f>
        <v>0.901515151515152</v>
      </c>
    </row>
    <row r="254" customFormat="false" ht="15" hidden="false" customHeight="false" outlineLevel="0" collapsed="false">
      <c r="A254" s="13" t="s">
        <v>65</v>
      </c>
      <c r="B254" s="13" t="s">
        <v>172</v>
      </c>
      <c r="C254" s="13" t="n">
        <v>417</v>
      </c>
      <c r="D254" s="13" t="n">
        <v>25</v>
      </c>
      <c r="E254" s="13" t="n">
        <v>380</v>
      </c>
      <c r="F254" s="13" t="n">
        <v>0</v>
      </c>
      <c r="G254" s="17" t="n">
        <v>0.4447453</v>
      </c>
      <c r="H254" s="13" t="n">
        <v>465</v>
      </c>
      <c r="I254" s="13" t="n">
        <v>56</v>
      </c>
      <c r="J254" s="13" t="n">
        <v>394</v>
      </c>
      <c r="K254" s="13" t="n">
        <v>0</v>
      </c>
      <c r="L254" s="17" t="n">
        <v>0.49909686</v>
      </c>
      <c r="M254" s="18" t="n">
        <f aca="false">IF(H254=0,"",I254/H254)</f>
        <v>0.120430107526882</v>
      </c>
    </row>
    <row r="255" customFormat="false" ht="15" hidden="false" customHeight="false" outlineLevel="0" collapsed="false">
      <c r="A255" s="13" t="s">
        <v>65</v>
      </c>
      <c r="B255" s="13" t="s">
        <v>173</v>
      </c>
      <c r="C255" s="13" t="n">
        <v>17</v>
      </c>
      <c r="D255" s="13" t="n">
        <v>0</v>
      </c>
      <c r="E255" s="13" t="n">
        <v>17</v>
      </c>
      <c r="F255" s="13" t="n">
        <v>0</v>
      </c>
      <c r="G255" s="17" t="n">
        <v>0.0076772</v>
      </c>
      <c r="H255" s="13" t="n">
        <v>17</v>
      </c>
      <c r="I255" s="13" t="n">
        <v>0</v>
      </c>
      <c r="J255" s="13" t="n">
        <v>17</v>
      </c>
      <c r="K255" s="13" t="n">
        <v>0</v>
      </c>
      <c r="L255" s="17" t="n">
        <v>0.0076772</v>
      </c>
      <c r="M255" s="18" t="n">
        <f aca="false">IF(H255=0,"",I255/H255)</f>
        <v>0</v>
      </c>
    </row>
    <row r="256" customFormat="false" ht="15" hidden="false" customHeight="false" outlineLevel="0" collapsed="false">
      <c r="A256" s="13" t="s">
        <v>65</v>
      </c>
      <c r="B256" s="13" t="s">
        <v>176</v>
      </c>
      <c r="C256" s="13" t="n">
        <v>246</v>
      </c>
      <c r="D256" s="13" t="n">
        <v>0</v>
      </c>
      <c r="E256" s="13" t="n">
        <v>0</v>
      </c>
      <c r="F256" s="13" t="n">
        <v>0</v>
      </c>
      <c r="G256" s="17" t="n">
        <v>0</v>
      </c>
      <c r="H256" s="13" t="n">
        <v>260</v>
      </c>
      <c r="I256" s="13" t="n">
        <v>0</v>
      </c>
      <c r="J256" s="13" t="n">
        <v>0</v>
      </c>
      <c r="K256" s="13" t="n">
        <v>0</v>
      </c>
      <c r="L256" s="17" t="n">
        <v>0</v>
      </c>
      <c r="M256" s="18" t="n">
        <f aca="false">IF(H256=0,"",I256/H256)</f>
        <v>0</v>
      </c>
    </row>
    <row r="257" customFormat="false" ht="15" hidden="false" customHeight="false" outlineLevel="0" collapsed="false">
      <c r="A257" s="13" t="s">
        <v>318</v>
      </c>
      <c r="B257" s="13" t="s">
        <v>176</v>
      </c>
      <c r="C257" s="13" t="n">
        <v>0</v>
      </c>
      <c r="D257" s="13" t="n">
        <v>0</v>
      </c>
      <c r="E257" s="13" t="n">
        <v>0</v>
      </c>
      <c r="F257" s="13" t="n">
        <v>0</v>
      </c>
      <c r="G257" s="17" t="n">
        <v>0</v>
      </c>
      <c r="H257" s="13" t="n">
        <v>1</v>
      </c>
      <c r="I257" s="13" t="n">
        <v>0</v>
      </c>
      <c r="J257" s="13" t="n">
        <v>0</v>
      </c>
      <c r="K257" s="13" t="n">
        <v>0</v>
      </c>
      <c r="L257" s="17" t="n">
        <v>0</v>
      </c>
      <c r="M257" s="18" t="n">
        <f aca="false">IF(H257=0,"",I257/H257)</f>
        <v>0</v>
      </c>
    </row>
    <row r="258" customFormat="false" ht="15" hidden="false" customHeight="false" outlineLevel="0" collapsed="false">
      <c r="A258" s="13" t="s">
        <v>319</v>
      </c>
      <c r="B258" s="13" t="s">
        <v>176</v>
      </c>
      <c r="C258" s="13" t="n">
        <v>0</v>
      </c>
      <c r="D258" s="13" t="n">
        <v>0</v>
      </c>
      <c r="E258" s="13" t="n">
        <v>0</v>
      </c>
      <c r="F258" s="13" t="n">
        <v>0</v>
      </c>
      <c r="G258" s="17" t="n">
        <v>0</v>
      </c>
      <c r="H258" s="13" t="n">
        <v>1</v>
      </c>
      <c r="I258" s="13" t="n">
        <v>0</v>
      </c>
      <c r="J258" s="13" t="n">
        <v>0</v>
      </c>
      <c r="K258" s="13" t="n">
        <v>0</v>
      </c>
      <c r="L258" s="17" t="n">
        <v>0</v>
      </c>
      <c r="M258" s="18" t="n">
        <f aca="false">IF(H258=0,"",I258/H258)</f>
        <v>0</v>
      </c>
    </row>
    <row r="259" customFormat="false" ht="15" hidden="false" customHeight="false" outlineLevel="0" collapsed="false">
      <c r="A259" s="13" t="s">
        <v>320</v>
      </c>
      <c r="B259" s="13" t="s">
        <v>176</v>
      </c>
      <c r="C259" s="13" t="n">
        <v>0</v>
      </c>
      <c r="D259" s="13" t="n">
        <v>0</v>
      </c>
      <c r="E259" s="13" t="n">
        <v>0</v>
      </c>
      <c r="F259" s="13" t="n">
        <v>0</v>
      </c>
      <c r="G259" s="17" t="n">
        <v>0</v>
      </c>
      <c r="H259" s="13" t="n">
        <v>1</v>
      </c>
      <c r="I259" s="13" t="n">
        <v>0</v>
      </c>
      <c r="J259" s="13" t="n">
        <v>0</v>
      </c>
      <c r="K259" s="13" t="n">
        <v>0</v>
      </c>
      <c r="L259" s="17" t="n">
        <v>0</v>
      </c>
      <c r="M259" s="18" t="n">
        <f aca="false">IF(H259=0,"",I259/H259)</f>
        <v>0</v>
      </c>
    </row>
    <row r="260" customFormat="false" ht="15" hidden="false" customHeight="false" outlineLevel="0" collapsed="false">
      <c r="A260" s="13" t="s">
        <v>321</v>
      </c>
      <c r="B260" s="13" t="s">
        <v>176</v>
      </c>
      <c r="C260" s="13" t="n">
        <v>0</v>
      </c>
      <c r="D260" s="13" t="n">
        <v>0</v>
      </c>
      <c r="E260" s="13" t="n">
        <v>0</v>
      </c>
      <c r="F260" s="13" t="n">
        <v>0</v>
      </c>
      <c r="G260" s="17" t="n">
        <v>0</v>
      </c>
      <c r="H260" s="13" t="n">
        <v>1</v>
      </c>
      <c r="I260" s="13" t="n">
        <v>0</v>
      </c>
      <c r="J260" s="13" t="n">
        <v>0</v>
      </c>
      <c r="K260" s="13" t="n">
        <v>0</v>
      </c>
      <c r="L260" s="17" t="n">
        <v>0</v>
      </c>
      <c r="M260" s="18" t="n">
        <f aca="false">IF(H260=0,"",I260/H260)</f>
        <v>0</v>
      </c>
    </row>
    <row r="261" customFormat="false" ht="15" hidden="false" customHeight="false" outlineLevel="0" collapsed="false">
      <c r="A261" s="13" t="s">
        <v>131</v>
      </c>
      <c r="B261" s="13" t="s">
        <v>169</v>
      </c>
      <c r="C261" s="13" t="n">
        <v>0</v>
      </c>
      <c r="D261" s="13" t="n">
        <v>0</v>
      </c>
      <c r="E261" s="13" t="n">
        <v>2</v>
      </c>
      <c r="F261" s="13" t="n">
        <v>0</v>
      </c>
      <c r="G261" s="17" t="n">
        <v>0</v>
      </c>
      <c r="H261" s="13" t="n">
        <v>2</v>
      </c>
      <c r="I261" s="13" t="n">
        <v>0</v>
      </c>
      <c r="J261" s="13" t="n">
        <v>2</v>
      </c>
      <c r="K261" s="13" t="n">
        <v>4</v>
      </c>
      <c r="L261" s="17" t="n">
        <v>0</v>
      </c>
      <c r="M261" s="18" t="n">
        <f aca="false">IF(H261=0,"",I261/H261)</f>
        <v>0</v>
      </c>
    </row>
    <row r="262" customFormat="false" ht="15" hidden="false" customHeight="false" outlineLevel="0" collapsed="false">
      <c r="A262" s="13" t="s">
        <v>131</v>
      </c>
      <c r="B262" s="13" t="s">
        <v>170</v>
      </c>
      <c r="C262" s="13" t="n">
        <v>10</v>
      </c>
      <c r="D262" s="13" t="n">
        <v>10</v>
      </c>
      <c r="E262" s="13" t="n">
        <v>0</v>
      </c>
      <c r="F262" s="13" t="n">
        <v>10</v>
      </c>
      <c r="G262" s="17" t="n">
        <v>0</v>
      </c>
      <c r="H262" s="13" t="n">
        <v>10</v>
      </c>
      <c r="I262" s="13" t="n">
        <v>10</v>
      </c>
      <c r="J262" s="13" t="n">
        <v>0</v>
      </c>
      <c r="K262" s="13" t="n">
        <v>10</v>
      </c>
      <c r="L262" s="17" t="n">
        <v>0</v>
      </c>
      <c r="M262" s="18" t="n">
        <f aca="false">IF(H262=0,"",I262/H262)</f>
        <v>1</v>
      </c>
    </row>
    <row r="263" customFormat="false" ht="15" hidden="false" customHeight="false" outlineLevel="0" collapsed="false">
      <c r="A263" s="13" t="s">
        <v>131</v>
      </c>
      <c r="B263" s="13" t="s">
        <v>172</v>
      </c>
      <c r="C263" s="13" t="n">
        <v>75</v>
      </c>
      <c r="D263" s="13" t="n">
        <v>0</v>
      </c>
      <c r="E263" s="13" t="n">
        <v>75</v>
      </c>
      <c r="F263" s="13" t="n">
        <v>0</v>
      </c>
      <c r="G263" s="17" t="n">
        <v>0.00905</v>
      </c>
      <c r="H263" s="13" t="n">
        <v>75</v>
      </c>
      <c r="I263" s="13" t="n">
        <v>0</v>
      </c>
      <c r="J263" s="13" t="n">
        <v>75</v>
      </c>
      <c r="K263" s="13" t="n">
        <v>0</v>
      </c>
      <c r="L263" s="17" t="n">
        <v>0.00905</v>
      </c>
      <c r="M263" s="18" t="n">
        <f aca="false">IF(H263=0,"",I263/H263)</f>
        <v>0</v>
      </c>
    </row>
    <row r="264" customFormat="false" ht="15" hidden="false" customHeight="false" outlineLevel="0" collapsed="false">
      <c r="A264" s="13" t="s">
        <v>131</v>
      </c>
      <c r="B264" s="13" t="s">
        <v>173</v>
      </c>
      <c r="C264" s="13" t="n">
        <v>9</v>
      </c>
      <c r="D264" s="13" t="n">
        <v>0</v>
      </c>
      <c r="E264" s="13" t="n">
        <v>9</v>
      </c>
      <c r="F264" s="13" t="n">
        <v>0</v>
      </c>
      <c r="G264" s="17" t="n">
        <v>0</v>
      </c>
      <c r="H264" s="13" t="n">
        <v>9</v>
      </c>
      <c r="I264" s="13" t="n">
        <v>0</v>
      </c>
      <c r="J264" s="13" t="n">
        <v>9</v>
      </c>
      <c r="K264" s="13" t="n">
        <v>0</v>
      </c>
      <c r="L264" s="17" t="n">
        <v>0</v>
      </c>
      <c r="M264" s="18" t="n">
        <f aca="false">IF(H264=0,"",I264/H264)</f>
        <v>0</v>
      </c>
    </row>
    <row r="265" customFormat="false" ht="15" hidden="false" customHeight="false" outlineLevel="0" collapsed="false">
      <c r="A265" s="13" t="s">
        <v>131</v>
      </c>
      <c r="B265" s="13" t="s">
        <v>175</v>
      </c>
      <c r="C265" s="13" t="n">
        <v>0</v>
      </c>
      <c r="D265" s="13" t="n">
        <v>0</v>
      </c>
      <c r="E265" s="13" t="n">
        <v>0</v>
      </c>
      <c r="F265" s="13" t="n">
        <v>0</v>
      </c>
      <c r="G265" s="17" t="n">
        <v>0</v>
      </c>
      <c r="H265" s="13" t="n">
        <v>16</v>
      </c>
      <c r="I265" s="13" t="n">
        <v>0</v>
      </c>
      <c r="J265" s="13" t="n">
        <v>0</v>
      </c>
      <c r="K265" s="13" t="n">
        <v>16</v>
      </c>
      <c r="L265" s="17" t="n">
        <v>0</v>
      </c>
      <c r="M265" s="18" t="n">
        <f aca="false">IF(H265=0,"",I265/H265)</f>
        <v>0</v>
      </c>
    </row>
    <row r="266" customFormat="false" ht="15" hidden="false" customHeight="false" outlineLevel="0" collapsed="false">
      <c r="A266" s="13" t="s">
        <v>131</v>
      </c>
      <c r="B266" s="13" t="s">
        <v>176</v>
      </c>
      <c r="C266" s="13" t="n">
        <v>54</v>
      </c>
      <c r="D266" s="13" t="n">
        <v>0</v>
      </c>
      <c r="E266" s="13" t="n">
        <v>0</v>
      </c>
      <c r="F266" s="13" t="n">
        <v>0</v>
      </c>
      <c r="G266" s="17" t="n">
        <v>0</v>
      </c>
      <c r="H266" s="13" t="n">
        <v>55</v>
      </c>
      <c r="I266" s="13" t="n">
        <v>0</v>
      </c>
      <c r="J266" s="13" t="n">
        <v>0</v>
      </c>
      <c r="K266" s="13" t="n">
        <v>0</v>
      </c>
      <c r="L266" s="17" t="n">
        <v>0</v>
      </c>
      <c r="M266" s="18" t="n">
        <f aca="false">IF(H266=0,"",I266/H266)</f>
        <v>0</v>
      </c>
    </row>
    <row r="267" customFormat="false" ht="15" hidden="false" customHeight="false" outlineLevel="0" collapsed="false">
      <c r="A267" s="13" t="s">
        <v>322</v>
      </c>
      <c r="B267" s="13" t="s">
        <v>176</v>
      </c>
      <c r="C267" s="13" t="n">
        <v>0</v>
      </c>
      <c r="D267" s="13" t="n">
        <v>0</v>
      </c>
      <c r="E267" s="13" t="n">
        <v>0</v>
      </c>
      <c r="F267" s="13" t="n">
        <v>0</v>
      </c>
      <c r="G267" s="17" t="n">
        <v>0</v>
      </c>
      <c r="H267" s="13" t="n">
        <v>1</v>
      </c>
      <c r="I267" s="13" t="n">
        <v>0</v>
      </c>
      <c r="J267" s="13" t="n">
        <v>0</v>
      </c>
      <c r="K267" s="13" t="n">
        <v>0</v>
      </c>
      <c r="L267" s="17" t="n">
        <v>0</v>
      </c>
      <c r="M267" s="18" t="n">
        <f aca="false">IF(H267=0,"",I267/H267)</f>
        <v>0</v>
      </c>
    </row>
    <row r="268" customFormat="false" ht="15" hidden="false" customHeight="false" outlineLevel="0" collapsed="false">
      <c r="A268" s="13" t="s">
        <v>323</v>
      </c>
      <c r="B268" s="13" t="s">
        <v>176</v>
      </c>
      <c r="C268" s="13" t="n">
        <v>0</v>
      </c>
      <c r="D268" s="13" t="n">
        <v>0</v>
      </c>
      <c r="E268" s="13" t="n">
        <v>0</v>
      </c>
      <c r="F268" s="13" t="n">
        <v>0</v>
      </c>
      <c r="G268" s="17" t="n">
        <v>0</v>
      </c>
      <c r="H268" s="13" t="n">
        <v>1</v>
      </c>
      <c r="I268" s="13" t="n">
        <v>0</v>
      </c>
      <c r="J268" s="13" t="n">
        <v>0</v>
      </c>
      <c r="K268" s="13" t="n">
        <v>0</v>
      </c>
      <c r="L268" s="17" t="n">
        <v>0</v>
      </c>
      <c r="M268" s="18" t="n">
        <f aca="false">IF(H268=0,"",I268/H268)</f>
        <v>0</v>
      </c>
    </row>
    <row r="269" customFormat="false" ht="15" hidden="false" customHeight="false" outlineLevel="0" collapsed="false">
      <c r="A269" s="13" t="s">
        <v>324</v>
      </c>
      <c r="B269" s="13" t="s">
        <v>176</v>
      </c>
      <c r="C269" s="13" t="n">
        <v>0</v>
      </c>
      <c r="D269" s="13" t="n">
        <v>0</v>
      </c>
      <c r="E269" s="13" t="n">
        <v>0</v>
      </c>
      <c r="F269" s="13" t="n">
        <v>0</v>
      </c>
      <c r="G269" s="17" t="n">
        <v>0</v>
      </c>
      <c r="H269" s="13" t="n">
        <v>1</v>
      </c>
      <c r="I269" s="13" t="n">
        <v>0</v>
      </c>
      <c r="J269" s="13" t="n">
        <v>0</v>
      </c>
      <c r="K269" s="13" t="n">
        <v>0</v>
      </c>
      <c r="L269" s="17" t="n">
        <v>0</v>
      </c>
      <c r="M269" s="18" t="n">
        <f aca="false">IF(H269=0,"",I269/H269)</f>
        <v>0</v>
      </c>
    </row>
    <row r="270" customFormat="false" ht="15" hidden="false" customHeight="false" outlineLevel="0" collapsed="false">
      <c r="A270" s="13" t="s">
        <v>325</v>
      </c>
      <c r="B270" s="13" t="s">
        <v>176</v>
      </c>
      <c r="C270" s="13" t="n">
        <v>0</v>
      </c>
      <c r="D270" s="13" t="n">
        <v>0</v>
      </c>
      <c r="E270" s="13" t="n">
        <v>0</v>
      </c>
      <c r="F270" s="13" t="n">
        <v>0</v>
      </c>
      <c r="G270" s="17" t="n">
        <v>0</v>
      </c>
      <c r="H270" s="13" t="n">
        <v>1</v>
      </c>
      <c r="I270" s="13" t="n">
        <v>0</v>
      </c>
      <c r="J270" s="13" t="n">
        <v>0</v>
      </c>
      <c r="K270" s="13" t="n">
        <v>0</v>
      </c>
      <c r="L270" s="17" t="n">
        <v>0</v>
      </c>
      <c r="M270" s="18" t="n">
        <f aca="false">IF(H270=0,"",I270/H270)</f>
        <v>0</v>
      </c>
    </row>
    <row r="271" customFormat="false" ht="15" hidden="false" customHeight="false" outlineLevel="0" collapsed="false">
      <c r="A271" s="13" t="s">
        <v>326</v>
      </c>
      <c r="B271" s="13" t="s">
        <v>176</v>
      </c>
      <c r="C271" s="13" t="n">
        <v>0</v>
      </c>
      <c r="D271" s="13" t="n">
        <v>0</v>
      </c>
      <c r="E271" s="13" t="n">
        <v>0</v>
      </c>
      <c r="F271" s="13" t="n">
        <v>0</v>
      </c>
      <c r="G271" s="17" t="n">
        <v>0</v>
      </c>
      <c r="H271" s="13" t="n">
        <v>1</v>
      </c>
      <c r="I271" s="13" t="n">
        <v>0</v>
      </c>
      <c r="J271" s="13" t="n">
        <v>0</v>
      </c>
      <c r="K271" s="13" t="n">
        <v>0</v>
      </c>
      <c r="L271" s="17" t="n">
        <v>0</v>
      </c>
      <c r="M271" s="18" t="n">
        <f aca="false">IF(H271=0,"",I271/H271)</f>
        <v>0</v>
      </c>
    </row>
    <row r="272" customFormat="false" ht="15" hidden="false" customHeight="false" outlineLevel="0" collapsed="false">
      <c r="A272" s="13" t="s">
        <v>327</v>
      </c>
      <c r="B272" s="13" t="s">
        <v>176</v>
      </c>
      <c r="C272" s="13" t="n">
        <v>0</v>
      </c>
      <c r="D272" s="13" t="n">
        <v>0</v>
      </c>
      <c r="E272" s="13" t="n">
        <v>0</v>
      </c>
      <c r="F272" s="13" t="n">
        <v>0</v>
      </c>
      <c r="G272" s="17" t="n">
        <v>0</v>
      </c>
      <c r="H272" s="13" t="n">
        <v>1</v>
      </c>
      <c r="I272" s="13" t="n">
        <v>0</v>
      </c>
      <c r="J272" s="13" t="n">
        <v>0</v>
      </c>
      <c r="K272" s="13" t="n">
        <v>0</v>
      </c>
      <c r="L272" s="17" t="n">
        <v>0</v>
      </c>
      <c r="M272" s="18" t="n">
        <f aca="false">IF(H272=0,"",I272/H272)</f>
        <v>0</v>
      </c>
    </row>
    <row r="273" customFormat="false" ht="15" hidden="false" customHeight="false" outlineLevel="0" collapsed="false">
      <c r="A273" s="13" t="s">
        <v>328</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329</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330</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331</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332</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93</v>
      </c>
      <c r="B278" s="13" t="s">
        <v>169</v>
      </c>
      <c r="C278" s="13" t="n">
        <v>0</v>
      </c>
      <c r="D278" s="13" t="n">
        <v>0</v>
      </c>
      <c r="E278" s="13" t="n">
        <v>0</v>
      </c>
      <c r="F278" s="13" t="n">
        <v>0</v>
      </c>
      <c r="G278" s="17" t="n">
        <v>0</v>
      </c>
      <c r="H278" s="13" t="n">
        <v>127</v>
      </c>
      <c r="I278" s="13" t="n">
        <v>0</v>
      </c>
      <c r="J278" s="13" t="n">
        <v>15</v>
      </c>
      <c r="K278" s="13" t="n">
        <v>254</v>
      </c>
      <c r="L278" s="17" t="n">
        <v>0</v>
      </c>
      <c r="M278" s="18" t="n">
        <f aca="false">IF(H278=0,"",I278/H278)</f>
        <v>0</v>
      </c>
    </row>
    <row r="279" customFormat="false" ht="15" hidden="false" customHeight="false" outlineLevel="0" collapsed="false">
      <c r="A279" s="13" t="s">
        <v>93</v>
      </c>
      <c r="B279" s="13" t="s">
        <v>170</v>
      </c>
      <c r="C279" s="13" t="n">
        <v>0</v>
      </c>
      <c r="D279" s="13" t="n">
        <v>0</v>
      </c>
      <c r="E279" s="13" t="n">
        <v>0</v>
      </c>
      <c r="F279" s="13" t="n">
        <v>0</v>
      </c>
      <c r="G279" s="17" t="n">
        <v>0</v>
      </c>
      <c r="H279" s="13" t="n">
        <v>31</v>
      </c>
      <c r="I279" s="13" t="n">
        <v>0</v>
      </c>
      <c r="J279" s="13" t="n">
        <v>31</v>
      </c>
      <c r="K279" s="13" t="n">
        <v>0</v>
      </c>
      <c r="L279" s="17" t="n">
        <v>0</v>
      </c>
      <c r="M279" s="18" t="n">
        <f aca="false">IF(H279=0,"",I279/H279)</f>
        <v>0</v>
      </c>
    </row>
    <row r="280" customFormat="false" ht="15" hidden="false" customHeight="false" outlineLevel="0" collapsed="false">
      <c r="A280" s="13" t="s">
        <v>93</v>
      </c>
      <c r="B280" s="13" t="s">
        <v>172</v>
      </c>
      <c r="C280" s="13" t="n">
        <v>197</v>
      </c>
      <c r="D280" s="13" t="n">
        <v>40</v>
      </c>
      <c r="E280" s="13" t="n">
        <v>155</v>
      </c>
      <c r="F280" s="13" t="n">
        <v>0</v>
      </c>
      <c r="G280" s="17" t="n">
        <v>0.144783466666667</v>
      </c>
      <c r="H280" s="13" t="n">
        <v>220</v>
      </c>
      <c r="I280" s="13" t="n">
        <v>40</v>
      </c>
      <c r="J280" s="13" t="n">
        <v>177</v>
      </c>
      <c r="K280" s="13" t="n">
        <v>0</v>
      </c>
      <c r="L280" s="17" t="n">
        <v>0.175155466666667</v>
      </c>
      <c r="M280" s="18" t="n">
        <f aca="false">IF(H280=0,"",I280/H280)</f>
        <v>0.181818181818182</v>
      </c>
    </row>
    <row r="281" customFormat="false" ht="15" hidden="false" customHeight="false" outlineLevel="0" collapsed="false">
      <c r="A281" s="13" t="s">
        <v>93</v>
      </c>
      <c r="B281" s="13" t="s">
        <v>173</v>
      </c>
      <c r="C281" s="13" t="n">
        <v>13</v>
      </c>
      <c r="D281" s="13" t="n">
        <v>7</v>
      </c>
      <c r="E281" s="13" t="n">
        <v>6</v>
      </c>
      <c r="F281" s="13" t="n">
        <v>0</v>
      </c>
      <c r="G281" s="17" t="n">
        <v>0.0252184</v>
      </c>
      <c r="H281" s="13" t="n">
        <v>13</v>
      </c>
      <c r="I281" s="13" t="n">
        <v>7</v>
      </c>
      <c r="J281" s="13" t="n">
        <v>6</v>
      </c>
      <c r="K281" s="13" t="n">
        <v>0</v>
      </c>
      <c r="L281" s="17" t="n">
        <v>0.0252184</v>
      </c>
      <c r="M281" s="18" t="n">
        <f aca="false">IF(H281=0,"",I281/H281)</f>
        <v>0.538461538461538</v>
      </c>
    </row>
    <row r="282" customFormat="false" ht="15" hidden="false" customHeight="false" outlineLevel="0" collapsed="false">
      <c r="A282" s="13" t="s">
        <v>93</v>
      </c>
      <c r="B282" s="13" t="s">
        <v>175</v>
      </c>
      <c r="C282" s="13" t="n">
        <v>3</v>
      </c>
      <c r="D282" s="13" t="n">
        <v>0</v>
      </c>
      <c r="E282" s="13" t="n">
        <v>0</v>
      </c>
      <c r="F282" s="13" t="n">
        <v>3</v>
      </c>
      <c r="G282" s="17" t="n">
        <v>0</v>
      </c>
      <c r="H282" s="13" t="n">
        <v>3</v>
      </c>
      <c r="I282" s="13" t="n">
        <v>0</v>
      </c>
      <c r="J282" s="13" t="n">
        <v>0</v>
      </c>
      <c r="K282" s="13" t="n">
        <v>3</v>
      </c>
      <c r="L282" s="17" t="n">
        <v>0</v>
      </c>
      <c r="M282" s="18" t="n">
        <f aca="false">IF(H282=0,"",I282/H282)</f>
        <v>0</v>
      </c>
    </row>
    <row r="283" customFormat="false" ht="15" hidden="false" customHeight="false" outlineLevel="0" collapsed="false">
      <c r="A283" s="13" t="s">
        <v>93</v>
      </c>
      <c r="B283" s="13" t="s">
        <v>176</v>
      </c>
      <c r="C283" s="13" t="n">
        <v>99</v>
      </c>
      <c r="D283" s="13" t="n">
        <v>0</v>
      </c>
      <c r="E283" s="13" t="n">
        <v>0</v>
      </c>
      <c r="F283" s="13" t="n">
        <v>0</v>
      </c>
      <c r="G283" s="17" t="n">
        <v>0</v>
      </c>
      <c r="H283" s="13" t="n">
        <v>106</v>
      </c>
      <c r="I283" s="13" t="n">
        <v>0</v>
      </c>
      <c r="J283" s="13" t="n">
        <v>0</v>
      </c>
      <c r="K283" s="13" t="n">
        <v>0</v>
      </c>
      <c r="L283" s="17" t="n">
        <v>0</v>
      </c>
      <c r="M283" s="18" t="n">
        <f aca="false">IF(H283=0,"",I283/H283)</f>
        <v>0</v>
      </c>
    </row>
    <row r="284" customFormat="false" ht="15" hidden="false" customHeight="false" outlineLevel="0" collapsed="false">
      <c r="A284" s="13" t="s">
        <v>121</v>
      </c>
      <c r="B284" s="13" t="s">
        <v>169</v>
      </c>
      <c r="C284" s="13" t="n">
        <v>0</v>
      </c>
      <c r="D284" s="13" t="n">
        <v>0</v>
      </c>
      <c r="E284" s="13" t="n">
        <v>0</v>
      </c>
      <c r="F284" s="13" t="n">
        <v>0</v>
      </c>
      <c r="G284" s="17" t="n">
        <v>0</v>
      </c>
      <c r="H284" s="13" t="n">
        <v>148</v>
      </c>
      <c r="I284" s="13" t="n">
        <v>1</v>
      </c>
      <c r="J284" s="13" t="n">
        <v>147</v>
      </c>
      <c r="K284" s="13" t="n">
        <v>296</v>
      </c>
      <c r="L284" s="17" t="n">
        <v>0</v>
      </c>
      <c r="M284" s="18" t="n">
        <f aca="false">IF(H284=0,"",I284/H284)</f>
        <v>0.00675675675675676</v>
      </c>
    </row>
    <row r="285" customFormat="false" ht="15" hidden="false" customHeight="false" outlineLevel="0" collapsed="false">
      <c r="A285" s="13" t="s">
        <v>121</v>
      </c>
      <c r="B285" s="13" t="s">
        <v>170</v>
      </c>
      <c r="C285" s="13" t="n">
        <v>21</v>
      </c>
      <c r="D285" s="13" t="n">
        <v>21</v>
      </c>
      <c r="E285" s="13" t="n">
        <v>0</v>
      </c>
      <c r="F285" s="13" t="n">
        <v>0</v>
      </c>
      <c r="G285" s="17" t="n">
        <v>0</v>
      </c>
      <c r="H285" s="13" t="n">
        <v>168</v>
      </c>
      <c r="I285" s="13" t="n">
        <v>22</v>
      </c>
      <c r="J285" s="13" t="n">
        <v>0</v>
      </c>
      <c r="K285" s="13" t="n">
        <v>0</v>
      </c>
      <c r="L285" s="17" t="n">
        <v>0</v>
      </c>
      <c r="M285" s="18" t="n">
        <f aca="false">IF(H285=0,"",I285/H285)</f>
        <v>0.130952380952381</v>
      </c>
    </row>
    <row r="286" customFormat="false" ht="15" hidden="false" customHeight="false" outlineLevel="0" collapsed="false">
      <c r="A286" s="13" t="s">
        <v>121</v>
      </c>
      <c r="B286" s="13" t="s">
        <v>172</v>
      </c>
      <c r="C286" s="13" t="n">
        <v>304</v>
      </c>
      <c r="D286" s="13" t="n">
        <v>3</v>
      </c>
      <c r="E286" s="13" t="n">
        <v>301</v>
      </c>
      <c r="F286" s="13" t="n">
        <v>0</v>
      </c>
      <c r="G286" s="17" t="n">
        <v>0.1223522</v>
      </c>
      <c r="H286" s="13" t="n">
        <v>729</v>
      </c>
      <c r="I286" s="13" t="n">
        <v>57</v>
      </c>
      <c r="J286" s="13" t="n">
        <v>671</v>
      </c>
      <c r="K286" s="13" t="n">
        <v>0</v>
      </c>
      <c r="L286" s="17" t="n">
        <v>0.2426311</v>
      </c>
      <c r="M286" s="18" t="n">
        <f aca="false">IF(H286=0,"",I286/H286)</f>
        <v>0.0781893004115226</v>
      </c>
    </row>
    <row r="287" customFormat="false" ht="15" hidden="false" customHeight="false" outlineLevel="0" collapsed="false">
      <c r="A287" s="13" t="s">
        <v>121</v>
      </c>
      <c r="B287" s="13" t="s">
        <v>173</v>
      </c>
      <c r="C287" s="13" t="n">
        <v>8</v>
      </c>
      <c r="D287" s="13" t="n">
        <v>0</v>
      </c>
      <c r="E287" s="13" t="n">
        <v>8</v>
      </c>
      <c r="F287" s="13" t="n">
        <v>0</v>
      </c>
      <c r="G287" s="17" t="n">
        <v>0.0023552</v>
      </c>
      <c r="H287" s="13" t="n">
        <v>8</v>
      </c>
      <c r="I287" s="13" t="n">
        <v>0</v>
      </c>
      <c r="J287" s="13" t="n">
        <v>8</v>
      </c>
      <c r="K287" s="13" t="n">
        <v>0</v>
      </c>
      <c r="L287" s="17" t="n">
        <v>0.0023552</v>
      </c>
      <c r="M287" s="18" t="n">
        <f aca="false">IF(H287=0,"",I287/H287)</f>
        <v>0</v>
      </c>
    </row>
    <row r="288" customFormat="false" ht="15" hidden="false" customHeight="false" outlineLevel="0" collapsed="false">
      <c r="A288" s="13" t="s">
        <v>121</v>
      </c>
      <c r="B288" s="13" t="s">
        <v>175</v>
      </c>
      <c r="C288" s="13" t="n">
        <v>0</v>
      </c>
      <c r="D288" s="13" t="n">
        <v>0</v>
      </c>
      <c r="E288" s="13" t="n">
        <v>0</v>
      </c>
      <c r="F288" s="13" t="n">
        <v>0</v>
      </c>
      <c r="G288" s="17" t="n">
        <v>0</v>
      </c>
      <c r="H288" s="13" t="n">
        <v>16</v>
      </c>
      <c r="I288" s="13" t="n">
        <v>0</v>
      </c>
      <c r="J288" s="13" t="n">
        <v>0</v>
      </c>
      <c r="K288" s="13" t="n">
        <v>16</v>
      </c>
      <c r="L288" s="17" t="n">
        <v>0</v>
      </c>
      <c r="M288" s="18" t="n">
        <f aca="false">IF(H288=0,"",I288/H288)</f>
        <v>0</v>
      </c>
    </row>
    <row r="289" customFormat="false" ht="15" hidden="false" customHeight="false" outlineLevel="0" collapsed="false">
      <c r="A289" s="13" t="s">
        <v>121</v>
      </c>
      <c r="B289" s="13" t="s">
        <v>176</v>
      </c>
      <c r="C289" s="13" t="n">
        <v>63</v>
      </c>
      <c r="D289" s="13" t="n">
        <v>0</v>
      </c>
      <c r="E289" s="13" t="n">
        <v>0</v>
      </c>
      <c r="F289" s="13" t="n">
        <v>0</v>
      </c>
      <c r="G289" s="17" t="n">
        <v>0</v>
      </c>
      <c r="H289" s="13" t="n">
        <v>432</v>
      </c>
      <c r="I289" s="13" t="n">
        <v>0</v>
      </c>
      <c r="J289" s="13" t="n">
        <v>0</v>
      </c>
      <c r="K289" s="13" t="n">
        <v>0</v>
      </c>
      <c r="L289" s="17" t="n">
        <v>0</v>
      </c>
      <c r="M289" s="18" t="n">
        <f aca="false">IF(H289=0,"",I289/H289)</f>
        <v>0</v>
      </c>
    </row>
    <row r="290" customFormat="false" ht="15" hidden="false" customHeight="false" outlineLevel="0" collapsed="false">
      <c r="A290" s="13" t="s">
        <v>333</v>
      </c>
      <c r="B290" s="13" t="s">
        <v>176</v>
      </c>
      <c r="C290" s="13" t="n">
        <v>0</v>
      </c>
      <c r="D290" s="13" t="n">
        <v>0</v>
      </c>
      <c r="E290" s="13" t="n">
        <v>0</v>
      </c>
      <c r="F290" s="13" t="n">
        <v>0</v>
      </c>
      <c r="G290" s="17" t="n">
        <v>0</v>
      </c>
      <c r="H290" s="13" t="n">
        <v>1</v>
      </c>
      <c r="I290" s="13" t="n">
        <v>0</v>
      </c>
      <c r="J290" s="13" t="n">
        <v>0</v>
      </c>
      <c r="K290" s="13" t="n">
        <v>0</v>
      </c>
      <c r="L290" s="17" t="n">
        <v>0</v>
      </c>
      <c r="M290" s="18" t="n">
        <f aca="false">IF(H290=0,"",I290/H290)</f>
        <v>0</v>
      </c>
    </row>
    <row r="291" customFormat="false" ht="15" hidden="false" customHeight="false" outlineLevel="0" collapsed="false">
      <c r="A291" s="13" t="s">
        <v>334</v>
      </c>
      <c r="B291" s="13" t="s">
        <v>176</v>
      </c>
      <c r="C291" s="13" t="n">
        <v>0</v>
      </c>
      <c r="D291" s="13" t="n">
        <v>0</v>
      </c>
      <c r="E291" s="13" t="n">
        <v>0</v>
      </c>
      <c r="F291" s="13" t="n">
        <v>0</v>
      </c>
      <c r="G291" s="17" t="n">
        <v>0</v>
      </c>
      <c r="H291" s="13" t="n">
        <v>1</v>
      </c>
      <c r="I291" s="13" t="n">
        <v>0</v>
      </c>
      <c r="J291" s="13" t="n">
        <v>0</v>
      </c>
      <c r="K291" s="13" t="n">
        <v>0</v>
      </c>
      <c r="L291" s="17" t="n">
        <v>0</v>
      </c>
      <c r="M291" s="18" t="n">
        <f aca="false">IF(H291=0,"",I291/H291)</f>
        <v>0</v>
      </c>
    </row>
    <row r="292" customFormat="false" ht="15" hidden="false" customHeight="false" outlineLevel="0" collapsed="false">
      <c r="A292" s="13" t="s">
        <v>335</v>
      </c>
      <c r="B292" s="13" t="s">
        <v>176</v>
      </c>
      <c r="C292" s="13" t="n">
        <v>0</v>
      </c>
      <c r="D292" s="13" t="n">
        <v>0</v>
      </c>
      <c r="E292" s="13" t="n">
        <v>0</v>
      </c>
      <c r="F292" s="13" t="n">
        <v>0</v>
      </c>
      <c r="G292" s="17" t="n">
        <v>0</v>
      </c>
      <c r="H292" s="13" t="n">
        <v>1</v>
      </c>
      <c r="I292" s="13" t="n">
        <v>0</v>
      </c>
      <c r="J292" s="13" t="n">
        <v>0</v>
      </c>
      <c r="K292" s="13" t="n">
        <v>0</v>
      </c>
      <c r="L292" s="17" t="n">
        <v>0</v>
      </c>
      <c r="M292" s="18" t="n">
        <f aca="false">IF(H292=0,"",I292/H292)</f>
        <v>0</v>
      </c>
    </row>
    <row r="293" customFormat="false" ht="15" hidden="false" customHeight="false" outlineLevel="0" collapsed="false">
      <c r="A293" s="13" t="s">
        <v>336</v>
      </c>
      <c r="B293" s="13" t="s">
        <v>176</v>
      </c>
      <c r="C293" s="13" t="n">
        <v>0</v>
      </c>
      <c r="D293" s="13" t="n">
        <v>0</v>
      </c>
      <c r="E293" s="13" t="n">
        <v>0</v>
      </c>
      <c r="F293" s="13" t="n">
        <v>0</v>
      </c>
      <c r="G293" s="17" t="n">
        <v>0</v>
      </c>
      <c r="H293" s="13" t="n">
        <v>1</v>
      </c>
      <c r="I293" s="13" t="n">
        <v>0</v>
      </c>
      <c r="J293" s="13" t="n">
        <v>0</v>
      </c>
      <c r="K293" s="13" t="n">
        <v>0</v>
      </c>
      <c r="L293" s="17" t="n">
        <v>0</v>
      </c>
      <c r="M293" s="18" t="n">
        <f aca="false">IF(H293=0,"",I293/H293)</f>
        <v>0</v>
      </c>
    </row>
    <row r="294" customFormat="false" ht="15" hidden="false" customHeight="false" outlineLevel="0" collapsed="false">
      <c r="A294" s="13" t="s">
        <v>337</v>
      </c>
      <c r="B294" s="13" t="s">
        <v>176</v>
      </c>
      <c r="C294" s="13" t="n">
        <v>0</v>
      </c>
      <c r="D294" s="13" t="n">
        <v>0</v>
      </c>
      <c r="E294" s="13" t="n">
        <v>0</v>
      </c>
      <c r="F294" s="13" t="n">
        <v>0</v>
      </c>
      <c r="G294" s="17" t="n">
        <v>0</v>
      </c>
      <c r="H294" s="13" t="n">
        <v>1</v>
      </c>
      <c r="I294" s="13" t="n">
        <v>0</v>
      </c>
      <c r="J294" s="13" t="n">
        <v>0</v>
      </c>
      <c r="K294" s="13" t="n">
        <v>0</v>
      </c>
      <c r="L294" s="17" t="n">
        <v>0</v>
      </c>
      <c r="M294" s="18" t="n">
        <f aca="false">IF(H294=0,"",I294/H294)</f>
        <v>0</v>
      </c>
    </row>
    <row r="295" customFormat="false" ht="15" hidden="false" customHeight="false" outlineLevel="0" collapsed="false">
      <c r="A295" s="13" t="s">
        <v>105</v>
      </c>
      <c r="B295" s="13" t="s">
        <v>169</v>
      </c>
      <c r="C295" s="13" t="n">
        <v>0</v>
      </c>
      <c r="D295" s="13" t="n">
        <v>0</v>
      </c>
      <c r="E295" s="13" t="n">
        <v>0</v>
      </c>
      <c r="F295" s="13" t="n">
        <v>0</v>
      </c>
      <c r="G295" s="17" t="n">
        <v>0</v>
      </c>
      <c r="H295" s="13" t="n">
        <v>274</v>
      </c>
      <c r="I295" s="13" t="n">
        <v>0</v>
      </c>
      <c r="J295" s="13" t="n">
        <v>100</v>
      </c>
      <c r="K295" s="13" t="n">
        <v>548</v>
      </c>
      <c r="L295" s="17" t="n">
        <v>0</v>
      </c>
      <c r="M295" s="18" t="n">
        <f aca="false">IF(H295=0,"",I295/H295)</f>
        <v>0</v>
      </c>
    </row>
    <row r="296" customFormat="false" ht="15" hidden="false" customHeight="false" outlineLevel="0" collapsed="false">
      <c r="A296" s="13" t="s">
        <v>105</v>
      </c>
      <c r="B296" s="13" t="s">
        <v>170</v>
      </c>
      <c r="C296" s="13" t="n">
        <v>9</v>
      </c>
      <c r="D296" s="13" t="n">
        <v>7</v>
      </c>
      <c r="E296" s="13" t="n">
        <v>2</v>
      </c>
      <c r="F296" s="13" t="n">
        <v>0</v>
      </c>
      <c r="G296" s="17" t="n">
        <v>0</v>
      </c>
      <c r="H296" s="13" t="n">
        <v>141</v>
      </c>
      <c r="I296" s="13" t="n">
        <v>16</v>
      </c>
      <c r="J296" s="13" t="n">
        <v>4</v>
      </c>
      <c r="K296" s="13" t="n">
        <v>29</v>
      </c>
      <c r="L296" s="17" t="n">
        <v>0</v>
      </c>
      <c r="M296" s="18" t="n">
        <f aca="false">IF(H296=0,"",I296/H296)</f>
        <v>0.113475177304965</v>
      </c>
    </row>
    <row r="297" customFormat="false" ht="15" hidden="false" customHeight="false" outlineLevel="0" collapsed="false">
      <c r="A297" s="13" t="s">
        <v>105</v>
      </c>
      <c r="B297" s="13" t="s">
        <v>171</v>
      </c>
      <c r="C297" s="13" t="n">
        <v>0</v>
      </c>
      <c r="D297" s="13" t="n">
        <v>0</v>
      </c>
      <c r="E297" s="13" t="n">
        <v>0</v>
      </c>
      <c r="F297" s="13" t="n">
        <v>0</v>
      </c>
      <c r="G297" s="17" t="n">
        <v>0</v>
      </c>
      <c r="H297" s="13" t="n">
        <v>40</v>
      </c>
      <c r="I297" s="13" t="n">
        <v>8</v>
      </c>
      <c r="J297" s="13" t="n">
        <v>10</v>
      </c>
      <c r="K297" s="13" t="n">
        <v>0</v>
      </c>
      <c r="L297" s="17" t="n">
        <v>0.00491679</v>
      </c>
      <c r="M297" s="18" t="n">
        <f aca="false">IF(H297=0,"",I297/H297)</f>
        <v>0.2</v>
      </c>
    </row>
    <row r="298" customFormat="false" ht="15" hidden="false" customHeight="false" outlineLevel="0" collapsed="false">
      <c r="A298" s="13" t="s">
        <v>105</v>
      </c>
      <c r="B298" s="13" t="s">
        <v>172</v>
      </c>
      <c r="C298" s="13" t="n">
        <v>201</v>
      </c>
      <c r="D298" s="13" t="n">
        <v>36</v>
      </c>
      <c r="E298" s="13" t="n">
        <v>163</v>
      </c>
      <c r="F298" s="13" t="n">
        <v>0</v>
      </c>
      <c r="G298" s="17" t="n">
        <v>0.148879466666667</v>
      </c>
      <c r="H298" s="13" t="n">
        <v>580</v>
      </c>
      <c r="I298" s="13" t="n">
        <v>46</v>
      </c>
      <c r="J298" s="13" t="n">
        <v>530</v>
      </c>
      <c r="K298" s="13" t="n">
        <v>0</v>
      </c>
      <c r="L298" s="17" t="n">
        <v>0.235095878095238</v>
      </c>
      <c r="M298" s="18" t="n">
        <f aca="false">IF(H298=0,"",I298/H298)</f>
        <v>0.0793103448275862</v>
      </c>
    </row>
    <row r="299" customFormat="false" ht="15" hidden="false" customHeight="false" outlineLevel="0" collapsed="false">
      <c r="A299" s="13" t="s">
        <v>105</v>
      </c>
      <c r="B299" s="13" t="s">
        <v>173</v>
      </c>
      <c r="C299" s="13" t="n">
        <v>12</v>
      </c>
      <c r="D299" s="13" t="n">
        <v>10</v>
      </c>
      <c r="E299" s="13" t="n">
        <v>2</v>
      </c>
      <c r="F299" s="13" t="n">
        <v>0</v>
      </c>
      <c r="G299" s="17" t="n">
        <v>0.060692</v>
      </c>
      <c r="H299" s="13" t="n">
        <v>12</v>
      </c>
      <c r="I299" s="13" t="n">
        <v>10</v>
      </c>
      <c r="J299" s="13" t="n">
        <v>2</v>
      </c>
      <c r="K299" s="13" t="n">
        <v>0</v>
      </c>
      <c r="L299" s="17" t="n">
        <v>0.060692</v>
      </c>
      <c r="M299" s="18" t="n">
        <f aca="false">IF(H299=0,"",I299/H299)</f>
        <v>0.833333333333333</v>
      </c>
    </row>
    <row r="300" customFormat="false" ht="15" hidden="false" customHeight="false" outlineLevel="0" collapsed="false">
      <c r="A300" s="13" t="s">
        <v>105</v>
      </c>
      <c r="B300" s="13" t="s">
        <v>175</v>
      </c>
      <c r="C300" s="13" t="n">
        <v>6</v>
      </c>
      <c r="D300" s="13" t="n">
        <v>0</v>
      </c>
      <c r="E300" s="13" t="n">
        <v>0</v>
      </c>
      <c r="F300" s="13" t="n">
        <v>6</v>
      </c>
      <c r="G300" s="17" t="n">
        <v>0</v>
      </c>
      <c r="H300" s="13" t="n">
        <v>34</v>
      </c>
      <c r="I300" s="13" t="n">
        <v>0</v>
      </c>
      <c r="J300" s="13" t="n">
        <v>0</v>
      </c>
      <c r="K300" s="13" t="n">
        <v>70</v>
      </c>
      <c r="L300" s="17" t="n">
        <v>0</v>
      </c>
      <c r="M300" s="18" t="n">
        <f aca="false">IF(H300=0,"",I300/H300)</f>
        <v>0</v>
      </c>
    </row>
    <row r="301" customFormat="false" ht="15" hidden="false" customHeight="false" outlineLevel="0" collapsed="false">
      <c r="A301" s="13" t="s">
        <v>105</v>
      </c>
      <c r="B301" s="13" t="s">
        <v>176</v>
      </c>
      <c r="C301" s="13" t="n">
        <v>49</v>
      </c>
      <c r="D301" s="13" t="n">
        <v>0</v>
      </c>
      <c r="E301" s="13" t="n">
        <v>0</v>
      </c>
      <c r="F301" s="13" t="n">
        <v>0</v>
      </c>
      <c r="G301" s="17" t="n">
        <v>0</v>
      </c>
      <c r="H301" s="13" t="n">
        <v>417</v>
      </c>
      <c r="I301" s="13" t="n">
        <v>0</v>
      </c>
      <c r="J301" s="13" t="n">
        <v>0</v>
      </c>
      <c r="K301" s="13" t="n">
        <v>0</v>
      </c>
      <c r="L301" s="17" t="n">
        <v>0</v>
      </c>
      <c r="M301" s="18" t="n">
        <f aca="false">IF(H301=0,"",I301/H301)</f>
        <v>0</v>
      </c>
    </row>
    <row r="302" customFormat="false" ht="15" hidden="false" customHeight="false" outlineLevel="0" collapsed="false">
      <c r="A302" s="13" t="s">
        <v>338</v>
      </c>
      <c r="B302" s="13" t="s">
        <v>176</v>
      </c>
      <c r="C302" s="13" t="n">
        <v>0</v>
      </c>
      <c r="D302" s="13" t="n">
        <v>0</v>
      </c>
      <c r="E302" s="13" t="n">
        <v>0</v>
      </c>
      <c r="F302" s="13" t="n">
        <v>0</v>
      </c>
      <c r="G302" s="17" t="n">
        <v>0</v>
      </c>
      <c r="H302" s="13" t="n">
        <v>1</v>
      </c>
      <c r="I302" s="13" t="n">
        <v>0</v>
      </c>
      <c r="J302" s="13" t="n">
        <v>0</v>
      </c>
      <c r="K302" s="13" t="n">
        <v>0</v>
      </c>
      <c r="L302" s="17" t="n">
        <v>0</v>
      </c>
      <c r="M302" s="18" t="n">
        <f aca="false">IF(H302=0,"",I302/H302)</f>
        <v>0</v>
      </c>
    </row>
    <row r="303" customFormat="false" ht="15" hidden="false" customHeight="false" outlineLevel="0" collapsed="false">
      <c r="A303" s="13" t="s">
        <v>339</v>
      </c>
      <c r="B303" s="13" t="s">
        <v>176</v>
      </c>
      <c r="C303" s="13" t="n">
        <v>0</v>
      </c>
      <c r="D303" s="13" t="n">
        <v>0</v>
      </c>
      <c r="E303" s="13" t="n">
        <v>0</v>
      </c>
      <c r="F303" s="13" t="n">
        <v>0</v>
      </c>
      <c r="G303" s="17" t="n">
        <v>0</v>
      </c>
      <c r="H303" s="13" t="n">
        <v>1</v>
      </c>
      <c r="I303" s="13" t="n">
        <v>0</v>
      </c>
      <c r="J303" s="13" t="n">
        <v>0</v>
      </c>
      <c r="K303" s="13" t="n">
        <v>0</v>
      </c>
      <c r="L303" s="17" t="n">
        <v>0</v>
      </c>
      <c r="M303" s="18" t="n">
        <f aca="false">IF(H303=0,"",I303/H303)</f>
        <v>0</v>
      </c>
    </row>
    <row r="304" customFormat="false" ht="15" hidden="false" customHeight="false" outlineLevel="0" collapsed="false">
      <c r="A304" s="13" t="s">
        <v>340</v>
      </c>
      <c r="B304" s="13" t="s">
        <v>176</v>
      </c>
      <c r="C304" s="13" t="n">
        <v>0</v>
      </c>
      <c r="D304" s="13" t="n">
        <v>0</v>
      </c>
      <c r="E304" s="13" t="n">
        <v>0</v>
      </c>
      <c r="F304" s="13" t="n">
        <v>0</v>
      </c>
      <c r="G304" s="17" t="n">
        <v>0</v>
      </c>
      <c r="H304" s="13" t="n">
        <v>1</v>
      </c>
      <c r="I304" s="13" t="n">
        <v>0</v>
      </c>
      <c r="J304" s="13" t="n">
        <v>0</v>
      </c>
      <c r="K304" s="13" t="n">
        <v>0</v>
      </c>
      <c r="L304" s="17" t="n">
        <v>0</v>
      </c>
      <c r="M304" s="18" t="n">
        <f aca="false">IF(H304=0,"",I304/H304)</f>
        <v>0</v>
      </c>
    </row>
    <row r="305" customFormat="false" ht="15" hidden="false" customHeight="false" outlineLevel="0" collapsed="false">
      <c r="A305" s="13" t="s">
        <v>341</v>
      </c>
      <c r="B305" s="13" t="s">
        <v>176</v>
      </c>
      <c r="C305" s="13" t="n">
        <v>0</v>
      </c>
      <c r="D305" s="13" t="n">
        <v>0</v>
      </c>
      <c r="E305" s="13" t="n">
        <v>0</v>
      </c>
      <c r="F305" s="13" t="n">
        <v>0</v>
      </c>
      <c r="G305" s="17" t="n">
        <v>0</v>
      </c>
      <c r="H305" s="13" t="n">
        <v>1</v>
      </c>
      <c r="I305" s="13" t="n">
        <v>0</v>
      </c>
      <c r="J305" s="13" t="n">
        <v>0</v>
      </c>
      <c r="K305" s="13" t="n">
        <v>0</v>
      </c>
      <c r="L305" s="17" t="n">
        <v>0</v>
      </c>
      <c r="M305" s="18" t="n">
        <f aca="false">IF(H305=0,"",I305/H305)</f>
        <v>0</v>
      </c>
    </row>
    <row r="306" customFormat="false" ht="15" hidden="false" customHeight="false" outlineLevel="0" collapsed="false">
      <c r="A306" s="13" t="s">
        <v>342</v>
      </c>
      <c r="B306" s="13" t="s">
        <v>176</v>
      </c>
      <c r="C306" s="13" t="n">
        <v>0</v>
      </c>
      <c r="D306" s="13" t="n">
        <v>0</v>
      </c>
      <c r="E306" s="13" t="n">
        <v>0</v>
      </c>
      <c r="F306" s="13" t="n">
        <v>0</v>
      </c>
      <c r="G306" s="17" t="n">
        <v>0</v>
      </c>
      <c r="H306" s="13" t="n">
        <v>1</v>
      </c>
      <c r="I306" s="13" t="n">
        <v>0</v>
      </c>
      <c r="J306" s="13" t="n">
        <v>0</v>
      </c>
      <c r="K306" s="13" t="n">
        <v>0</v>
      </c>
      <c r="L306" s="17" t="n">
        <v>0</v>
      </c>
      <c r="M306" s="18" t="n">
        <f aca="false">IF(H306=0,"",I306/H306)</f>
        <v>0</v>
      </c>
    </row>
    <row r="307" customFormat="false" ht="15" hidden="false" customHeight="false" outlineLevel="0" collapsed="false">
      <c r="A307" s="13" t="s">
        <v>343</v>
      </c>
      <c r="B307" s="13" t="s">
        <v>176</v>
      </c>
      <c r="C307" s="13" t="n">
        <v>0</v>
      </c>
      <c r="D307" s="13" t="n">
        <v>0</v>
      </c>
      <c r="E307" s="13" t="n">
        <v>0</v>
      </c>
      <c r="F307" s="13" t="n">
        <v>0</v>
      </c>
      <c r="G307" s="17" t="n">
        <v>0</v>
      </c>
      <c r="H307" s="13" t="n">
        <v>1</v>
      </c>
      <c r="I307" s="13" t="n">
        <v>0</v>
      </c>
      <c r="J307" s="13" t="n">
        <v>0</v>
      </c>
      <c r="K307" s="13" t="n">
        <v>0</v>
      </c>
      <c r="L307" s="17" t="n">
        <v>0</v>
      </c>
      <c r="M307" s="18" t="n">
        <f aca="false">IF(H307=0,"",I307/H307)</f>
        <v>0</v>
      </c>
    </row>
    <row r="308" customFormat="false" ht="15" hidden="false" customHeight="false" outlineLevel="0" collapsed="false">
      <c r="A308" s="13" t="s">
        <v>344</v>
      </c>
      <c r="B308" s="13" t="s">
        <v>176</v>
      </c>
      <c r="C308" s="13" t="n">
        <v>0</v>
      </c>
      <c r="D308" s="13" t="n">
        <v>0</v>
      </c>
      <c r="E308" s="13" t="n">
        <v>0</v>
      </c>
      <c r="F308" s="13" t="n">
        <v>0</v>
      </c>
      <c r="G308" s="17" t="n">
        <v>0</v>
      </c>
      <c r="H308" s="13" t="n">
        <v>1</v>
      </c>
      <c r="I308" s="13" t="n">
        <v>0</v>
      </c>
      <c r="J308" s="13" t="n">
        <v>0</v>
      </c>
      <c r="K308" s="13" t="n">
        <v>0</v>
      </c>
      <c r="L308" s="17" t="n">
        <v>0</v>
      </c>
      <c r="M308" s="18" t="n">
        <f aca="false">IF(H308=0,"",I308/H308)</f>
        <v>0</v>
      </c>
    </row>
    <row r="309" customFormat="false" ht="15" hidden="false" customHeight="false" outlineLevel="0" collapsed="false">
      <c r="A309" s="13" t="s">
        <v>345</v>
      </c>
      <c r="B309" s="13" t="s">
        <v>176</v>
      </c>
      <c r="C309" s="13" t="n">
        <v>0</v>
      </c>
      <c r="D309" s="13" t="n">
        <v>0</v>
      </c>
      <c r="E309" s="13" t="n">
        <v>0</v>
      </c>
      <c r="F309" s="13" t="n">
        <v>0</v>
      </c>
      <c r="G309" s="17" t="n">
        <v>0</v>
      </c>
      <c r="H309" s="13" t="n">
        <v>1</v>
      </c>
      <c r="I309" s="13" t="n">
        <v>0</v>
      </c>
      <c r="J309" s="13" t="n">
        <v>0</v>
      </c>
      <c r="K309" s="13" t="n">
        <v>0</v>
      </c>
      <c r="L309" s="17" t="n">
        <v>0</v>
      </c>
      <c r="M309" s="18" t="n">
        <f aca="false">IF(H309=0,"",I309/H309)</f>
        <v>0</v>
      </c>
    </row>
    <row r="310" customFormat="false" ht="15" hidden="false" customHeight="false" outlineLevel="0" collapsed="false">
      <c r="A310" s="13" t="s">
        <v>346</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347</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348</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143</v>
      </c>
      <c r="B313" s="13" t="s">
        <v>169</v>
      </c>
      <c r="C313" s="13" t="n">
        <v>0</v>
      </c>
      <c r="D313" s="13" t="n">
        <v>0</v>
      </c>
      <c r="E313" s="13" t="n">
        <v>2</v>
      </c>
      <c r="F313" s="13" t="n">
        <v>0</v>
      </c>
      <c r="G313" s="17" t="n">
        <v>0</v>
      </c>
      <c r="H313" s="13" t="n">
        <v>6</v>
      </c>
      <c r="I313" s="13" t="n">
        <v>0</v>
      </c>
      <c r="J313" s="13" t="n">
        <v>2</v>
      </c>
      <c r="K313" s="13" t="n">
        <v>12</v>
      </c>
      <c r="L313" s="17" t="n">
        <v>0</v>
      </c>
      <c r="M313" s="18" t="n">
        <f aca="false">IF(H313=0,"",I313/H313)</f>
        <v>0</v>
      </c>
    </row>
    <row r="314" customFormat="false" ht="15" hidden="false" customHeight="false" outlineLevel="0" collapsed="false">
      <c r="A314" s="13" t="s">
        <v>143</v>
      </c>
      <c r="B314" s="13" t="s">
        <v>170</v>
      </c>
      <c r="C314" s="13" t="n">
        <v>2</v>
      </c>
      <c r="D314" s="13" t="n">
        <v>0</v>
      </c>
      <c r="E314" s="13" t="n">
        <v>0</v>
      </c>
      <c r="F314" s="13" t="n">
        <v>0</v>
      </c>
      <c r="G314" s="17" t="n">
        <v>0</v>
      </c>
      <c r="H314" s="13" t="n">
        <v>2</v>
      </c>
      <c r="I314" s="13" t="n">
        <v>0</v>
      </c>
      <c r="J314" s="13" t="n">
        <v>0</v>
      </c>
      <c r="K314" s="13" t="n">
        <v>0</v>
      </c>
      <c r="L314" s="17" t="n">
        <v>0</v>
      </c>
      <c r="M314" s="18" t="n">
        <f aca="false">IF(H314=0,"",I314/H314)</f>
        <v>0</v>
      </c>
    </row>
    <row r="315" customFormat="false" ht="15" hidden="false" customHeight="false" outlineLevel="0" collapsed="false">
      <c r="A315" s="13" t="s">
        <v>143</v>
      </c>
      <c r="B315" s="13" t="s">
        <v>172</v>
      </c>
      <c r="C315" s="13" t="n">
        <v>10</v>
      </c>
      <c r="D315" s="13" t="n">
        <v>0</v>
      </c>
      <c r="E315" s="13" t="n">
        <v>10</v>
      </c>
      <c r="F315" s="13" t="n">
        <v>0</v>
      </c>
      <c r="G315" s="17" t="n">
        <v>0.00293853333333333</v>
      </c>
      <c r="H315" s="13" t="n">
        <v>13</v>
      </c>
      <c r="I315" s="13" t="n">
        <v>0</v>
      </c>
      <c r="J315" s="13" t="n">
        <v>13</v>
      </c>
      <c r="K315" s="13" t="n">
        <v>0</v>
      </c>
      <c r="L315" s="17" t="n">
        <v>0.00409813333333333</v>
      </c>
      <c r="M315" s="18" t="n">
        <f aca="false">IF(H315=0,"",I315/H315)</f>
        <v>0</v>
      </c>
    </row>
    <row r="316" customFormat="false" ht="15" hidden="false" customHeight="false" outlineLevel="0" collapsed="false">
      <c r="A316" s="13" t="s">
        <v>143</v>
      </c>
      <c r="B316" s="13" t="s">
        <v>174</v>
      </c>
      <c r="C316" s="13" t="n">
        <v>23</v>
      </c>
      <c r="D316" s="13" t="n">
        <v>21</v>
      </c>
      <c r="E316" s="13" t="n">
        <v>0</v>
      </c>
      <c r="F316" s="13" t="n">
        <v>0</v>
      </c>
      <c r="G316" s="17" t="n">
        <v>0.00556339</v>
      </c>
      <c r="H316" s="13" t="n">
        <v>23</v>
      </c>
      <c r="I316" s="13" t="n">
        <v>21</v>
      </c>
      <c r="J316" s="13" t="n">
        <v>0</v>
      </c>
      <c r="K316" s="13" t="n">
        <v>0</v>
      </c>
      <c r="L316" s="17" t="n">
        <v>0.00556339</v>
      </c>
      <c r="M316" s="18" t="n">
        <f aca="false">IF(H316=0,"",I316/H316)</f>
        <v>0.91304347826087</v>
      </c>
    </row>
    <row r="317" customFormat="false" ht="15" hidden="false" customHeight="false" outlineLevel="0" collapsed="false">
      <c r="A317" s="13" t="s">
        <v>143</v>
      </c>
      <c r="B317" s="13" t="s">
        <v>175</v>
      </c>
      <c r="C317" s="13" t="n">
        <v>28</v>
      </c>
      <c r="D317" s="13" t="n">
        <v>0</v>
      </c>
      <c r="E317" s="13" t="n">
        <v>0</v>
      </c>
      <c r="F317" s="13" t="n">
        <v>28</v>
      </c>
      <c r="G317" s="17" t="n">
        <v>0</v>
      </c>
      <c r="H317" s="13" t="n">
        <v>28</v>
      </c>
      <c r="I317" s="13" t="n">
        <v>0</v>
      </c>
      <c r="J317" s="13" t="n">
        <v>0</v>
      </c>
      <c r="K317" s="13" t="n">
        <v>28</v>
      </c>
      <c r="L317" s="17" t="n">
        <v>0</v>
      </c>
      <c r="M317" s="18" t="n">
        <f aca="false">IF(H317=0,"",I317/H317)</f>
        <v>0</v>
      </c>
    </row>
    <row r="318" customFormat="false" ht="15" hidden="false" customHeight="false" outlineLevel="0" collapsed="false">
      <c r="A318" s="13" t="s">
        <v>143</v>
      </c>
      <c r="B318" s="13" t="s">
        <v>176</v>
      </c>
      <c r="C318" s="13" t="n">
        <v>6</v>
      </c>
      <c r="D318" s="13" t="n">
        <v>0</v>
      </c>
      <c r="E318" s="13" t="n">
        <v>0</v>
      </c>
      <c r="F318" s="13" t="n">
        <v>0</v>
      </c>
      <c r="G318" s="17" t="n">
        <v>0</v>
      </c>
      <c r="H318" s="13" t="n">
        <v>6</v>
      </c>
      <c r="I318" s="13" t="n">
        <v>0</v>
      </c>
      <c r="J318" s="13" t="n">
        <v>0</v>
      </c>
      <c r="K318" s="13" t="n">
        <v>0</v>
      </c>
      <c r="L318" s="17" t="n">
        <v>0</v>
      </c>
      <c r="M318" s="18" t="n">
        <f aca="false">IF(H318=0,"",I318/H318)</f>
        <v>0</v>
      </c>
    </row>
    <row r="319" customFormat="false" ht="15" hidden="false" customHeight="false" outlineLevel="0" collapsed="false">
      <c r="A319" s="13" t="s">
        <v>349</v>
      </c>
      <c r="B319" s="13" t="s">
        <v>176</v>
      </c>
      <c r="C319" s="13" t="n">
        <v>0</v>
      </c>
      <c r="D319" s="13" t="n">
        <v>0</v>
      </c>
      <c r="E319" s="13" t="n">
        <v>0</v>
      </c>
      <c r="F319" s="13" t="n">
        <v>0</v>
      </c>
      <c r="G319" s="17" t="n">
        <v>0</v>
      </c>
      <c r="H319" s="13" t="n">
        <v>1</v>
      </c>
      <c r="I319" s="13" t="n">
        <v>0</v>
      </c>
      <c r="J319" s="13" t="n">
        <v>0</v>
      </c>
      <c r="K319" s="13" t="n">
        <v>0</v>
      </c>
      <c r="L319" s="17" t="n">
        <v>0</v>
      </c>
      <c r="M319" s="18" t="n">
        <f aca="false">IF(H319=0,"",I319/H319)</f>
        <v>0</v>
      </c>
    </row>
    <row r="320" customFormat="false" ht="15" hidden="false" customHeight="false" outlineLevel="0" collapsed="false">
      <c r="A320" s="13" t="s">
        <v>350</v>
      </c>
      <c r="B320" s="13" t="s">
        <v>176</v>
      </c>
      <c r="C320" s="13" t="n">
        <v>0</v>
      </c>
      <c r="D320" s="13" t="n">
        <v>0</v>
      </c>
      <c r="E320" s="13" t="n">
        <v>0</v>
      </c>
      <c r="F320" s="13" t="n">
        <v>0</v>
      </c>
      <c r="G320" s="17" t="n">
        <v>0</v>
      </c>
      <c r="H320" s="13" t="n">
        <v>1</v>
      </c>
      <c r="I320" s="13" t="n">
        <v>0</v>
      </c>
      <c r="J320" s="13" t="n">
        <v>0</v>
      </c>
      <c r="K320" s="13" t="n">
        <v>0</v>
      </c>
      <c r="L320" s="17" t="n">
        <v>0</v>
      </c>
      <c r="M320" s="18" t="n">
        <f aca="false">IF(H320=0,"",I320/H320)</f>
        <v>0</v>
      </c>
    </row>
    <row r="321" customFormat="false" ht="15" hidden="false" customHeight="false" outlineLevel="0" collapsed="false">
      <c r="A321" s="13" t="s">
        <v>351</v>
      </c>
      <c r="B321" s="13" t="s">
        <v>176</v>
      </c>
      <c r="C321" s="13" t="n">
        <v>0</v>
      </c>
      <c r="D321" s="13" t="n">
        <v>0</v>
      </c>
      <c r="E321" s="13" t="n">
        <v>0</v>
      </c>
      <c r="F321" s="13" t="n">
        <v>0</v>
      </c>
      <c r="G321" s="17" t="n">
        <v>0</v>
      </c>
      <c r="H321" s="13" t="n">
        <v>1</v>
      </c>
      <c r="I321" s="13" t="n">
        <v>0</v>
      </c>
      <c r="J321" s="13" t="n">
        <v>0</v>
      </c>
      <c r="K321" s="13" t="n">
        <v>0</v>
      </c>
      <c r="L321" s="17" t="n">
        <v>0</v>
      </c>
      <c r="M321" s="18" t="n">
        <f aca="false">IF(H321=0,"",I321/H321)</f>
        <v>0</v>
      </c>
    </row>
    <row r="322" customFormat="false" ht="15" hidden="false" customHeight="false" outlineLevel="0" collapsed="false">
      <c r="A322" s="13" t="s">
        <v>352</v>
      </c>
      <c r="B322" s="13" t="s">
        <v>176</v>
      </c>
      <c r="C322" s="13" t="n">
        <v>0</v>
      </c>
      <c r="D322" s="13" t="n">
        <v>0</v>
      </c>
      <c r="E322" s="13" t="n">
        <v>0</v>
      </c>
      <c r="F322" s="13" t="n">
        <v>0</v>
      </c>
      <c r="G322" s="17" t="n">
        <v>0</v>
      </c>
      <c r="H322" s="13" t="n">
        <v>1</v>
      </c>
      <c r="I322" s="13" t="n">
        <v>0</v>
      </c>
      <c r="J322" s="13" t="n">
        <v>0</v>
      </c>
      <c r="K322" s="13" t="n">
        <v>0</v>
      </c>
      <c r="L322" s="17" t="n">
        <v>0</v>
      </c>
      <c r="M322" s="18" t="n">
        <f aca="false">IF(H322=0,"",I322/H322)</f>
        <v>0</v>
      </c>
    </row>
    <row r="323" customFormat="false" ht="15" hidden="false" customHeight="false" outlineLevel="0" collapsed="false">
      <c r="A323" s="13" t="s">
        <v>109</v>
      </c>
      <c r="B323" s="13" t="s">
        <v>169</v>
      </c>
      <c r="C323" s="13" t="n">
        <v>0</v>
      </c>
      <c r="D323" s="13" t="n">
        <v>0</v>
      </c>
      <c r="E323" s="13" t="n">
        <v>0</v>
      </c>
      <c r="F323" s="13" t="n">
        <v>0</v>
      </c>
      <c r="G323" s="17" t="n">
        <v>0</v>
      </c>
      <c r="H323" s="13" t="n">
        <v>22</v>
      </c>
      <c r="I323" s="13" t="n">
        <v>0</v>
      </c>
      <c r="J323" s="13" t="n">
        <v>17</v>
      </c>
      <c r="K323" s="13" t="n">
        <v>44</v>
      </c>
      <c r="L323" s="17" t="n">
        <v>0</v>
      </c>
      <c r="M323" s="18" t="n">
        <f aca="false">IF(H323=0,"",I323/H323)</f>
        <v>0</v>
      </c>
    </row>
    <row r="324" customFormat="false" ht="15" hidden="false" customHeight="false" outlineLevel="0" collapsed="false">
      <c r="A324" s="13" t="s">
        <v>109</v>
      </c>
      <c r="B324" s="13" t="s">
        <v>170</v>
      </c>
      <c r="C324" s="13" t="n">
        <v>3</v>
      </c>
      <c r="D324" s="13" t="n">
        <v>0</v>
      </c>
      <c r="E324" s="13" t="n">
        <v>0</v>
      </c>
      <c r="F324" s="13" t="n">
        <v>3</v>
      </c>
      <c r="G324" s="17" t="n">
        <v>0</v>
      </c>
      <c r="H324" s="13" t="n">
        <v>20</v>
      </c>
      <c r="I324" s="13" t="n">
        <v>0</v>
      </c>
      <c r="J324" s="13" t="n">
        <v>0</v>
      </c>
      <c r="K324" s="13" t="n">
        <v>3</v>
      </c>
      <c r="L324" s="17" t="n">
        <v>0</v>
      </c>
      <c r="M324" s="18" t="n">
        <f aca="false">IF(H324=0,"",I324/H324)</f>
        <v>0</v>
      </c>
    </row>
    <row r="325" customFormat="false" ht="15" hidden="false" customHeight="false" outlineLevel="0" collapsed="false">
      <c r="A325" s="13" t="s">
        <v>109</v>
      </c>
      <c r="B325" s="13" t="s">
        <v>171</v>
      </c>
      <c r="C325" s="13" t="n">
        <v>17</v>
      </c>
      <c r="D325" s="13" t="n">
        <v>0</v>
      </c>
      <c r="E325" s="13" t="n">
        <v>14</v>
      </c>
      <c r="F325" s="13" t="n">
        <v>0</v>
      </c>
      <c r="G325" s="17" t="n">
        <v>0.0018852</v>
      </c>
      <c r="H325" s="13" t="n">
        <v>17</v>
      </c>
      <c r="I325" s="13" t="n">
        <v>0</v>
      </c>
      <c r="J325" s="13" t="n">
        <v>14</v>
      </c>
      <c r="K325" s="13" t="n">
        <v>0</v>
      </c>
      <c r="L325" s="17" t="n">
        <v>0.0018852</v>
      </c>
      <c r="M325" s="18" t="n">
        <f aca="false">IF(H325=0,"",I325/H325)</f>
        <v>0</v>
      </c>
    </row>
    <row r="326" customFormat="false" ht="15" hidden="false" customHeight="false" outlineLevel="0" collapsed="false">
      <c r="A326" s="13" t="s">
        <v>109</v>
      </c>
      <c r="B326" s="13" t="s">
        <v>172</v>
      </c>
      <c r="C326" s="13" t="n">
        <v>51</v>
      </c>
      <c r="D326" s="13" t="n">
        <v>0</v>
      </c>
      <c r="E326" s="13" t="n">
        <v>51</v>
      </c>
      <c r="F326" s="13" t="n">
        <v>0</v>
      </c>
      <c r="G326" s="17" t="n">
        <v>0.0203609333333333</v>
      </c>
      <c r="H326" s="13" t="n">
        <v>100</v>
      </c>
      <c r="I326" s="13" t="n">
        <v>7</v>
      </c>
      <c r="J326" s="13" t="n">
        <v>92</v>
      </c>
      <c r="K326" s="13" t="n">
        <v>0</v>
      </c>
      <c r="L326" s="17" t="n">
        <v>0.0380433333333333</v>
      </c>
      <c r="M326" s="18" t="n">
        <f aca="false">IF(H326=0,"",I326/H326)</f>
        <v>0.07</v>
      </c>
    </row>
    <row r="327" customFormat="false" ht="15" hidden="false" customHeight="false" outlineLevel="0" collapsed="false">
      <c r="A327" s="13" t="s">
        <v>109</v>
      </c>
      <c r="B327" s="13" t="s">
        <v>175</v>
      </c>
      <c r="C327" s="13" t="n">
        <v>2</v>
      </c>
      <c r="D327" s="13" t="n">
        <v>0</v>
      </c>
      <c r="E327" s="13" t="n">
        <v>0</v>
      </c>
      <c r="F327" s="13" t="n">
        <v>2</v>
      </c>
      <c r="G327" s="17" t="n">
        <v>0</v>
      </c>
      <c r="H327" s="13" t="n">
        <v>2</v>
      </c>
      <c r="I327" s="13" t="n">
        <v>0</v>
      </c>
      <c r="J327" s="13" t="n">
        <v>0</v>
      </c>
      <c r="K327" s="13" t="n">
        <v>2</v>
      </c>
      <c r="L327" s="17" t="n">
        <v>0</v>
      </c>
      <c r="M327" s="18" t="n">
        <f aca="false">IF(H327=0,"",I327/H327)</f>
        <v>0</v>
      </c>
    </row>
    <row r="328" customFormat="false" ht="15" hidden="false" customHeight="false" outlineLevel="0" collapsed="false">
      <c r="A328" s="13" t="s">
        <v>109</v>
      </c>
      <c r="B328" s="13" t="s">
        <v>176</v>
      </c>
      <c r="C328" s="13" t="n">
        <v>22</v>
      </c>
      <c r="D328" s="13" t="n">
        <v>0</v>
      </c>
      <c r="E328" s="13" t="n">
        <v>0</v>
      </c>
      <c r="F328" s="13" t="n">
        <v>0</v>
      </c>
      <c r="G328" s="17" t="n">
        <v>0</v>
      </c>
      <c r="H328" s="13" t="n">
        <v>63</v>
      </c>
      <c r="I328" s="13" t="n">
        <v>0</v>
      </c>
      <c r="J328" s="13" t="n">
        <v>0</v>
      </c>
      <c r="K328" s="13" t="n">
        <v>0</v>
      </c>
      <c r="L328" s="17" t="n">
        <v>0</v>
      </c>
      <c r="M328" s="18" t="n">
        <f aca="false">IF(H328=0,"",I328/H328)</f>
        <v>0</v>
      </c>
    </row>
    <row r="329" customFormat="false" ht="15" hidden="false" customHeight="false" outlineLevel="0" collapsed="false">
      <c r="A329" s="13" t="s">
        <v>83</v>
      </c>
      <c r="B329" s="13" t="s">
        <v>169</v>
      </c>
      <c r="C329" s="13" t="n">
        <v>0</v>
      </c>
      <c r="D329" s="13" t="n">
        <v>0</v>
      </c>
      <c r="E329" s="13" t="n">
        <v>14</v>
      </c>
      <c r="F329" s="13" t="n">
        <v>0</v>
      </c>
      <c r="G329" s="17" t="n">
        <v>0</v>
      </c>
      <c r="H329" s="13" t="n">
        <v>64</v>
      </c>
      <c r="I329" s="13" t="n">
        <v>0</v>
      </c>
      <c r="J329" s="13" t="n">
        <v>14</v>
      </c>
      <c r="K329" s="13" t="n">
        <v>128</v>
      </c>
      <c r="L329" s="17" t="n">
        <v>0</v>
      </c>
      <c r="M329" s="18" t="n">
        <f aca="false">IF(H329=0,"",I329/H329)</f>
        <v>0</v>
      </c>
    </row>
    <row r="330" customFormat="false" ht="15" hidden="false" customHeight="false" outlineLevel="0" collapsed="false">
      <c r="A330" s="13" t="s">
        <v>83</v>
      </c>
      <c r="B330" s="13" t="s">
        <v>170</v>
      </c>
      <c r="C330" s="13" t="n">
        <v>8</v>
      </c>
      <c r="D330" s="13" t="n">
        <v>1</v>
      </c>
      <c r="E330" s="13" t="n">
        <v>3</v>
      </c>
      <c r="F330" s="13" t="n">
        <v>1</v>
      </c>
      <c r="G330" s="17" t="n">
        <v>0</v>
      </c>
      <c r="H330" s="13" t="n">
        <v>9</v>
      </c>
      <c r="I330" s="13" t="n">
        <v>1</v>
      </c>
      <c r="J330" s="13" t="n">
        <v>4</v>
      </c>
      <c r="K330" s="13" t="n">
        <v>1</v>
      </c>
      <c r="L330" s="17" t="n">
        <v>0</v>
      </c>
      <c r="M330" s="18" t="n">
        <f aca="false">IF(H330=0,"",I330/H330)</f>
        <v>0.111111111111111</v>
      </c>
    </row>
    <row r="331" customFormat="false" ht="15" hidden="false" customHeight="false" outlineLevel="0" collapsed="false">
      <c r="A331" s="13" t="s">
        <v>83</v>
      </c>
      <c r="B331" s="13" t="s">
        <v>172</v>
      </c>
      <c r="C331" s="13" t="n">
        <v>263</v>
      </c>
      <c r="D331" s="13" t="n">
        <v>0</v>
      </c>
      <c r="E331" s="13" t="n">
        <v>263</v>
      </c>
      <c r="F331" s="13" t="n">
        <v>0</v>
      </c>
      <c r="G331" s="17" t="n">
        <v>0.228321</v>
      </c>
      <c r="H331" s="13" t="n">
        <v>263</v>
      </c>
      <c r="I331" s="13" t="n">
        <v>0</v>
      </c>
      <c r="J331" s="13" t="n">
        <v>263</v>
      </c>
      <c r="K331" s="13" t="n">
        <v>0</v>
      </c>
      <c r="L331" s="17" t="n">
        <v>0.228321</v>
      </c>
      <c r="M331" s="18" t="n">
        <f aca="false">IF(H331=0,"",I331/H331)</f>
        <v>0</v>
      </c>
    </row>
    <row r="332" customFormat="false" ht="15" hidden="false" customHeight="false" outlineLevel="0" collapsed="false">
      <c r="A332" s="13" t="s">
        <v>83</v>
      </c>
      <c r="B332" s="13" t="s">
        <v>173</v>
      </c>
      <c r="C332" s="13" t="n">
        <v>5</v>
      </c>
      <c r="D332" s="13" t="n">
        <v>3</v>
      </c>
      <c r="E332" s="13" t="n">
        <v>2</v>
      </c>
      <c r="F332" s="13" t="n">
        <v>0</v>
      </c>
      <c r="G332" s="17" t="n">
        <v>0.0155864</v>
      </c>
      <c r="H332" s="13" t="n">
        <v>5</v>
      </c>
      <c r="I332" s="13" t="n">
        <v>3</v>
      </c>
      <c r="J332" s="13" t="n">
        <v>2</v>
      </c>
      <c r="K332" s="13" t="n">
        <v>0</v>
      </c>
      <c r="L332" s="17" t="n">
        <v>0.0155864</v>
      </c>
      <c r="M332" s="18" t="n">
        <f aca="false">IF(H332=0,"",I332/H332)</f>
        <v>0.6</v>
      </c>
    </row>
    <row r="333" customFormat="false" ht="15" hidden="false" customHeight="false" outlineLevel="0" collapsed="false">
      <c r="A333" s="13" t="s">
        <v>83</v>
      </c>
      <c r="B333" s="13" t="s">
        <v>176</v>
      </c>
      <c r="C333" s="13" t="n">
        <v>162</v>
      </c>
      <c r="D333" s="13" t="n">
        <v>0</v>
      </c>
      <c r="E333" s="13" t="n">
        <v>0</v>
      </c>
      <c r="F333" s="13" t="n">
        <v>0</v>
      </c>
      <c r="G333" s="17" t="n">
        <v>0</v>
      </c>
      <c r="H333" s="13" t="n">
        <v>163</v>
      </c>
      <c r="I333" s="13" t="n">
        <v>0</v>
      </c>
      <c r="J333" s="13" t="n">
        <v>0</v>
      </c>
      <c r="K333" s="13" t="n">
        <v>0</v>
      </c>
      <c r="L333" s="17" t="n">
        <v>0</v>
      </c>
      <c r="M333" s="18" t="n">
        <f aca="false">IF(H333=0,"",I333/H333)</f>
        <v>0</v>
      </c>
    </row>
    <row r="334" customFormat="false" ht="15" hidden="false" customHeight="false" outlineLevel="0" collapsed="false">
      <c r="A334" s="13" t="s">
        <v>353</v>
      </c>
      <c r="B334" s="13" t="s">
        <v>176</v>
      </c>
      <c r="C334" s="13" t="n">
        <v>0</v>
      </c>
      <c r="D334" s="13" t="n">
        <v>0</v>
      </c>
      <c r="E334" s="13" t="n">
        <v>0</v>
      </c>
      <c r="F334" s="13" t="n">
        <v>0</v>
      </c>
      <c r="G334" s="17" t="n">
        <v>0</v>
      </c>
      <c r="H334" s="13" t="n">
        <v>1</v>
      </c>
      <c r="I334" s="13" t="n">
        <v>0</v>
      </c>
      <c r="J334" s="13" t="n">
        <v>0</v>
      </c>
      <c r="K334" s="13" t="n">
        <v>0</v>
      </c>
      <c r="L334" s="17" t="n">
        <v>0</v>
      </c>
      <c r="M334" s="18" t="n">
        <f aca="false">IF(H334=0,"",I334/H334)</f>
        <v>0</v>
      </c>
    </row>
    <row r="335" customFormat="false" ht="15" hidden="false" customHeight="false" outlineLevel="0" collapsed="false">
      <c r="A335" s="13" t="s">
        <v>101</v>
      </c>
      <c r="B335" s="13" t="s">
        <v>170</v>
      </c>
      <c r="C335" s="13" t="n">
        <v>81</v>
      </c>
      <c r="D335" s="13" t="n">
        <v>81</v>
      </c>
      <c r="E335" s="13" t="n">
        <v>0</v>
      </c>
      <c r="F335" s="13" t="n">
        <v>0</v>
      </c>
      <c r="G335" s="17" t="n">
        <v>0</v>
      </c>
      <c r="H335" s="13" t="n">
        <v>81</v>
      </c>
      <c r="I335" s="13" t="n">
        <v>81</v>
      </c>
      <c r="J335" s="13" t="n">
        <v>0</v>
      </c>
      <c r="K335" s="13" t="n">
        <v>0</v>
      </c>
      <c r="L335" s="17" t="n">
        <v>0</v>
      </c>
      <c r="M335" s="18" t="n">
        <f aca="false">IF(H335=0,"",I335/H335)</f>
        <v>1</v>
      </c>
    </row>
    <row r="336" customFormat="false" ht="15" hidden="false" customHeight="false" outlineLevel="0" collapsed="false">
      <c r="A336" s="13" t="s">
        <v>101</v>
      </c>
      <c r="B336" s="13" t="s">
        <v>172</v>
      </c>
      <c r="C336" s="13" t="n">
        <v>289</v>
      </c>
      <c r="D336" s="13" t="n">
        <v>192</v>
      </c>
      <c r="E336" s="13" t="n">
        <v>86</v>
      </c>
      <c r="F336" s="13" t="n">
        <v>0</v>
      </c>
      <c r="G336" s="17" t="n">
        <v>0.0795216</v>
      </c>
      <c r="H336" s="13" t="n">
        <v>461</v>
      </c>
      <c r="I336" s="13" t="n">
        <v>330</v>
      </c>
      <c r="J336" s="13" t="n">
        <v>111</v>
      </c>
      <c r="K336" s="13" t="n">
        <v>0</v>
      </c>
      <c r="L336" s="17" t="n">
        <v>0.1044996</v>
      </c>
      <c r="M336" s="18" t="n">
        <f aca="false">IF(H336=0,"",I336/H336)</f>
        <v>0.715835140997831</v>
      </c>
    </row>
    <row r="337" customFormat="false" ht="15" hidden="false" customHeight="false" outlineLevel="0" collapsed="false">
      <c r="A337" s="13" t="s">
        <v>101</v>
      </c>
      <c r="B337" s="13" t="s">
        <v>174</v>
      </c>
      <c r="C337" s="13" t="n">
        <v>0</v>
      </c>
      <c r="D337" s="13" t="n">
        <v>0</v>
      </c>
      <c r="E337" s="13" t="n">
        <v>0</v>
      </c>
      <c r="F337" s="13" t="n">
        <v>0</v>
      </c>
      <c r="G337" s="17" t="n">
        <v>0</v>
      </c>
      <c r="H337" s="13" t="n">
        <v>75</v>
      </c>
      <c r="I337" s="13" t="n">
        <v>63</v>
      </c>
      <c r="J337" s="13" t="n">
        <v>0</v>
      </c>
      <c r="K337" s="13" t="n">
        <v>0</v>
      </c>
      <c r="L337" s="17" t="n">
        <v>0.02667899</v>
      </c>
      <c r="M337" s="18" t="n">
        <f aca="false">IF(H337=0,"",I337/H337)</f>
        <v>0.84</v>
      </c>
    </row>
    <row r="338" customFormat="false" ht="15" hidden="false" customHeight="false" outlineLevel="0" collapsed="false">
      <c r="A338" s="13" t="s">
        <v>101</v>
      </c>
      <c r="B338" s="13" t="s">
        <v>175</v>
      </c>
      <c r="C338" s="13" t="n">
        <v>0</v>
      </c>
      <c r="D338" s="13" t="n">
        <v>0</v>
      </c>
      <c r="E338" s="13" t="n">
        <v>0</v>
      </c>
      <c r="F338" s="13" t="n">
        <v>0</v>
      </c>
      <c r="G338" s="17" t="n">
        <v>0</v>
      </c>
      <c r="H338" s="13" t="n">
        <v>67</v>
      </c>
      <c r="I338" s="13" t="n">
        <v>0</v>
      </c>
      <c r="J338" s="13" t="n">
        <v>0</v>
      </c>
      <c r="K338" s="13" t="n">
        <v>67</v>
      </c>
      <c r="L338" s="17" t="n">
        <v>0</v>
      </c>
      <c r="M338" s="18" t="n">
        <f aca="false">IF(H338=0,"",I338/H338)</f>
        <v>0</v>
      </c>
    </row>
    <row r="339" customFormat="false" ht="15" hidden="false" customHeight="false" outlineLevel="0" collapsed="false">
      <c r="A339" s="13" t="s">
        <v>101</v>
      </c>
      <c r="B339" s="13" t="s">
        <v>176</v>
      </c>
      <c r="C339" s="13" t="n">
        <v>48</v>
      </c>
      <c r="D339" s="13" t="n">
        <v>0</v>
      </c>
      <c r="E339" s="13" t="n">
        <v>0</v>
      </c>
      <c r="F339" s="13" t="n">
        <v>0</v>
      </c>
      <c r="G339" s="17" t="n">
        <v>0</v>
      </c>
      <c r="H339" s="13" t="n">
        <v>73</v>
      </c>
      <c r="I339" s="13" t="n">
        <v>0</v>
      </c>
      <c r="J339" s="13" t="n">
        <v>0</v>
      </c>
      <c r="K339" s="13" t="n">
        <v>0</v>
      </c>
      <c r="L339" s="17" t="n">
        <v>0</v>
      </c>
      <c r="M339" s="18" t="n">
        <f aca="false">IF(H339=0,"",I339/H339)</f>
        <v>0</v>
      </c>
    </row>
    <row r="340" customFormat="false" ht="15" hidden="false" customHeight="false" outlineLevel="0" collapsed="false">
      <c r="A340" s="13" t="s">
        <v>354</v>
      </c>
      <c r="B340" s="13" t="s">
        <v>176</v>
      </c>
      <c r="C340" s="13" t="n">
        <v>0</v>
      </c>
      <c r="D340" s="13" t="n">
        <v>0</v>
      </c>
      <c r="E340" s="13" t="n">
        <v>0</v>
      </c>
      <c r="F340" s="13" t="n">
        <v>0</v>
      </c>
      <c r="G340" s="17" t="n">
        <v>0</v>
      </c>
      <c r="H340" s="13" t="n">
        <v>1</v>
      </c>
      <c r="I340" s="13" t="n">
        <v>0</v>
      </c>
      <c r="J340" s="13" t="n">
        <v>0</v>
      </c>
      <c r="K340" s="13" t="n">
        <v>0</v>
      </c>
      <c r="L340" s="17" t="n">
        <v>0</v>
      </c>
      <c r="M340" s="18" t="n">
        <f aca="false">IF(H340=0,"",I340/H340)</f>
        <v>0</v>
      </c>
    </row>
    <row r="341" customFormat="false" ht="15" hidden="false" customHeight="false" outlineLevel="0" collapsed="false">
      <c r="A341" s="13" t="s">
        <v>355</v>
      </c>
      <c r="B341" s="13" t="s">
        <v>176</v>
      </c>
      <c r="C341" s="13" t="n">
        <v>0</v>
      </c>
      <c r="D341" s="13" t="n">
        <v>0</v>
      </c>
      <c r="E341" s="13" t="n">
        <v>0</v>
      </c>
      <c r="F341" s="13" t="n">
        <v>0</v>
      </c>
      <c r="G341" s="17" t="n">
        <v>0</v>
      </c>
      <c r="H341" s="13" t="n">
        <v>1</v>
      </c>
      <c r="I341" s="13" t="n">
        <v>0</v>
      </c>
      <c r="J341" s="13" t="n">
        <v>0</v>
      </c>
      <c r="K341" s="13" t="n">
        <v>0</v>
      </c>
      <c r="L341" s="17" t="n">
        <v>0</v>
      </c>
      <c r="M341" s="18" t="n">
        <f aca="false">IF(H341=0,"",I341/H341)</f>
        <v>0</v>
      </c>
    </row>
    <row r="342" customFormat="false" ht="15" hidden="false" customHeight="false" outlineLevel="0" collapsed="false">
      <c r="A342" s="13" t="s">
        <v>356</v>
      </c>
      <c r="B342" s="13" t="s">
        <v>176</v>
      </c>
      <c r="C342" s="13" t="n">
        <v>0</v>
      </c>
      <c r="D342" s="13" t="n">
        <v>0</v>
      </c>
      <c r="E342" s="13" t="n">
        <v>0</v>
      </c>
      <c r="F342" s="13" t="n">
        <v>0</v>
      </c>
      <c r="G342" s="17" t="n">
        <v>0</v>
      </c>
      <c r="H342" s="13" t="n">
        <v>1</v>
      </c>
      <c r="I342" s="13" t="n">
        <v>0</v>
      </c>
      <c r="J342" s="13" t="n">
        <v>0</v>
      </c>
      <c r="K342" s="13" t="n">
        <v>0</v>
      </c>
      <c r="L342" s="17" t="n">
        <v>0</v>
      </c>
      <c r="M342" s="18" t="n">
        <f aca="false">IF(H342=0,"",I342/H342)</f>
        <v>0</v>
      </c>
    </row>
    <row r="343" customFormat="false" ht="15" hidden="false" customHeight="false" outlineLevel="0" collapsed="false">
      <c r="A343" s="13" t="s">
        <v>357</v>
      </c>
      <c r="B343" s="13" t="s">
        <v>176</v>
      </c>
      <c r="C343" s="13" t="n">
        <v>0</v>
      </c>
      <c r="D343" s="13" t="n">
        <v>0</v>
      </c>
      <c r="E343" s="13" t="n">
        <v>0</v>
      </c>
      <c r="F343" s="13" t="n">
        <v>0</v>
      </c>
      <c r="G343" s="17" t="n">
        <v>0</v>
      </c>
      <c r="H343" s="13" t="n">
        <v>1</v>
      </c>
      <c r="I343" s="13" t="n">
        <v>0</v>
      </c>
      <c r="J343" s="13" t="n">
        <v>0</v>
      </c>
      <c r="K343" s="13" t="n">
        <v>0</v>
      </c>
      <c r="L343" s="17" t="n">
        <v>0</v>
      </c>
      <c r="M343" s="18" t="n">
        <f aca="false">IF(H343=0,"",I343/H343)</f>
        <v>0</v>
      </c>
    </row>
    <row r="344" customFormat="false" ht="15" hidden="false" customHeight="false" outlineLevel="0" collapsed="false">
      <c r="A344" s="13" t="s">
        <v>358</v>
      </c>
      <c r="B344" s="13" t="s">
        <v>176</v>
      </c>
      <c r="C344" s="13" t="n">
        <v>0</v>
      </c>
      <c r="D344" s="13" t="n">
        <v>0</v>
      </c>
      <c r="E344" s="13" t="n">
        <v>0</v>
      </c>
      <c r="F344" s="13" t="n">
        <v>0</v>
      </c>
      <c r="G344" s="17" t="n">
        <v>0</v>
      </c>
      <c r="H344" s="13" t="n">
        <v>1</v>
      </c>
      <c r="I344" s="13" t="n">
        <v>0</v>
      </c>
      <c r="J344" s="13" t="n">
        <v>0</v>
      </c>
      <c r="K344" s="13" t="n">
        <v>0</v>
      </c>
      <c r="L344" s="17" t="n">
        <v>0</v>
      </c>
      <c r="M344" s="18" t="n">
        <f aca="false">IF(H344=0,"",I344/H344)</f>
        <v>0</v>
      </c>
    </row>
    <row r="345" customFormat="false" ht="15" hidden="false" customHeight="false" outlineLevel="0" collapsed="false">
      <c r="A345" s="13" t="s">
        <v>87</v>
      </c>
      <c r="B345" s="13" t="s">
        <v>169</v>
      </c>
      <c r="C345" s="13" t="n">
        <v>0</v>
      </c>
      <c r="D345" s="13" t="n">
        <v>0</v>
      </c>
      <c r="E345" s="13" t="n">
        <v>0</v>
      </c>
      <c r="F345" s="13" t="n">
        <v>0</v>
      </c>
      <c r="G345" s="17" t="n">
        <v>0</v>
      </c>
      <c r="H345" s="13" t="n">
        <v>9</v>
      </c>
      <c r="I345" s="13" t="n">
        <v>0</v>
      </c>
      <c r="J345" s="13" t="n">
        <v>0</v>
      </c>
      <c r="K345" s="13" t="n">
        <v>18</v>
      </c>
      <c r="L345" s="17" t="n">
        <v>0</v>
      </c>
      <c r="M345" s="18" t="n">
        <f aca="false">IF(H345=0,"",I345/H345)</f>
        <v>0</v>
      </c>
    </row>
    <row r="346" customFormat="false" ht="15" hidden="false" customHeight="false" outlineLevel="0" collapsed="false">
      <c r="A346" s="13" t="s">
        <v>87</v>
      </c>
      <c r="B346" s="13" t="s">
        <v>170</v>
      </c>
      <c r="C346" s="13" t="n">
        <v>48</v>
      </c>
      <c r="D346" s="13" t="n">
        <v>48</v>
      </c>
      <c r="E346" s="13" t="n">
        <v>0</v>
      </c>
      <c r="F346" s="13" t="n">
        <v>0</v>
      </c>
      <c r="G346" s="17" t="n">
        <v>0</v>
      </c>
      <c r="H346" s="13" t="n">
        <v>57</v>
      </c>
      <c r="I346" s="13" t="n">
        <v>48</v>
      </c>
      <c r="J346" s="13" t="n">
        <v>9</v>
      </c>
      <c r="K346" s="13" t="n">
        <v>0</v>
      </c>
      <c r="L346" s="17" t="n">
        <v>0</v>
      </c>
      <c r="M346" s="18" t="n">
        <f aca="false">IF(H346=0,"",I346/H346)</f>
        <v>0.842105263157895</v>
      </c>
    </row>
    <row r="347" customFormat="false" ht="15" hidden="false" customHeight="false" outlineLevel="0" collapsed="false">
      <c r="A347" s="13" t="s">
        <v>87</v>
      </c>
      <c r="B347" s="13" t="s">
        <v>172</v>
      </c>
      <c r="C347" s="13" t="n">
        <v>198</v>
      </c>
      <c r="D347" s="13" t="n">
        <v>12</v>
      </c>
      <c r="E347" s="13" t="n">
        <v>180</v>
      </c>
      <c r="F347" s="13" t="n">
        <v>0</v>
      </c>
      <c r="G347" s="17" t="n">
        <v>0.174782633333333</v>
      </c>
      <c r="H347" s="13" t="n">
        <v>202</v>
      </c>
      <c r="I347" s="13" t="n">
        <v>13</v>
      </c>
      <c r="J347" s="13" t="n">
        <v>182</v>
      </c>
      <c r="K347" s="13" t="n">
        <v>0</v>
      </c>
      <c r="L347" s="17" t="n">
        <v>0.179231433333333</v>
      </c>
      <c r="M347" s="18" t="n">
        <f aca="false">IF(H347=0,"",I347/H347)</f>
        <v>0.0643564356435644</v>
      </c>
    </row>
    <row r="348" customFormat="false" ht="15" hidden="false" customHeight="false" outlineLevel="0" collapsed="false">
      <c r="A348" s="13" t="s">
        <v>87</v>
      </c>
      <c r="B348" s="13" t="s">
        <v>173</v>
      </c>
      <c r="C348" s="13" t="n">
        <v>46</v>
      </c>
      <c r="D348" s="13" t="n">
        <v>41</v>
      </c>
      <c r="E348" s="13" t="n">
        <v>5</v>
      </c>
      <c r="F348" s="13" t="n">
        <v>0</v>
      </c>
      <c r="G348" s="17" t="n">
        <v>0.1324208</v>
      </c>
      <c r="H348" s="13" t="n">
        <v>46</v>
      </c>
      <c r="I348" s="13" t="n">
        <v>41</v>
      </c>
      <c r="J348" s="13" t="n">
        <v>5</v>
      </c>
      <c r="K348" s="13" t="n">
        <v>0</v>
      </c>
      <c r="L348" s="17" t="n">
        <v>0.1324208</v>
      </c>
      <c r="M348" s="18" t="n">
        <f aca="false">IF(H348=0,"",I348/H348)</f>
        <v>0.891304347826087</v>
      </c>
    </row>
    <row r="349" customFormat="false" ht="15" hidden="false" customHeight="false" outlineLevel="0" collapsed="false">
      <c r="A349" s="13" t="s">
        <v>87</v>
      </c>
      <c r="B349" s="13" t="s">
        <v>174</v>
      </c>
      <c r="C349" s="13" t="n">
        <v>0</v>
      </c>
      <c r="D349" s="13" t="n">
        <v>0</v>
      </c>
      <c r="E349" s="13" t="n">
        <v>0</v>
      </c>
      <c r="F349" s="13" t="n">
        <v>0</v>
      </c>
      <c r="G349" s="17" t="n">
        <v>0</v>
      </c>
      <c r="H349" s="13" t="n">
        <v>6</v>
      </c>
      <c r="I349" s="13" t="n">
        <v>5</v>
      </c>
      <c r="J349" s="13" t="n">
        <v>0</v>
      </c>
      <c r="K349" s="13" t="n">
        <v>0</v>
      </c>
      <c r="L349" s="17" t="n">
        <v>0.00361942</v>
      </c>
      <c r="M349" s="18" t="n">
        <f aca="false">IF(H349=0,"",I349/H349)</f>
        <v>0.833333333333333</v>
      </c>
    </row>
    <row r="350" customFormat="false" ht="15" hidden="false" customHeight="false" outlineLevel="0" collapsed="false">
      <c r="A350" s="13" t="s">
        <v>87</v>
      </c>
      <c r="B350" s="13" t="s">
        <v>175</v>
      </c>
      <c r="C350" s="13" t="n">
        <v>4</v>
      </c>
      <c r="D350" s="13" t="n">
        <v>0</v>
      </c>
      <c r="E350" s="13" t="n">
        <v>0</v>
      </c>
      <c r="F350" s="13" t="n">
        <v>4</v>
      </c>
      <c r="G350" s="17" t="n">
        <v>0</v>
      </c>
      <c r="H350" s="13" t="n">
        <v>10</v>
      </c>
      <c r="I350" s="13" t="n">
        <v>0</v>
      </c>
      <c r="J350" s="13" t="n">
        <v>0</v>
      </c>
      <c r="K350" s="13" t="n">
        <v>10</v>
      </c>
      <c r="L350" s="17" t="n">
        <v>0</v>
      </c>
      <c r="M350" s="18" t="n">
        <f aca="false">IF(H350=0,"",I350/H350)</f>
        <v>0</v>
      </c>
    </row>
    <row r="351" customFormat="false" ht="15" hidden="false" customHeight="false" outlineLevel="0" collapsed="false">
      <c r="A351" s="13" t="s">
        <v>87</v>
      </c>
      <c r="B351" s="13" t="s">
        <v>176</v>
      </c>
      <c r="C351" s="13" t="n">
        <v>112</v>
      </c>
      <c r="D351" s="13" t="n">
        <v>0</v>
      </c>
      <c r="E351" s="13" t="n">
        <v>0</v>
      </c>
      <c r="F351" s="13" t="n">
        <v>0</v>
      </c>
      <c r="G351" s="17" t="n">
        <v>0</v>
      </c>
      <c r="H351" s="13" t="n">
        <v>112</v>
      </c>
      <c r="I351" s="13" t="n">
        <v>0</v>
      </c>
      <c r="J351" s="13" t="n">
        <v>0</v>
      </c>
      <c r="K351" s="13" t="n">
        <v>0</v>
      </c>
      <c r="L351" s="17" t="n">
        <v>0</v>
      </c>
      <c r="M351" s="18" t="n">
        <f aca="false">IF(H351=0,"",I351/H351)</f>
        <v>0</v>
      </c>
    </row>
    <row r="352" customFormat="false" ht="15" hidden="false" customHeight="false" outlineLevel="0" collapsed="false">
      <c r="A352" s="13" t="s">
        <v>359</v>
      </c>
      <c r="B352" s="13" t="s">
        <v>176</v>
      </c>
      <c r="C352" s="13" t="n">
        <v>0</v>
      </c>
      <c r="D352" s="13" t="n">
        <v>0</v>
      </c>
      <c r="E352" s="13" t="n">
        <v>0</v>
      </c>
      <c r="F352" s="13" t="n">
        <v>0</v>
      </c>
      <c r="G352" s="17" t="n">
        <v>0</v>
      </c>
      <c r="H352" s="13" t="n">
        <v>1</v>
      </c>
      <c r="I352" s="13" t="n">
        <v>0</v>
      </c>
      <c r="J352" s="13" t="n">
        <v>0</v>
      </c>
      <c r="K352" s="13" t="n">
        <v>0</v>
      </c>
      <c r="L352" s="17" t="n">
        <v>0</v>
      </c>
      <c r="M352" s="18" t="n">
        <f aca="false">IF(H352=0,"",I352/H352)</f>
        <v>0</v>
      </c>
    </row>
    <row r="353" customFormat="false" ht="15" hidden="false" customHeight="false" outlineLevel="0" collapsed="false">
      <c r="A353" s="13" t="s">
        <v>95</v>
      </c>
      <c r="B353" s="13" t="s">
        <v>169</v>
      </c>
      <c r="C353" s="13" t="n">
        <v>0</v>
      </c>
      <c r="D353" s="13" t="n">
        <v>0</v>
      </c>
      <c r="E353" s="13" t="n">
        <v>0</v>
      </c>
      <c r="F353" s="13" t="n">
        <v>0</v>
      </c>
      <c r="G353" s="17" t="n">
        <v>0</v>
      </c>
      <c r="H353" s="13" t="n">
        <v>1</v>
      </c>
      <c r="I353" s="13" t="n">
        <v>0</v>
      </c>
      <c r="J353" s="13" t="n">
        <v>1</v>
      </c>
      <c r="K353" s="13" t="n">
        <v>2</v>
      </c>
      <c r="L353" s="17" t="n">
        <v>0</v>
      </c>
      <c r="M353" s="18" t="n">
        <f aca="false">IF(H353=0,"",I353/H353)</f>
        <v>0</v>
      </c>
    </row>
    <row r="354" customFormat="false" ht="15" hidden="false" customHeight="false" outlineLevel="0" collapsed="false">
      <c r="A354" s="13" t="s">
        <v>95</v>
      </c>
      <c r="B354" s="13" t="s">
        <v>170</v>
      </c>
      <c r="C354" s="13" t="n">
        <v>0</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95</v>
      </c>
      <c r="B355" s="13" t="s">
        <v>172</v>
      </c>
      <c r="C355" s="13" t="n">
        <v>44</v>
      </c>
      <c r="D355" s="13" t="n">
        <v>0</v>
      </c>
      <c r="E355" s="13" t="n">
        <v>44</v>
      </c>
      <c r="F355" s="13" t="n">
        <v>0</v>
      </c>
      <c r="G355" s="17" t="n">
        <v>0.0934984</v>
      </c>
      <c r="H355" s="13" t="n">
        <v>48</v>
      </c>
      <c r="I355" s="13" t="n">
        <v>1</v>
      </c>
      <c r="J355" s="13" t="n">
        <v>47</v>
      </c>
      <c r="K355" s="13" t="n">
        <v>0</v>
      </c>
      <c r="L355" s="17" t="n">
        <v>0.0970236</v>
      </c>
      <c r="M355" s="18" t="n">
        <f aca="false">IF(H355=0,"",I355/H355)</f>
        <v>0.0208333333333333</v>
      </c>
    </row>
    <row r="356" customFormat="false" ht="15" hidden="false" customHeight="false" outlineLevel="0" collapsed="false">
      <c r="A356" s="13" t="s">
        <v>95</v>
      </c>
      <c r="B356" s="13" t="s">
        <v>175</v>
      </c>
      <c r="C356" s="13" t="n">
        <v>0</v>
      </c>
      <c r="D356" s="13" t="n">
        <v>0</v>
      </c>
      <c r="E356" s="13" t="n">
        <v>0</v>
      </c>
      <c r="F356" s="13" t="n">
        <v>0</v>
      </c>
      <c r="G356" s="17" t="n">
        <v>0</v>
      </c>
      <c r="H356" s="13" t="n">
        <v>16</v>
      </c>
      <c r="I356" s="13" t="n">
        <v>0</v>
      </c>
      <c r="J356" s="13" t="n">
        <v>0</v>
      </c>
      <c r="K356" s="13" t="n">
        <v>16</v>
      </c>
      <c r="L356" s="17" t="n">
        <v>0</v>
      </c>
      <c r="M356" s="18" t="n">
        <f aca="false">IF(H356=0,"",I356/H356)</f>
        <v>0</v>
      </c>
    </row>
    <row r="357" customFormat="false" ht="15" hidden="false" customHeight="false" outlineLevel="0" collapsed="false">
      <c r="A357" s="13" t="s">
        <v>95</v>
      </c>
      <c r="B357" s="13" t="s">
        <v>176</v>
      </c>
      <c r="C357" s="13" t="n">
        <v>44</v>
      </c>
      <c r="D357" s="13" t="n">
        <v>0</v>
      </c>
      <c r="E357" s="13" t="n">
        <v>0</v>
      </c>
      <c r="F357" s="13" t="n">
        <v>0</v>
      </c>
      <c r="G357" s="17" t="n">
        <v>0</v>
      </c>
      <c r="H357" s="13" t="n">
        <v>46</v>
      </c>
      <c r="I357" s="13" t="n">
        <v>0</v>
      </c>
      <c r="J357" s="13" t="n">
        <v>0</v>
      </c>
      <c r="K357" s="13" t="n">
        <v>0</v>
      </c>
      <c r="L357" s="17" t="n">
        <v>0</v>
      </c>
      <c r="M357" s="18" t="n">
        <f aca="false">IF(H357=0,"",I357/H357)</f>
        <v>0</v>
      </c>
    </row>
    <row r="358" customFormat="false" ht="15" hidden="false" customHeight="false" outlineLevel="0" collapsed="false">
      <c r="A358" s="13" t="s">
        <v>360</v>
      </c>
      <c r="B358" s="13" t="s">
        <v>176</v>
      </c>
      <c r="C358" s="13" t="n">
        <v>0</v>
      </c>
      <c r="D358" s="13" t="n">
        <v>0</v>
      </c>
      <c r="E358" s="13" t="n">
        <v>0</v>
      </c>
      <c r="F358" s="13" t="n">
        <v>0</v>
      </c>
      <c r="G358" s="17" t="n">
        <v>0</v>
      </c>
      <c r="H358" s="13" t="n">
        <v>1</v>
      </c>
      <c r="I358" s="13" t="n">
        <v>0</v>
      </c>
      <c r="J358" s="13" t="n">
        <v>0</v>
      </c>
      <c r="K358" s="13" t="n">
        <v>0</v>
      </c>
      <c r="L358" s="17" t="n">
        <v>0</v>
      </c>
      <c r="M358" s="18" t="n">
        <f aca="false">IF(H358=0,"",I358/H358)</f>
        <v>0</v>
      </c>
    </row>
    <row r="359" customFormat="false" ht="15" hidden="false" customHeight="false" outlineLevel="0" collapsed="false">
      <c r="A359" s="13" t="s">
        <v>361</v>
      </c>
      <c r="B359" s="13" t="s">
        <v>176</v>
      </c>
      <c r="C359" s="13" t="n">
        <v>0</v>
      </c>
      <c r="D359" s="13" t="n">
        <v>0</v>
      </c>
      <c r="E359" s="13" t="n">
        <v>0</v>
      </c>
      <c r="F359" s="13" t="n">
        <v>0</v>
      </c>
      <c r="G359" s="17" t="n">
        <v>0</v>
      </c>
      <c r="H359" s="13" t="n">
        <v>1</v>
      </c>
      <c r="I359" s="13" t="n">
        <v>0</v>
      </c>
      <c r="J359" s="13" t="n">
        <v>0</v>
      </c>
      <c r="K359" s="13" t="n">
        <v>0</v>
      </c>
      <c r="L359" s="17" t="n">
        <v>0</v>
      </c>
      <c r="M359" s="18" t="n">
        <f aca="false">IF(H359=0,"",I359/H359)</f>
        <v>0</v>
      </c>
    </row>
    <row r="360" customFormat="false" ht="15" hidden="false" customHeight="false" outlineLevel="0" collapsed="false">
      <c r="A360" s="13" t="s">
        <v>362</v>
      </c>
      <c r="B360" s="13" t="s">
        <v>176</v>
      </c>
      <c r="C360" s="13" t="n">
        <v>0</v>
      </c>
      <c r="D360" s="13" t="n">
        <v>0</v>
      </c>
      <c r="E360" s="13" t="n">
        <v>0</v>
      </c>
      <c r="F360" s="13" t="n">
        <v>0</v>
      </c>
      <c r="G360" s="17" t="n">
        <v>0</v>
      </c>
      <c r="H360" s="13" t="n">
        <v>1</v>
      </c>
      <c r="I360" s="13" t="n">
        <v>0</v>
      </c>
      <c r="J360" s="13" t="n">
        <v>0</v>
      </c>
      <c r="K360" s="13" t="n">
        <v>0</v>
      </c>
      <c r="L360" s="17" t="n">
        <v>0</v>
      </c>
      <c r="M360" s="18" t="n">
        <f aca="false">IF(H360=0,"",I360/H360)</f>
        <v>0</v>
      </c>
    </row>
    <row r="361" customFormat="false" ht="15" hidden="false" customHeight="false" outlineLevel="0" collapsed="false">
      <c r="A361" s="13" t="s">
        <v>363</v>
      </c>
      <c r="B361" s="13" t="s">
        <v>176</v>
      </c>
      <c r="C361" s="13" t="n">
        <v>0</v>
      </c>
      <c r="D361" s="13" t="n">
        <v>0</v>
      </c>
      <c r="E361" s="13" t="n">
        <v>0</v>
      </c>
      <c r="F361" s="13" t="n">
        <v>0</v>
      </c>
      <c r="G361" s="17" t="n">
        <v>0</v>
      </c>
      <c r="H361" s="13" t="n">
        <v>1</v>
      </c>
      <c r="I361" s="13" t="n">
        <v>0</v>
      </c>
      <c r="J361" s="13" t="n">
        <v>0</v>
      </c>
      <c r="K361" s="13" t="n">
        <v>0</v>
      </c>
      <c r="L361" s="17" t="n">
        <v>0</v>
      </c>
      <c r="M361" s="18" t="n">
        <f aca="false">IF(H361=0,"",I361/H361)</f>
        <v>0</v>
      </c>
    </row>
    <row r="362" customFormat="false" ht="15" hidden="false" customHeight="false" outlineLevel="0" collapsed="false">
      <c r="A362" s="13" t="s">
        <v>364</v>
      </c>
      <c r="B362" s="13" t="s">
        <v>176</v>
      </c>
      <c r="C362" s="13" t="n">
        <v>0</v>
      </c>
      <c r="D362" s="13" t="n">
        <v>0</v>
      </c>
      <c r="E362" s="13" t="n">
        <v>0</v>
      </c>
      <c r="F362" s="13" t="n">
        <v>0</v>
      </c>
      <c r="G362" s="17" t="n">
        <v>0</v>
      </c>
      <c r="H362" s="13" t="n">
        <v>1</v>
      </c>
      <c r="I362" s="13" t="n">
        <v>0</v>
      </c>
      <c r="J362" s="13" t="n">
        <v>0</v>
      </c>
      <c r="K362" s="13" t="n">
        <v>0</v>
      </c>
      <c r="L362" s="17" t="n">
        <v>0</v>
      </c>
      <c r="M362" s="18" t="n">
        <f aca="false">IF(H362=0,"",I362/H362)</f>
        <v>0</v>
      </c>
    </row>
    <row r="363" customFormat="false" ht="15" hidden="false" customHeight="false" outlineLevel="0" collapsed="false">
      <c r="A363" s="13" t="s">
        <v>365</v>
      </c>
      <c r="B363" s="13" t="s">
        <v>176</v>
      </c>
      <c r="C363" s="13" t="n">
        <v>0</v>
      </c>
      <c r="D363" s="13" t="n">
        <v>0</v>
      </c>
      <c r="E363" s="13" t="n">
        <v>0</v>
      </c>
      <c r="F363" s="13" t="n">
        <v>0</v>
      </c>
      <c r="G363" s="17" t="n">
        <v>0</v>
      </c>
      <c r="H363" s="13" t="n">
        <v>1</v>
      </c>
      <c r="I363" s="13" t="n">
        <v>0</v>
      </c>
      <c r="J363" s="13" t="n">
        <v>0</v>
      </c>
      <c r="K363" s="13" t="n">
        <v>0</v>
      </c>
      <c r="L363" s="17" t="n">
        <v>0</v>
      </c>
      <c r="M363" s="18" t="n">
        <f aca="false">IF(H363=0,"",I363/H363)</f>
        <v>0</v>
      </c>
    </row>
    <row r="364" customFormat="false" ht="15" hidden="false" customHeight="false" outlineLevel="0" collapsed="false">
      <c r="A364" s="13" t="s">
        <v>366</v>
      </c>
      <c r="B364" s="13" t="s">
        <v>176</v>
      </c>
      <c r="C364" s="13" t="n">
        <v>0</v>
      </c>
      <c r="D364" s="13" t="n">
        <v>0</v>
      </c>
      <c r="E364" s="13" t="n">
        <v>0</v>
      </c>
      <c r="F364" s="13" t="n">
        <v>0</v>
      </c>
      <c r="G364" s="17" t="n">
        <v>0</v>
      </c>
      <c r="H364" s="13" t="n">
        <v>1</v>
      </c>
      <c r="I364" s="13" t="n">
        <v>0</v>
      </c>
      <c r="J364" s="13" t="n">
        <v>0</v>
      </c>
      <c r="K364" s="13" t="n">
        <v>0</v>
      </c>
      <c r="L364" s="17" t="n">
        <v>0</v>
      </c>
      <c r="M364" s="18" t="n">
        <f aca="false">IF(H364=0,"",I364/H364)</f>
        <v>0</v>
      </c>
    </row>
    <row r="365" customFormat="false" ht="15" hidden="false" customHeight="false" outlineLevel="0" collapsed="false">
      <c r="A365" s="13" t="s">
        <v>367</v>
      </c>
      <c r="B365" s="13" t="s">
        <v>176</v>
      </c>
      <c r="C365" s="13" t="n">
        <v>0</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368</v>
      </c>
      <c r="B366" s="13" t="s">
        <v>176</v>
      </c>
      <c r="C366" s="13" t="n">
        <v>0</v>
      </c>
      <c r="D366" s="13" t="n">
        <v>0</v>
      </c>
      <c r="E366" s="13" t="n">
        <v>0</v>
      </c>
      <c r="F366" s="13" t="n">
        <v>0</v>
      </c>
      <c r="G366" s="17" t="n">
        <v>0</v>
      </c>
      <c r="H366" s="13" t="n">
        <v>1</v>
      </c>
      <c r="I366" s="13" t="n">
        <v>0</v>
      </c>
      <c r="J366" s="13" t="n">
        <v>0</v>
      </c>
      <c r="K366" s="13" t="n">
        <v>0</v>
      </c>
      <c r="L366" s="17" t="n">
        <v>0</v>
      </c>
      <c r="M366" s="18" t="n">
        <f aca="false">IF(H366=0,"",I366/H366)</f>
        <v>0</v>
      </c>
    </row>
    <row r="367" customFormat="false" ht="15" hidden="false" customHeight="false" outlineLevel="0" collapsed="false">
      <c r="A367" s="13" t="s">
        <v>369</v>
      </c>
      <c r="B367" s="13" t="s">
        <v>176</v>
      </c>
      <c r="C367" s="13" t="n">
        <v>0</v>
      </c>
      <c r="D367" s="13" t="n">
        <v>0</v>
      </c>
      <c r="E367" s="13" t="n">
        <v>0</v>
      </c>
      <c r="F367" s="13" t="n">
        <v>0</v>
      </c>
      <c r="G367" s="17" t="n">
        <v>0</v>
      </c>
      <c r="H367" s="13" t="n">
        <v>1</v>
      </c>
      <c r="I367" s="13" t="n">
        <v>0</v>
      </c>
      <c r="J367" s="13" t="n">
        <v>0</v>
      </c>
      <c r="K367" s="13" t="n">
        <v>0</v>
      </c>
      <c r="L367" s="17" t="n">
        <v>0</v>
      </c>
      <c r="M367" s="18" t="n">
        <f aca="false">IF(H367=0,"",I367/H367)</f>
        <v>0</v>
      </c>
    </row>
    <row r="368" customFormat="false" ht="15" hidden="false" customHeight="false" outlineLevel="0" collapsed="false">
      <c r="A368" s="13" t="s">
        <v>370</v>
      </c>
      <c r="B368" s="13" t="s">
        <v>176</v>
      </c>
      <c r="C368" s="13" t="n">
        <v>0</v>
      </c>
      <c r="D368" s="13" t="n">
        <v>0</v>
      </c>
      <c r="E368" s="13" t="n">
        <v>0</v>
      </c>
      <c r="F368" s="13" t="n">
        <v>0</v>
      </c>
      <c r="G368" s="17" t="n">
        <v>0</v>
      </c>
      <c r="H368" s="13" t="n">
        <v>1</v>
      </c>
      <c r="I368" s="13" t="n">
        <v>0</v>
      </c>
      <c r="J368" s="13" t="n">
        <v>0</v>
      </c>
      <c r="K368" s="13" t="n">
        <v>0</v>
      </c>
      <c r="L368" s="17" t="n">
        <v>0</v>
      </c>
      <c r="M368" s="18" t="n">
        <f aca="false">IF(H368=0,"",I368/H368)</f>
        <v>0</v>
      </c>
    </row>
    <row r="369" customFormat="false" ht="15" hidden="false" customHeight="false" outlineLevel="0" collapsed="false">
      <c r="A369" s="13" t="s">
        <v>370</v>
      </c>
      <c r="B369" s="13" t="s">
        <v>176</v>
      </c>
      <c r="C369" s="13" t="n">
        <v>0</v>
      </c>
      <c r="D369" s="13" t="n">
        <v>0</v>
      </c>
      <c r="E369" s="13" t="n">
        <v>0</v>
      </c>
      <c r="F369" s="13" t="n">
        <v>0</v>
      </c>
      <c r="G369" s="17" t="n">
        <v>0</v>
      </c>
      <c r="H369" s="13" t="n">
        <v>1</v>
      </c>
      <c r="I369" s="13" t="n">
        <v>0</v>
      </c>
      <c r="J369" s="13" t="n">
        <v>0</v>
      </c>
      <c r="K369" s="13" t="n">
        <v>0</v>
      </c>
      <c r="L369" s="17" t="n">
        <v>0</v>
      </c>
      <c r="M369" s="18" t="n">
        <f aca="false">IF(H369=0,"",I369/H369)</f>
        <v>0</v>
      </c>
    </row>
    <row r="370" customFormat="false" ht="15" hidden="false" customHeight="false" outlineLevel="0" collapsed="false">
      <c r="A370" s="13" t="s">
        <v>371</v>
      </c>
      <c r="B370" s="13" t="s">
        <v>176</v>
      </c>
      <c r="C370" s="13" t="n">
        <v>0</v>
      </c>
      <c r="D370" s="13" t="n">
        <v>0</v>
      </c>
      <c r="E370" s="13" t="n">
        <v>0</v>
      </c>
      <c r="F370" s="13" t="n">
        <v>0</v>
      </c>
      <c r="G370" s="17" t="n">
        <v>0</v>
      </c>
      <c r="H370" s="13" t="n">
        <v>1</v>
      </c>
      <c r="I370" s="13" t="n">
        <v>0</v>
      </c>
      <c r="J370" s="13" t="n">
        <v>0</v>
      </c>
      <c r="K370" s="13" t="n">
        <v>0</v>
      </c>
      <c r="L370" s="17" t="n">
        <v>0</v>
      </c>
      <c r="M370" s="18" t="n">
        <f aca="false">IF(H370=0,"",I370/H370)</f>
        <v>0</v>
      </c>
    </row>
    <row r="371" customFormat="false" ht="15" hidden="false" customHeight="false" outlineLevel="0" collapsed="false">
      <c r="A371" s="13" t="s">
        <v>372</v>
      </c>
      <c r="B371" s="13" t="s">
        <v>176</v>
      </c>
      <c r="C371" s="13" t="n">
        <v>0</v>
      </c>
      <c r="D371" s="13" t="n">
        <v>0</v>
      </c>
      <c r="E371" s="13" t="n">
        <v>0</v>
      </c>
      <c r="F371" s="13" t="n">
        <v>0</v>
      </c>
      <c r="G371" s="17" t="n">
        <v>0</v>
      </c>
      <c r="H371" s="13" t="n">
        <v>1</v>
      </c>
      <c r="I371" s="13" t="n">
        <v>0</v>
      </c>
      <c r="J371" s="13" t="n">
        <v>0</v>
      </c>
      <c r="K371" s="13" t="n">
        <v>0</v>
      </c>
      <c r="L371" s="17" t="n">
        <v>0</v>
      </c>
      <c r="M371" s="18" t="n">
        <f aca="false">IF(H371=0,"",I371/H371)</f>
        <v>0</v>
      </c>
    </row>
    <row r="372" customFormat="false" ht="15" hidden="false" customHeight="false" outlineLevel="0" collapsed="false">
      <c r="A372" s="13" t="s">
        <v>145</v>
      </c>
      <c r="B372" s="13" t="s">
        <v>169</v>
      </c>
      <c r="C372" s="13" t="n">
        <v>0</v>
      </c>
      <c r="D372" s="13" t="n">
        <v>0</v>
      </c>
      <c r="E372" s="13" t="n">
        <v>0</v>
      </c>
      <c r="F372" s="13" t="n">
        <v>0</v>
      </c>
      <c r="G372" s="17" t="n">
        <v>0</v>
      </c>
      <c r="H372" s="13" t="n">
        <v>7</v>
      </c>
      <c r="I372" s="13" t="n">
        <v>0</v>
      </c>
      <c r="J372" s="13" t="n">
        <v>0</v>
      </c>
      <c r="K372" s="13" t="n">
        <v>14</v>
      </c>
      <c r="L372" s="17" t="n">
        <v>0</v>
      </c>
      <c r="M372" s="18" t="n">
        <f aca="false">IF(H372=0,"",I372/H372)</f>
        <v>0</v>
      </c>
    </row>
    <row r="373" customFormat="false" ht="15" hidden="false" customHeight="false" outlineLevel="0" collapsed="false">
      <c r="A373" s="13" t="s">
        <v>145</v>
      </c>
      <c r="B373" s="13" t="s">
        <v>170</v>
      </c>
      <c r="C373" s="13" t="n">
        <v>5</v>
      </c>
      <c r="D373" s="13" t="n">
        <v>5</v>
      </c>
      <c r="E373" s="13" t="n">
        <v>0</v>
      </c>
      <c r="F373" s="13" t="n">
        <v>0</v>
      </c>
      <c r="G373" s="17" t="n">
        <v>0</v>
      </c>
      <c r="H373" s="13" t="n">
        <v>5</v>
      </c>
      <c r="I373" s="13" t="n">
        <v>5</v>
      </c>
      <c r="J373" s="13" t="n">
        <v>0</v>
      </c>
      <c r="K373" s="13" t="n">
        <v>0</v>
      </c>
      <c r="L373" s="17" t="n">
        <v>0</v>
      </c>
      <c r="M373" s="18" t="n">
        <f aca="false">IF(H373=0,"",I373/H373)</f>
        <v>1</v>
      </c>
    </row>
    <row r="374" customFormat="false" ht="15" hidden="false" customHeight="false" outlineLevel="0" collapsed="false">
      <c r="A374" s="13" t="s">
        <v>145</v>
      </c>
      <c r="B374" s="13" t="s">
        <v>172</v>
      </c>
      <c r="C374" s="13" t="n">
        <v>4</v>
      </c>
      <c r="D374" s="13" t="n">
        <v>0</v>
      </c>
      <c r="E374" s="13" t="n">
        <v>4</v>
      </c>
      <c r="F374" s="13" t="n">
        <v>0</v>
      </c>
      <c r="G374" s="17" t="n">
        <v>0.003742</v>
      </c>
      <c r="H374" s="13" t="n">
        <v>4</v>
      </c>
      <c r="I374" s="13" t="n">
        <v>0</v>
      </c>
      <c r="J374" s="13" t="n">
        <v>4</v>
      </c>
      <c r="K374" s="13" t="n">
        <v>0</v>
      </c>
      <c r="L374" s="17" t="n">
        <v>0.003742</v>
      </c>
      <c r="M374" s="18" t="n">
        <f aca="false">IF(H374=0,"",I374/H374)</f>
        <v>0</v>
      </c>
    </row>
    <row r="375" customFormat="false" ht="15" hidden="false" customHeight="false" outlineLevel="0" collapsed="false">
      <c r="A375" s="13" t="s">
        <v>145</v>
      </c>
      <c r="B375" s="13" t="s">
        <v>173</v>
      </c>
      <c r="C375" s="13" t="n">
        <v>6</v>
      </c>
      <c r="D375" s="13" t="n">
        <v>4</v>
      </c>
      <c r="E375" s="13" t="n">
        <v>2</v>
      </c>
      <c r="F375" s="13" t="n">
        <v>0</v>
      </c>
      <c r="G375" s="17" t="n">
        <v>0.0101824</v>
      </c>
      <c r="H375" s="13" t="n">
        <v>6</v>
      </c>
      <c r="I375" s="13" t="n">
        <v>4</v>
      </c>
      <c r="J375" s="13" t="n">
        <v>2</v>
      </c>
      <c r="K375" s="13" t="n">
        <v>0</v>
      </c>
      <c r="L375" s="17" t="n">
        <v>0.0101824</v>
      </c>
      <c r="M375" s="18" t="n">
        <f aca="false">IF(H375=0,"",I375/H375)</f>
        <v>0.666666666666667</v>
      </c>
    </row>
    <row r="376" customFormat="false" ht="15" hidden="false" customHeight="false" outlineLevel="0" collapsed="false">
      <c r="A376" s="13" t="s">
        <v>145</v>
      </c>
      <c r="B376" s="13" t="s">
        <v>174</v>
      </c>
      <c r="C376" s="13" t="n">
        <v>0</v>
      </c>
      <c r="D376" s="13" t="n">
        <v>0</v>
      </c>
      <c r="E376" s="13" t="n">
        <v>0</v>
      </c>
      <c r="F376" s="13" t="n">
        <v>0</v>
      </c>
      <c r="G376" s="17" t="n">
        <v>0</v>
      </c>
      <c r="H376" s="13" t="n">
        <v>92</v>
      </c>
      <c r="I376" s="13" t="n">
        <v>67</v>
      </c>
      <c r="J376" s="13" t="n">
        <v>0</v>
      </c>
      <c r="K376" s="13" t="n">
        <v>0</v>
      </c>
      <c r="L376" s="17" t="n">
        <v>0.03903551</v>
      </c>
      <c r="M376" s="18" t="n">
        <f aca="false">IF(H376=0,"",I376/H376)</f>
        <v>0.728260869565217</v>
      </c>
    </row>
    <row r="377" customFormat="false" ht="15" hidden="false" customHeight="false" outlineLevel="0" collapsed="false">
      <c r="A377" s="13" t="s">
        <v>145</v>
      </c>
      <c r="B377" s="13" t="s">
        <v>175</v>
      </c>
      <c r="C377" s="13" t="n">
        <v>1</v>
      </c>
      <c r="D377" s="13" t="n">
        <v>0</v>
      </c>
      <c r="E377" s="13" t="n">
        <v>0</v>
      </c>
      <c r="F377" s="13" t="n">
        <v>1</v>
      </c>
      <c r="G377" s="17" t="n">
        <v>0</v>
      </c>
      <c r="H377" s="13" t="n">
        <v>69</v>
      </c>
      <c r="I377" s="13" t="n">
        <v>0</v>
      </c>
      <c r="J377" s="13" t="n">
        <v>0</v>
      </c>
      <c r="K377" s="13" t="n">
        <v>69</v>
      </c>
      <c r="L377" s="17" t="n">
        <v>0</v>
      </c>
      <c r="M377" s="18" t="n">
        <f aca="false">IF(H377=0,"",I377/H377)</f>
        <v>0</v>
      </c>
    </row>
    <row r="378" customFormat="false" ht="15" hidden="false" customHeight="false" outlineLevel="0" collapsed="false">
      <c r="A378" s="13" t="s">
        <v>373</v>
      </c>
      <c r="B378" s="13" t="s">
        <v>176</v>
      </c>
      <c r="C378" s="13" t="n">
        <v>0</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107</v>
      </c>
      <c r="B379" s="13" t="s">
        <v>169</v>
      </c>
      <c r="C379" s="13" t="n">
        <v>0</v>
      </c>
      <c r="D379" s="13" t="n">
        <v>0</v>
      </c>
      <c r="E379" s="13" t="n">
        <v>0</v>
      </c>
      <c r="F379" s="13" t="n">
        <v>0</v>
      </c>
      <c r="G379" s="17" t="n">
        <v>0</v>
      </c>
      <c r="H379" s="13" t="n">
        <v>5</v>
      </c>
      <c r="I379" s="13" t="n">
        <v>0</v>
      </c>
      <c r="J379" s="13" t="n">
        <v>0</v>
      </c>
      <c r="K379" s="13" t="n">
        <v>10</v>
      </c>
      <c r="L379" s="17" t="n">
        <v>0</v>
      </c>
      <c r="M379" s="18" t="n">
        <f aca="false">IF(H379=0,"",I379/H379)</f>
        <v>0</v>
      </c>
    </row>
    <row r="380" customFormat="false" ht="15" hidden="false" customHeight="false" outlineLevel="0" collapsed="false">
      <c r="A380" s="13" t="s">
        <v>107</v>
      </c>
      <c r="B380" s="13" t="s">
        <v>170</v>
      </c>
      <c r="C380" s="13" t="n">
        <v>0</v>
      </c>
      <c r="D380" s="13" t="n">
        <v>0</v>
      </c>
      <c r="E380" s="13" t="n">
        <v>0</v>
      </c>
      <c r="F380" s="13" t="n">
        <v>0</v>
      </c>
      <c r="G380" s="17" t="n">
        <v>0</v>
      </c>
      <c r="H380" s="13" t="n">
        <v>5</v>
      </c>
      <c r="I380" s="13" t="n">
        <v>0</v>
      </c>
      <c r="J380" s="13" t="n">
        <v>5</v>
      </c>
      <c r="K380" s="13" t="n">
        <v>0</v>
      </c>
      <c r="L380" s="17" t="n">
        <v>0</v>
      </c>
      <c r="M380" s="18" t="n">
        <f aca="false">IF(H380=0,"",I380/H380)</f>
        <v>0</v>
      </c>
    </row>
    <row r="381" customFormat="false" ht="15" hidden="false" customHeight="false" outlineLevel="0" collapsed="false">
      <c r="A381" s="13" t="s">
        <v>107</v>
      </c>
      <c r="B381" s="13" t="s">
        <v>172</v>
      </c>
      <c r="C381" s="13" t="n">
        <v>29</v>
      </c>
      <c r="D381" s="13" t="n">
        <v>4</v>
      </c>
      <c r="E381" s="13" t="n">
        <v>25</v>
      </c>
      <c r="F381" s="13" t="n">
        <v>0</v>
      </c>
      <c r="G381" s="17" t="n">
        <v>0.0286414666666667</v>
      </c>
      <c r="H381" s="13" t="n">
        <v>29</v>
      </c>
      <c r="I381" s="13" t="n">
        <v>4</v>
      </c>
      <c r="J381" s="13" t="n">
        <v>25</v>
      </c>
      <c r="K381" s="13" t="n">
        <v>0</v>
      </c>
      <c r="L381" s="17" t="n">
        <v>0.0286414666666667</v>
      </c>
      <c r="M381" s="18" t="n">
        <f aca="false">IF(H381=0,"",I381/H381)</f>
        <v>0.137931034482759</v>
      </c>
    </row>
    <row r="382" customFormat="false" ht="15" hidden="false" customHeight="false" outlineLevel="0" collapsed="false">
      <c r="A382" s="13" t="s">
        <v>107</v>
      </c>
      <c r="B382" s="13" t="s">
        <v>175</v>
      </c>
      <c r="C382" s="13" t="n">
        <v>0</v>
      </c>
      <c r="D382" s="13" t="n">
        <v>0</v>
      </c>
      <c r="E382" s="13" t="n">
        <v>0</v>
      </c>
      <c r="F382" s="13" t="n">
        <v>0</v>
      </c>
      <c r="G382" s="17" t="n">
        <v>0</v>
      </c>
      <c r="H382" s="13" t="n">
        <v>17</v>
      </c>
      <c r="I382" s="13" t="n">
        <v>0</v>
      </c>
      <c r="J382" s="13" t="n">
        <v>0</v>
      </c>
      <c r="K382" s="13" t="n">
        <v>17</v>
      </c>
      <c r="L382" s="17" t="n">
        <v>0</v>
      </c>
      <c r="M382" s="18" t="n">
        <f aca="false">IF(H382=0,"",I382/H382)</f>
        <v>0</v>
      </c>
    </row>
    <row r="383" customFormat="false" ht="15" hidden="false" customHeight="false" outlineLevel="0" collapsed="false">
      <c r="A383" s="13" t="s">
        <v>107</v>
      </c>
      <c r="B383" s="13" t="s">
        <v>176</v>
      </c>
      <c r="C383" s="13" t="n">
        <v>23</v>
      </c>
      <c r="D383" s="13" t="n">
        <v>0</v>
      </c>
      <c r="E383" s="13" t="n">
        <v>0</v>
      </c>
      <c r="F383" s="13" t="n">
        <v>0</v>
      </c>
      <c r="G383" s="17" t="n">
        <v>0</v>
      </c>
      <c r="H383" s="13" t="n">
        <v>24</v>
      </c>
      <c r="I383" s="13" t="n">
        <v>0</v>
      </c>
      <c r="J383" s="13" t="n">
        <v>0</v>
      </c>
      <c r="K383" s="13" t="n">
        <v>0</v>
      </c>
      <c r="L383" s="17" t="n">
        <v>0</v>
      </c>
      <c r="M383" s="18" t="n">
        <f aca="false">IF(H383=0,"",I383/H383)</f>
        <v>0</v>
      </c>
    </row>
    <row r="384" customFormat="false" ht="15" hidden="false" customHeight="false" outlineLevel="0" collapsed="false">
      <c r="A384" s="13" t="s">
        <v>374</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375</v>
      </c>
      <c r="B385" s="13" t="s">
        <v>176</v>
      </c>
      <c r="C385" s="13" t="n">
        <v>0</v>
      </c>
      <c r="D385" s="13" t="n">
        <v>0</v>
      </c>
      <c r="E385" s="13" t="n">
        <v>0</v>
      </c>
      <c r="F385" s="13" t="n">
        <v>0</v>
      </c>
      <c r="G385" s="17" t="n">
        <v>0</v>
      </c>
      <c r="H385" s="13" t="n">
        <v>1</v>
      </c>
      <c r="I385" s="13" t="n">
        <v>0</v>
      </c>
      <c r="J385" s="13" t="n">
        <v>0</v>
      </c>
      <c r="K385" s="13" t="n">
        <v>0</v>
      </c>
      <c r="L385" s="17" t="n">
        <v>0</v>
      </c>
      <c r="M385" s="18" t="n">
        <f aca="false">IF(H385=0,"",I385/H385)</f>
        <v>0</v>
      </c>
    </row>
    <row r="386" customFormat="false" ht="15" hidden="false" customHeight="false" outlineLevel="0" collapsed="false">
      <c r="A386" s="13" t="s">
        <v>376</v>
      </c>
      <c r="B386" s="13" t="s">
        <v>176</v>
      </c>
      <c r="C386" s="13" t="n">
        <v>0</v>
      </c>
      <c r="D386" s="13" t="n">
        <v>0</v>
      </c>
      <c r="E386" s="13" t="n">
        <v>0</v>
      </c>
      <c r="F386" s="13" t="n">
        <v>0</v>
      </c>
      <c r="G386" s="17" t="n">
        <v>0</v>
      </c>
      <c r="H386" s="13" t="n">
        <v>1</v>
      </c>
      <c r="I386" s="13" t="n">
        <v>0</v>
      </c>
      <c r="J386" s="13" t="n">
        <v>0</v>
      </c>
      <c r="K386" s="13" t="n">
        <v>0</v>
      </c>
      <c r="L386" s="17" t="n">
        <v>0</v>
      </c>
      <c r="M386" s="18" t="n">
        <f aca="false">IF(H386=0,"",I386/H386)</f>
        <v>0</v>
      </c>
    </row>
    <row r="387" customFormat="false" ht="15" hidden="false" customHeight="false" outlineLevel="0" collapsed="false">
      <c r="A387" s="13" t="s">
        <v>377</v>
      </c>
      <c r="B387" s="13" t="s">
        <v>176</v>
      </c>
      <c r="C387" s="13" t="n">
        <v>0</v>
      </c>
      <c r="D387" s="13" t="n">
        <v>0</v>
      </c>
      <c r="E387" s="13" t="n">
        <v>0</v>
      </c>
      <c r="F387" s="13" t="n">
        <v>0</v>
      </c>
      <c r="G387" s="17" t="n">
        <v>0</v>
      </c>
      <c r="H387" s="13" t="n">
        <v>1</v>
      </c>
      <c r="I387" s="13" t="n">
        <v>0</v>
      </c>
      <c r="J387" s="13" t="n">
        <v>0</v>
      </c>
      <c r="K387" s="13" t="n">
        <v>0</v>
      </c>
      <c r="L387" s="17" t="n">
        <v>0</v>
      </c>
      <c r="M387" s="18" t="n">
        <f aca="false">IF(H387=0,"",I387/H387)</f>
        <v>0</v>
      </c>
    </row>
    <row r="388" customFormat="false" ht="15" hidden="false" customHeight="false" outlineLevel="0" collapsed="false">
      <c r="A388" s="13" t="s">
        <v>378</v>
      </c>
      <c r="B388" s="13" t="s">
        <v>176</v>
      </c>
      <c r="C388" s="13" t="n">
        <v>0</v>
      </c>
      <c r="D388" s="13" t="n">
        <v>0</v>
      </c>
      <c r="E388" s="13" t="n">
        <v>0</v>
      </c>
      <c r="F388" s="13" t="n">
        <v>0</v>
      </c>
      <c r="G388" s="17" t="n">
        <v>0</v>
      </c>
      <c r="H388" s="13" t="n">
        <v>1</v>
      </c>
      <c r="I388" s="13" t="n">
        <v>0</v>
      </c>
      <c r="J388" s="13" t="n">
        <v>0</v>
      </c>
      <c r="K388" s="13" t="n">
        <v>0</v>
      </c>
      <c r="L388" s="17" t="n">
        <v>0</v>
      </c>
      <c r="M388" s="18" t="n">
        <f aca="false">IF(H388=0,"",I388/H388)</f>
        <v>0</v>
      </c>
    </row>
    <row r="389" customFormat="false" ht="15" hidden="false" customHeight="false" outlineLevel="0" collapsed="false">
      <c r="A389" s="13" t="s">
        <v>379</v>
      </c>
      <c r="B389" s="13" t="s">
        <v>176</v>
      </c>
      <c r="C389" s="13" t="n">
        <v>0</v>
      </c>
      <c r="D389" s="13" t="n">
        <v>0</v>
      </c>
      <c r="E389" s="13" t="n">
        <v>0</v>
      </c>
      <c r="F389" s="13" t="n">
        <v>0</v>
      </c>
      <c r="G389" s="17" t="n">
        <v>0</v>
      </c>
      <c r="H389" s="13" t="n">
        <v>1</v>
      </c>
      <c r="I389" s="13" t="n">
        <v>0</v>
      </c>
      <c r="J389" s="13" t="n">
        <v>0</v>
      </c>
      <c r="K389" s="13" t="n">
        <v>0</v>
      </c>
      <c r="L389" s="17" t="n">
        <v>0</v>
      </c>
      <c r="M389" s="18" t="n">
        <f aca="false">IF(H389=0,"",I389/H389)</f>
        <v>0</v>
      </c>
    </row>
    <row r="390" customFormat="false" ht="15" hidden="false" customHeight="false" outlineLevel="0" collapsed="false">
      <c r="A390" s="13" t="s">
        <v>123</v>
      </c>
      <c r="B390" s="13" t="s">
        <v>169</v>
      </c>
      <c r="C390" s="13" t="n">
        <v>0</v>
      </c>
      <c r="D390" s="13" t="n">
        <v>0</v>
      </c>
      <c r="E390" s="13" t="n">
        <v>14</v>
      </c>
      <c r="F390" s="13" t="n">
        <v>0</v>
      </c>
      <c r="G390" s="17" t="n">
        <v>0</v>
      </c>
      <c r="H390" s="13" t="n">
        <v>43</v>
      </c>
      <c r="I390" s="13" t="n">
        <v>0</v>
      </c>
      <c r="J390" s="13" t="n">
        <v>42</v>
      </c>
      <c r="K390" s="13" t="n">
        <v>86</v>
      </c>
      <c r="L390" s="17" t="n">
        <v>0</v>
      </c>
      <c r="M390" s="18" t="n">
        <f aca="false">IF(H390=0,"",I390/H390)</f>
        <v>0</v>
      </c>
    </row>
    <row r="391" customFormat="false" ht="15" hidden="false" customHeight="false" outlineLevel="0" collapsed="false">
      <c r="A391" s="13" t="s">
        <v>123</v>
      </c>
      <c r="B391" s="13" t="s">
        <v>170</v>
      </c>
      <c r="C391" s="13" t="n">
        <v>79</v>
      </c>
      <c r="D391" s="13" t="n">
        <v>65</v>
      </c>
      <c r="E391" s="13" t="n">
        <v>0</v>
      </c>
      <c r="F391" s="13" t="n">
        <v>0</v>
      </c>
      <c r="G391" s="17" t="n">
        <v>0</v>
      </c>
      <c r="H391" s="13" t="n">
        <v>106</v>
      </c>
      <c r="I391" s="13" t="n">
        <v>65</v>
      </c>
      <c r="J391" s="13" t="n">
        <v>0</v>
      </c>
      <c r="K391" s="13" t="n">
        <v>0</v>
      </c>
      <c r="L391" s="17" t="n">
        <v>0</v>
      </c>
      <c r="M391" s="18" t="n">
        <f aca="false">IF(H391=0,"",I391/H391)</f>
        <v>0.613207547169811</v>
      </c>
    </row>
    <row r="392" customFormat="false" ht="15" hidden="false" customHeight="false" outlineLevel="0" collapsed="false">
      <c r="A392" s="13" t="s">
        <v>123</v>
      </c>
      <c r="B392" s="13" t="s">
        <v>172</v>
      </c>
      <c r="C392" s="13" t="n">
        <v>134</v>
      </c>
      <c r="D392" s="13" t="n">
        <v>7</v>
      </c>
      <c r="E392" s="13" t="n">
        <v>127</v>
      </c>
      <c r="F392" s="13" t="n">
        <v>0</v>
      </c>
      <c r="G392" s="17" t="n">
        <v>0.0892452666666667</v>
      </c>
      <c r="H392" s="13" t="n">
        <v>156</v>
      </c>
      <c r="I392" s="13" t="n">
        <v>11</v>
      </c>
      <c r="J392" s="13" t="n">
        <v>144</v>
      </c>
      <c r="K392" s="13" t="n">
        <v>0</v>
      </c>
      <c r="L392" s="17" t="n">
        <v>0.106366780952381</v>
      </c>
      <c r="M392" s="18" t="n">
        <f aca="false">IF(H392=0,"",I392/H392)</f>
        <v>0.0705128205128205</v>
      </c>
    </row>
    <row r="393" customFormat="false" ht="15" hidden="false" customHeight="false" outlineLevel="0" collapsed="false">
      <c r="A393" s="13" t="s">
        <v>123</v>
      </c>
      <c r="B393" s="13" t="s">
        <v>173</v>
      </c>
      <c r="C393" s="13" t="n">
        <v>44</v>
      </c>
      <c r="D393" s="13" t="n">
        <v>38</v>
      </c>
      <c r="E393" s="13" t="n">
        <v>6</v>
      </c>
      <c r="F393" s="13" t="n">
        <v>0</v>
      </c>
      <c r="G393" s="17" t="n">
        <v>0.14945</v>
      </c>
      <c r="H393" s="13" t="n">
        <v>44</v>
      </c>
      <c r="I393" s="13" t="n">
        <v>38</v>
      </c>
      <c r="J393" s="13" t="n">
        <v>6</v>
      </c>
      <c r="K393" s="13" t="n">
        <v>0</v>
      </c>
      <c r="L393" s="17" t="n">
        <v>0.14945</v>
      </c>
      <c r="M393" s="18" t="n">
        <f aca="false">IF(H393=0,"",I393/H393)</f>
        <v>0.863636363636364</v>
      </c>
    </row>
    <row r="394" customFormat="false" ht="15" hidden="false" customHeight="false" outlineLevel="0" collapsed="false">
      <c r="A394" s="13" t="s">
        <v>123</v>
      </c>
      <c r="B394" s="13" t="s">
        <v>174</v>
      </c>
      <c r="C394" s="13" t="n">
        <v>0</v>
      </c>
      <c r="D394" s="13" t="n">
        <v>0</v>
      </c>
      <c r="E394" s="13" t="n">
        <v>0</v>
      </c>
      <c r="F394" s="13" t="n">
        <v>0</v>
      </c>
      <c r="G394" s="17" t="n">
        <v>0</v>
      </c>
      <c r="H394" s="13" t="n">
        <v>59</v>
      </c>
      <c r="I394" s="13" t="n">
        <v>37</v>
      </c>
      <c r="J394" s="13" t="n">
        <v>1</v>
      </c>
      <c r="K394" s="13" t="n">
        <v>0</v>
      </c>
      <c r="L394" s="17" t="n">
        <v>0.03064577</v>
      </c>
      <c r="M394" s="18" t="n">
        <f aca="false">IF(H394=0,"",I394/H394)</f>
        <v>0.627118644067797</v>
      </c>
    </row>
    <row r="395" customFormat="false" ht="15" hidden="false" customHeight="false" outlineLevel="0" collapsed="false">
      <c r="A395" s="13" t="s">
        <v>123</v>
      </c>
      <c r="B395" s="13" t="s">
        <v>175</v>
      </c>
      <c r="C395" s="13" t="n">
        <v>0</v>
      </c>
      <c r="D395" s="13" t="n">
        <v>0</v>
      </c>
      <c r="E395" s="13" t="n">
        <v>0</v>
      </c>
      <c r="F395" s="13" t="n">
        <v>0</v>
      </c>
      <c r="G395" s="17" t="n">
        <v>0</v>
      </c>
      <c r="H395" s="13" t="n">
        <v>47</v>
      </c>
      <c r="I395" s="13" t="n">
        <v>0</v>
      </c>
      <c r="J395" s="13" t="n">
        <v>0</v>
      </c>
      <c r="K395" s="13" t="n">
        <v>47</v>
      </c>
      <c r="L395" s="17" t="n">
        <v>0</v>
      </c>
      <c r="M395" s="18" t="n">
        <f aca="false">IF(H395=0,"",I395/H395)</f>
        <v>0</v>
      </c>
    </row>
    <row r="396" customFormat="false" ht="15" hidden="false" customHeight="false" outlineLevel="0" collapsed="false">
      <c r="A396" s="13" t="s">
        <v>123</v>
      </c>
      <c r="B396" s="13" t="s">
        <v>176</v>
      </c>
      <c r="C396" s="13" t="n">
        <v>44</v>
      </c>
      <c r="D396" s="13" t="n">
        <v>0</v>
      </c>
      <c r="E396" s="13" t="n">
        <v>0</v>
      </c>
      <c r="F396" s="13" t="n">
        <v>0</v>
      </c>
      <c r="G396" s="17" t="n">
        <v>0</v>
      </c>
      <c r="H396" s="13" t="n">
        <v>56</v>
      </c>
      <c r="I396" s="13" t="n">
        <v>0</v>
      </c>
      <c r="J396" s="13" t="n">
        <v>0</v>
      </c>
      <c r="K396" s="13" t="n">
        <v>0</v>
      </c>
      <c r="L396" s="17" t="n">
        <v>0</v>
      </c>
      <c r="M396" s="18" t="n">
        <f aca="false">IF(H396=0,"",I396/H396)</f>
        <v>0</v>
      </c>
    </row>
    <row r="397" customFormat="false" ht="15" hidden="false" customHeight="false" outlineLevel="0" collapsed="false">
      <c r="A397" s="13" t="s">
        <v>380</v>
      </c>
      <c r="B397" s="13" t="s">
        <v>176</v>
      </c>
      <c r="C397" s="13" t="n">
        <v>0</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381</v>
      </c>
      <c r="B398" s="13" t="s">
        <v>176</v>
      </c>
      <c r="C398" s="13" t="n">
        <v>0</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141</v>
      </c>
      <c r="B399" s="13" t="s">
        <v>170</v>
      </c>
      <c r="C399" s="13" t="n">
        <v>62</v>
      </c>
      <c r="D399" s="13" t="n">
        <v>62</v>
      </c>
      <c r="E399" s="13" t="n">
        <v>0</v>
      </c>
      <c r="F399" s="13" t="n">
        <v>0</v>
      </c>
      <c r="G399" s="17" t="n">
        <v>0</v>
      </c>
      <c r="H399" s="13" t="n">
        <v>62</v>
      </c>
      <c r="I399" s="13" t="n">
        <v>62</v>
      </c>
      <c r="J399" s="13" t="n">
        <v>0</v>
      </c>
      <c r="K399" s="13" t="n">
        <v>0</v>
      </c>
      <c r="L399" s="17" t="n">
        <v>0</v>
      </c>
      <c r="M399" s="18" t="n">
        <f aca="false">IF(H399=0,"",I399/H399)</f>
        <v>1</v>
      </c>
    </row>
    <row r="400" customFormat="false" ht="15" hidden="false" customHeight="false" outlineLevel="0" collapsed="false">
      <c r="A400" s="13" t="s">
        <v>141</v>
      </c>
      <c r="B400" s="13" t="s">
        <v>172</v>
      </c>
      <c r="C400" s="13" t="n">
        <v>253</v>
      </c>
      <c r="D400" s="13" t="n">
        <v>226</v>
      </c>
      <c r="E400" s="13" t="n">
        <v>25</v>
      </c>
      <c r="F400" s="13" t="n">
        <v>0</v>
      </c>
      <c r="G400" s="17" t="n">
        <v>0.065052</v>
      </c>
      <c r="H400" s="13" t="n">
        <v>253</v>
      </c>
      <c r="I400" s="13" t="n">
        <v>226</v>
      </c>
      <c r="J400" s="13" t="n">
        <v>25</v>
      </c>
      <c r="K400" s="13" t="n">
        <v>0</v>
      </c>
      <c r="L400" s="17" t="n">
        <v>0.065052</v>
      </c>
      <c r="M400" s="18" t="n">
        <f aca="false">IF(H400=0,"",I400/H400)</f>
        <v>0.893280632411067</v>
      </c>
    </row>
    <row r="401" customFormat="false" ht="15" hidden="false" customHeight="false" outlineLevel="0" collapsed="false">
      <c r="A401" s="13" t="s">
        <v>141</v>
      </c>
      <c r="B401" s="13" t="s">
        <v>173</v>
      </c>
      <c r="C401" s="13" t="n">
        <v>51</v>
      </c>
      <c r="D401" s="13" t="n">
        <v>37</v>
      </c>
      <c r="E401" s="13" t="n">
        <v>14</v>
      </c>
      <c r="F401" s="13" t="n">
        <v>0</v>
      </c>
      <c r="G401" s="17" t="n">
        <v>0.069748</v>
      </c>
      <c r="H401" s="13" t="n">
        <v>51</v>
      </c>
      <c r="I401" s="13" t="n">
        <v>37</v>
      </c>
      <c r="J401" s="13" t="n">
        <v>14</v>
      </c>
      <c r="K401" s="13" t="n">
        <v>0</v>
      </c>
      <c r="L401" s="17" t="n">
        <v>0.069748</v>
      </c>
      <c r="M401" s="18" t="n">
        <f aca="false">IF(H401=0,"",I401/H401)</f>
        <v>0.725490196078431</v>
      </c>
    </row>
    <row r="402" customFormat="false" ht="15" hidden="false" customHeight="false" outlineLevel="0" collapsed="false">
      <c r="A402" s="13" t="s">
        <v>141</v>
      </c>
      <c r="B402" s="13" t="s">
        <v>174</v>
      </c>
      <c r="C402" s="13" t="n">
        <v>0</v>
      </c>
      <c r="D402" s="13" t="n">
        <v>0</v>
      </c>
      <c r="E402" s="13" t="n">
        <v>0</v>
      </c>
      <c r="F402" s="13" t="n">
        <v>0</v>
      </c>
      <c r="G402" s="17" t="n">
        <v>0</v>
      </c>
      <c r="H402" s="13" t="n">
        <v>7</v>
      </c>
      <c r="I402" s="13" t="n">
        <v>6</v>
      </c>
      <c r="J402" s="13" t="n">
        <v>0</v>
      </c>
      <c r="K402" s="13" t="n">
        <v>0</v>
      </c>
      <c r="L402" s="17" t="n">
        <v>0.00225228</v>
      </c>
      <c r="M402" s="18" t="n">
        <f aca="false">IF(H402=0,"",I402/H402)</f>
        <v>0.857142857142857</v>
      </c>
    </row>
    <row r="403" customFormat="false" ht="15" hidden="false" customHeight="false" outlineLevel="0" collapsed="false">
      <c r="A403" s="13" t="s">
        <v>141</v>
      </c>
      <c r="B403" s="13" t="s">
        <v>175</v>
      </c>
      <c r="C403" s="13" t="n">
        <v>0</v>
      </c>
      <c r="D403" s="13" t="n">
        <v>0</v>
      </c>
      <c r="E403" s="13" t="n">
        <v>0</v>
      </c>
      <c r="F403" s="13" t="n">
        <v>0</v>
      </c>
      <c r="G403" s="17" t="n">
        <v>0</v>
      </c>
      <c r="H403" s="13" t="n">
        <v>7</v>
      </c>
      <c r="I403" s="13" t="n">
        <v>0</v>
      </c>
      <c r="J403" s="13" t="n">
        <v>0</v>
      </c>
      <c r="K403" s="13" t="n">
        <v>7</v>
      </c>
      <c r="L403" s="17" t="n">
        <v>0</v>
      </c>
      <c r="M403" s="18" t="n">
        <f aca="false">IF(H403=0,"",I403/H403)</f>
        <v>0</v>
      </c>
    </row>
    <row r="404" customFormat="false" ht="15" hidden="false" customHeight="false" outlineLevel="0" collapsed="false">
      <c r="A404" s="13" t="s">
        <v>141</v>
      </c>
      <c r="B404" s="13" t="s">
        <v>176</v>
      </c>
      <c r="C404" s="13" t="n">
        <v>21</v>
      </c>
      <c r="D404" s="13" t="n">
        <v>0</v>
      </c>
      <c r="E404" s="13" t="n">
        <v>0</v>
      </c>
      <c r="F404" s="13" t="n">
        <v>0</v>
      </c>
      <c r="G404" s="17" t="n">
        <v>0</v>
      </c>
      <c r="H404" s="13" t="n">
        <v>21</v>
      </c>
      <c r="I404" s="13" t="n">
        <v>0</v>
      </c>
      <c r="J404" s="13" t="n">
        <v>0</v>
      </c>
      <c r="K404" s="13" t="n">
        <v>0</v>
      </c>
      <c r="L404" s="17" t="n">
        <v>0</v>
      </c>
      <c r="M404" s="18" t="n">
        <f aca="false">IF(H404=0,"",I404/H404)</f>
        <v>0</v>
      </c>
    </row>
    <row r="405" customFormat="false" ht="15" hidden="false" customHeight="false" outlineLevel="0" collapsed="false">
      <c r="A405" s="13" t="s">
        <v>382</v>
      </c>
      <c r="B405" s="13" t="s">
        <v>176</v>
      </c>
      <c r="C405" s="13" t="n">
        <v>0</v>
      </c>
      <c r="D405" s="13" t="n">
        <v>0</v>
      </c>
      <c r="E405" s="13" t="n">
        <v>0</v>
      </c>
      <c r="F405" s="13" t="n">
        <v>0</v>
      </c>
      <c r="G405" s="17" t="n">
        <v>0</v>
      </c>
      <c r="H405" s="13" t="n">
        <v>1</v>
      </c>
      <c r="I405" s="13" t="n">
        <v>0</v>
      </c>
      <c r="J405" s="13" t="n">
        <v>0</v>
      </c>
      <c r="K405" s="13" t="n">
        <v>0</v>
      </c>
      <c r="L405" s="17" t="n">
        <v>0</v>
      </c>
      <c r="M405" s="18" t="n">
        <f aca="false">IF(H405=0,"",I405/H405)</f>
        <v>0</v>
      </c>
    </row>
    <row r="406" customFormat="false" ht="15" hidden="false" customHeight="false" outlineLevel="0" collapsed="false">
      <c r="A406" s="13" t="s">
        <v>383</v>
      </c>
      <c r="B406" s="13" t="s">
        <v>176</v>
      </c>
      <c r="C406" s="13" t="n">
        <v>0</v>
      </c>
      <c r="D406" s="13" t="n">
        <v>0</v>
      </c>
      <c r="E406" s="13" t="n">
        <v>0</v>
      </c>
      <c r="F406" s="13" t="n">
        <v>0</v>
      </c>
      <c r="G406" s="17" t="n">
        <v>0</v>
      </c>
      <c r="H406" s="13" t="n">
        <v>1</v>
      </c>
      <c r="I406" s="13" t="n">
        <v>0</v>
      </c>
      <c r="J406" s="13" t="n">
        <v>0</v>
      </c>
      <c r="K406" s="13" t="n">
        <v>0</v>
      </c>
      <c r="L406" s="17" t="n">
        <v>0</v>
      </c>
      <c r="M406" s="18" t="n">
        <f aca="false">IF(H406=0,"",I406/H406)</f>
        <v>0</v>
      </c>
    </row>
    <row r="407" customFormat="false" ht="15" hidden="false" customHeight="false" outlineLevel="0" collapsed="false">
      <c r="A407" s="13" t="s">
        <v>139</v>
      </c>
      <c r="B407" s="13" t="s">
        <v>170</v>
      </c>
      <c r="C407" s="13" t="n">
        <v>4</v>
      </c>
      <c r="D407" s="13" t="n">
        <v>4</v>
      </c>
      <c r="E407" s="13" t="n">
        <v>0</v>
      </c>
      <c r="F407" s="13" t="n">
        <v>0</v>
      </c>
      <c r="G407" s="17" t="n">
        <v>0</v>
      </c>
      <c r="H407" s="13" t="n">
        <v>4</v>
      </c>
      <c r="I407" s="13" t="n">
        <v>4</v>
      </c>
      <c r="J407" s="13" t="n">
        <v>0</v>
      </c>
      <c r="K407" s="13" t="n">
        <v>0</v>
      </c>
      <c r="L407" s="17" t="n">
        <v>0</v>
      </c>
      <c r="M407" s="18" t="n">
        <f aca="false">IF(H407=0,"",I407/H407)</f>
        <v>1</v>
      </c>
    </row>
    <row r="408" customFormat="false" ht="15" hidden="false" customHeight="false" outlineLevel="0" collapsed="false">
      <c r="A408" s="13" t="s">
        <v>139</v>
      </c>
      <c r="B408" s="13" t="s">
        <v>172</v>
      </c>
      <c r="C408" s="13" t="n">
        <v>16</v>
      </c>
      <c r="D408" s="13" t="n">
        <v>0</v>
      </c>
      <c r="E408" s="13" t="n">
        <v>16</v>
      </c>
      <c r="F408" s="13" t="n">
        <v>0</v>
      </c>
      <c r="G408" s="17" t="n">
        <v>0.0049688</v>
      </c>
      <c r="H408" s="13" t="n">
        <v>16</v>
      </c>
      <c r="I408" s="13" t="n">
        <v>0</v>
      </c>
      <c r="J408" s="13" t="n">
        <v>16</v>
      </c>
      <c r="K408" s="13" t="n">
        <v>0</v>
      </c>
      <c r="L408" s="17" t="n">
        <v>0.0049688</v>
      </c>
      <c r="M408" s="18" t="n">
        <f aca="false">IF(H408=0,"",I408/H408)</f>
        <v>0</v>
      </c>
    </row>
    <row r="409" customFormat="false" ht="15" hidden="false" customHeight="false" outlineLevel="0" collapsed="false">
      <c r="A409" s="13" t="s">
        <v>139</v>
      </c>
      <c r="B409" s="13" t="s">
        <v>173</v>
      </c>
      <c r="C409" s="13" t="n">
        <v>3</v>
      </c>
      <c r="D409" s="13" t="n">
        <v>0</v>
      </c>
      <c r="E409" s="13" t="n">
        <v>3</v>
      </c>
      <c r="F409" s="13" t="n">
        <v>0</v>
      </c>
      <c r="G409" s="17" t="n">
        <v>0</v>
      </c>
      <c r="H409" s="13" t="n">
        <v>3</v>
      </c>
      <c r="I409" s="13" t="n">
        <v>0</v>
      </c>
      <c r="J409" s="13" t="n">
        <v>3</v>
      </c>
      <c r="K409" s="13" t="n">
        <v>0</v>
      </c>
      <c r="L409" s="17" t="n">
        <v>0</v>
      </c>
      <c r="M409" s="18" t="n">
        <f aca="false">IF(H409=0,"",I409/H409)</f>
        <v>0</v>
      </c>
    </row>
    <row r="410" customFormat="false" ht="15" hidden="false" customHeight="false" outlineLevel="0" collapsed="false">
      <c r="A410" s="13" t="s">
        <v>139</v>
      </c>
      <c r="B410" s="13" t="s">
        <v>174</v>
      </c>
      <c r="C410" s="13" t="n">
        <v>0</v>
      </c>
      <c r="D410" s="13" t="n">
        <v>0</v>
      </c>
      <c r="E410" s="13" t="n">
        <v>0</v>
      </c>
      <c r="F410" s="13" t="n">
        <v>0</v>
      </c>
      <c r="G410" s="17" t="n">
        <v>0</v>
      </c>
      <c r="H410" s="13" t="n">
        <v>10</v>
      </c>
      <c r="I410" s="13" t="n">
        <v>10</v>
      </c>
      <c r="J410" s="13" t="n">
        <v>0</v>
      </c>
      <c r="K410" s="13" t="n">
        <v>0</v>
      </c>
      <c r="L410" s="17" t="n">
        <v>0.00270807</v>
      </c>
      <c r="M410" s="18" t="n">
        <f aca="false">IF(H410=0,"",I410/H410)</f>
        <v>1</v>
      </c>
    </row>
    <row r="411" customFormat="false" ht="15" hidden="false" customHeight="false" outlineLevel="0" collapsed="false">
      <c r="A411" s="13" t="s">
        <v>139</v>
      </c>
      <c r="B411" s="13" t="s">
        <v>175</v>
      </c>
      <c r="C411" s="13" t="n">
        <v>0</v>
      </c>
      <c r="D411" s="13" t="n">
        <v>0</v>
      </c>
      <c r="E411" s="13" t="n">
        <v>0</v>
      </c>
      <c r="F411" s="13" t="n">
        <v>0</v>
      </c>
      <c r="G411" s="17" t="n">
        <v>0</v>
      </c>
      <c r="H411" s="13" t="n">
        <v>11</v>
      </c>
      <c r="I411" s="13" t="n">
        <v>0</v>
      </c>
      <c r="J411" s="13" t="n">
        <v>0</v>
      </c>
      <c r="K411" s="13" t="n">
        <v>11</v>
      </c>
      <c r="L411" s="17" t="n">
        <v>0</v>
      </c>
      <c r="M411" s="18" t="n">
        <f aca="false">IF(H411=0,"",I411/H411)</f>
        <v>0</v>
      </c>
    </row>
    <row r="412" customFormat="false" ht="15" hidden="false" customHeight="false" outlineLevel="0" collapsed="false">
      <c r="A412" s="13" t="s">
        <v>139</v>
      </c>
      <c r="B412" s="13" t="s">
        <v>176</v>
      </c>
      <c r="C412" s="13" t="n">
        <v>8</v>
      </c>
      <c r="D412" s="13" t="n">
        <v>0</v>
      </c>
      <c r="E412" s="13" t="n">
        <v>0</v>
      </c>
      <c r="F412" s="13" t="n">
        <v>0</v>
      </c>
      <c r="G412" s="17" t="n">
        <v>0</v>
      </c>
      <c r="H412" s="13" t="n">
        <v>9</v>
      </c>
      <c r="I412" s="13" t="n">
        <v>0</v>
      </c>
      <c r="J412" s="13" t="n">
        <v>0</v>
      </c>
      <c r="K412" s="13" t="n">
        <v>0</v>
      </c>
      <c r="L412" s="17" t="n">
        <v>0</v>
      </c>
      <c r="M412" s="18" t="n">
        <f aca="false">IF(H412=0,"",I412/H412)</f>
        <v>0</v>
      </c>
    </row>
    <row r="413" customFormat="false" ht="15" hidden="false" customHeight="false" outlineLevel="0" collapsed="false">
      <c r="A413" s="13" t="s">
        <v>384</v>
      </c>
      <c r="B413" s="13" t="s">
        <v>176</v>
      </c>
      <c r="C413" s="13" t="n">
        <v>0</v>
      </c>
      <c r="D413" s="13" t="n">
        <v>0</v>
      </c>
      <c r="E413" s="13" t="n">
        <v>0</v>
      </c>
      <c r="F413" s="13" t="n">
        <v>0</v>
      </c>
      <c r="G413" s="17" t="n">
        <v>0</v>
      </c>
      <c r="H413" s="13" t="n">
        <v>1</v>
      </c>
      <c r="I413" s="13" t="n">
        <v>0</v>
      </c>
      <c r="J413" s="13" t="n">
        <v>0</v>
      </c>
      <c r="K413" s="13" t="n">
        <v>0</v>
      </c>
      <c r="L413" s="17" t="n">
        <v>0</v>
      </c>
      <c r="M413" s="18" t="n">
        <f aca="false">IF(H413=0,"",I413/H413)</f>
        <v>0</v>
      </c>
    </row>
    <row r="414" customFormat="false" ht="15" hidden="false" customHeight="false" outlineLevel="0" collapsed="false">
      <c r="A414" s="13" t="s">
        <v>385</v>
      </c>
      <c r="B414" s="13" t="s">
        <v>176</v>
      </c>
      <c r="C414" s="13" t="n">
        <v>0</v>
      </c>
      <c r="D414" s="13" t="n">
        <v>0</v>
      </c>
      <c r="E414" s="13" t="n">
        <v>0</v>
      </c>
      <c r="F414" s="13" t="n">
        <v>0</v>
      </c>
      <c r="G414" s="17" t="n">
        <v>0</v>
      </c>
      <c r="H414" s="13" t="n">
        <v>1</v>
      </c>
      <c r="I414" s="13" t="n">
        <v>0</v>
      </c>
      <c r="J414" s="13" t="n">
        <v>0</v>
      </c>
      <c r="K414" s="13" t="n">
        <v>0</v>
      </c>
      <c r="L414" s="17" t="n">
        <v>0</v>
      </c>
      <c r="M414" s="18" t="n">
        <f aca="false">IF(H414=0,"",I414/H414)</f>
        <v>0</v>
      </c>
    </row>
    <row r="415" customFormat="false" ht="15" hidden="false" customHeight="false" outlineLevel="0" collapsed="false">
      <c r="A415" s="13" t="s">
        <v>75</v>
      </c>
      <c r="B415" s="13" t="s">
        <v>170</v>
      </c>
      <c r="C415" s="13" t="n">
        <v>83</v>
      </c>
      <c r="D415" s="13" t="n">
        <v>83</v>
      </c>
      <c r="E415" s="13" t="n">
        <v>0</v>
      </c>
      <c r="F415" s="13" t="n">
        <v>0</v>
      </c>
      <c r="G415" s="17" t="n">
        <v>0</v>
      </c>
      <c r="H415" s="13" t="n">
        <v>83</v>
      </c>
      <c r="I415" s="13" t="n">
        <v>83</v>
      </c>
      <c r="J415" s="13" t="n">
        <v>0</v>
      </c>
      <c r="K415" s="13" t="n">
        <v>0</v>
      </c>
      <c r="L415" s="17" t="n">
        <v>0</v>
      </c>
      <c r="M415" s="18" t="n">
        <f aca="false">IF(H415=0,"",I415/H415)</f>
        <v>1</v>
      </c>
    </row>
    <row r="416" customFormat="false" ht="15" hidden="false" customHeight="false" outlineLevel="0" collapsed="false">
      <c r="A416" s="13" t="s">
        <v>75</v>
      </c>
      <c r="B416" s="13" t="s">
        <v>172</v>
      </c>
      <c r="C416" s="13" t="n">
        <v>351</v>
      </c>
      <c r="D416" s="13" t="n">
        <v>127</v>
      </c>
      <c r="E416" s="13" t="n">
        <v>212</v>
      </c>
      <c r="F416" s="13" t="n">
        <v>0</v>
      </c>
      <c r="G416" s="17" t="n">
        <v>0.2285584</v>
      </c>
      <c r="H416" s="13" t="n">
        <v>657</v>
      </c>
      <c r="I416" s="13" t="n">
        <v>424</v>
      </c>
      <c r="J416" s="13" t="n">
        <v>214</v>
      </c>
      <c r="K416" s="13" t="n">
        <v>0</v>
      </c>
      <c r="L416" s="17" t="n">
        <v>0.2421844</v>
      </c>
      <c r="M416" s="18" t="n">
        <f aca="false">IF(H416=0,"",I416/H416)</f>
        <v>0.645357686453577</v>
      </c>
    </row>
    <row r="417" customFormat="false" ht="15" hidden="false" customHeight="false" outlineLevel="0" collapsed="false">
      <c r="A417" s="13" t="s">
        <v>75</v>
      </c>
      <c r="B417" s="13" t="s">
        <v>173</v>
      </c>
      <c r="C417" s="13" t="n">
        <v>15</v>
      </c>
      <c r="D417" s="13" t="n">
        <v>11</v>
      </c>
      <c r="E417" s="13" t="n">
        <v>4</v>
      </c>
      <c r="F417" s="13" t="n">
        <v>0</v>
      </c>
      <c r="G417" s="17" t="n">
        <v>0.0214996</v>
      </c>
      <c r="H417" s="13" t="n">
        <v>15</v>
      </c>
      <c r="I417" s="13" t="n">
        <v>11</v>
      </c>
      <c r="J417" s="13" t="n">
        <v>4</v>
      </c>
      <c r="K417" s="13" t="n">
        <v>0</v>
      </c>
      <c r="L417" s="17" t="n">
        <v>0.0214996</v>
      </c>
      <c r="M417" s="18" t="n">
        <f aca="false">IF(H417=0,"",I417/H417)</f>
        <v>0.733333333333333</v>
      </c>
    </row>
    <row r="418" customFormat="false" ht="15" hidden="false" customHeight="false" outlineLevel="0" collapsed="false">
      <c r="A418" s="13" t="s">
        <v>75</v>
      </c>
      <c r="B418" s="13" t="s">
        <v>174</v>
      </c>
      <c r="C418" s="13" t="n">
        <v>0</v>
      </c>
      <c r="D418" s="13" t="n">
        <v>0</v>
      </c>
      <c r="E418" s="13" t="n">
        <v>0</v>
      </c>
      <c r="F418" s="13" t="n">
        <v>0</v>
      </c>
      <c r="G418" s="17" t="n">
        <v>0</v>
      </c>
      <c r="H418" s="13" t="n">
        <v>22</v>
      </c>
      <c r="I418" s="13" t="n">
        <v>20</v>
      </c>
      <c r="J418" s="13" t="n">
        <v>0</v>
      </c>
      <c r="K418" s="13" t="n">
        <v>0</v>
      </c>
      <c r="L418" s="17" t="n">
        <v>0.0067593</v>
      </c>
      <c r="M418" s="18" t="n">
        <f aca="false">IF(H418=0,"",I418/H418)</f>
        <v>0.909090909090909</v>
      </c>
    </row>
    <row r="419" customFormat="false" ht="15" hidden="false" customHeight="false" outlineLevel="0" collapsed="false">
      <c r="A419" s="13" t="s">
        <v>75</v>
      </c>
      <c r="B419" s="13" t="s">
        <v>175</v>
      </c>
      <c r="C419" s="13" t="n">
        <v>0</v>
      </c>
      <c r="D419" s="13" t="n">
        <v>0</v>
      </c>
      <c r="E419" s="13" t="n">
        <v>0</v>
      </c>
      <c r="F419" s="13" t="n">
        <v>0</v>
      </c>
      <c r="G419" s="17" t="n">
        <v>0</v>
      </c>
      <c r="H419" s="13" t="n">
        <v>21</v>
      </c>
      <c r="I419" s="13" t="n">
        <v>0</v>
      </c>
      <c r="J419" s="13" t="n">
        <v>0</v>
      </c>
      <c r="K419" s="13" t="n">
        <v>21</v>
      </c>
      <c r="L419" s="17" t="n">
        <v>0</v>
      </c>
      <c r="M419" s="18" t="n">
        <f aca="false">IF(H419=0,"",I419/H419)</f>
        <v>0</v>
      </c>
    </row>
    <row r="420" customFormat="false" ht="15" hidden="false" customHeight="false" outlineLevel="0" collapsed="false">
      <c r="A420" s="13" t="s">
        <v>75</v>
      </c>
      <c r="B420" s="13" t="s">
        <v>176</v>
      </c>
      <c r="C420" s="13" t="n">
        <v>129</v>
      </c>
      <c r="D420" s="13" t="n">
        <v>0</v>
      </c>
      <c r="E420" s="13" t="n">
        <v>0</v>
      </c>
      <c r="F420" s="13" t="n">
        <v>0</v>
      </c>
      <c r="G420" s="17" t="n">
        <v>0</v>
      </c>
      <c r="H420" s="13" t="n">
        <v>131</v>
      </c>
      <c r="I420" s="13" t="n">
        <v>0</v>
      </c>
      <c r="J420" s="13" t="n">
        <v>0</v>
      </c>
      <c r="K420" s="13" t="n">
        <v>0</v>
      </c>
      <c r="L420" s="17" t="n">
        <v>0</v>
      </c>
      <c r="M420" s="18" t="n">
        <f aca="false">IF(H420=0,"",I420/H420)</f>
        <v>0</v>
      </c>
    </row>
    <row r="421" customFormat="false" ht="15" hidden="false" customHeight="false" outlineLevel="0" collapsed="false">
      <c r="A421" s="13" t="s">
        <v>153</v>
      </c>
      <c r="B421" s="13" t="s">
        <v>169</v>
      </c>
      <c r="C421" s="13" t="n">
        <v>2</v>
      </c>
      <c r="D421" s="13" t="n">
        <v>0</v>
      </c>
      <c r="E421" s="13" t="n">
        <v>1</v>
      </c>
      <c r="F421" s="13" t="n">
        <v>4</v>
      </c>
      <c r="G421" s="17" t="n">
        <v>0</v>
      </c>
      <c r="H421" s="13" t="n">
        <v>3</v>
      </c>
      <c r="I421" s="13" t="n">
        <v>0</v>
      </c>
      <c r="J421" s="13" t="n">
        <v>1</v>
      </c>
      <c r="K421" s="13" t="n">
        <v>6</v>
      </c>
      <c r="L421" s="17" t="n">
        <v>0</v>
      </c>
      <c r="M421" s="18" t="n">
        <f aca="false">IF(H421=0,"",I421/H421)</f>
        <v>0</v>
      </c>
    </row>
    <row r="422" customFormat="false" ht="15" hidden="false" customHeight="false" outlineLevel="0" collapsed="false">
      <c r="A422" s="13" t="s">
        <v>153</v>
      </c>
      <c r="B422" s="13" t="s">
        <v>170</v>
      </c>
      <c r="C422" s="13" t="n">
        <v>1</v>
      </c>
      <c r="D422" s="13" t="n">
        <v>0</v>
      </c>
      <c r="E422" s="13" t="n">
        <v>0</v>
      </c>
      <c r="F422" s="13" t="n">
        <v>0</v>
      </c>
      <c r="G422" s="17" t="n">
        <v>0</v>
      </c>
      <c r="H422" s="13" t="n">
        <v>1</v>
      </c>
      <c r="I422" s="13" t="n">
        <v>0</v>
      </c>
      <c r="J422" s="13" t="n">
        <v>0</v>
      </c>
      <c r="K422" s="13" t="n">
        <v>0</v>
      </c>
      <c r="L422" s="17" t="n">
        <v>0</v>
      </c>
      <c r="M422" s="18" t="n">
        <f aca="false">IF(H422=0,"",I422/H422)</f>
        <v>0</v>
      </c>
    </row>
    <row r="423" customFormat="false" ht="15" hidden="false" customHeight="false" outlineLevel="0" collapsed="false">
      <c r="A423" s="13" t="s">
        <v>153</v>
      </c>
      <c r="B423" s="13" t="s">
        <v>172</v>
      </c>
      <c r="C423" s="13" t="n">
        <v>2</v>
      </c>
      <c r="D423" s="13" t="n">
        <v>0</v>
      </c>
      <c r="E423" s="13" t="n">
        <v>2</v>
      </c>
      <c r="F423" s="13" t="n">
        <v>0</v>
      </c>
      <c r="G423" s="17" t="n">
        <v>0.0018256</v>
      </c>
      <c r="H423" s="13" t="n">
        <v>6</v>
      </c>
      <c r="I423" s="13" t="n">
        <v>0</v>
      </c>
      <c r="J423" s="13" t="n">
        <v>6</v>
      </c>
      <c r="K423" s="13" t="n">
        <v>0</v>
      </c>
      <c r="L423" s="17" t="n">
        <v>0.005454</v>
      </c>
      <c r="M423" s="18" t="n">
        <f aca="false">IF(H423=0,"",I423/H423)</f>
        <v>0</v>
      </c>
    </row>
    <row r="424" customFormat="false" ht="15" hidden="false" customHeight="false" outlineLevel="0" collapsed="false">
      <c r="A424" s="13" t="s">
        <v>153</v>
      </c>
      <c r="B424" s="13" t="s">
        <v>174</v>
      </c>
      <c r="C424" s="13" t="n">
        <v>2</v>
      </c>
      <c r="D424" s="13" t="n">
        <v>2</v>
      </c>
      <c r="E424" s="13" t="n">
        <v>0</v>
      </c>
      <c r="F424" s="13" t="n">
        <v>0</v>
      </c>
      <c r="G424" s="17" t="n">
        <v>0.00057873</v>
      </c>
      <c r="H424" s="13" t="n">
        <v>2</v>
      </c>
      <c r="I424" s="13" t="n">
        <v>2</v>
      </c>
      <c r="J424" s="13" t="n">
        <v>0</v>
      </c>
      <c r="K424" s="13" t="n">
        <v>0</v>
      </c>
      <c r="L424" s="17" t="n">
        <v>0.00057873</v>
      </c>
      <c r="M424" s="18" t="n">
        <f aca="false">IF(H424=0,"",I424/H424)</f>
        <v>1</v>
      </c>
    </row>
    <row r="425" customFormat="false" ht="15" hidden="false" customHeight="false" outlineLevel="0" collapsed="false">
      <c r="A425" s="13" t="s">
        <v>153</v>
      </c>
      <c r="B425" s="13" t="s">
        <v>175</v>
      </c>
      <c r="C425" s="13" t="n">
        <v>4</v>
      </c>
      <c r="D425" s="13" t="n">
        <v>0</v>
      </c>
      <c r="E425" s="13" t="n">
        <v>0</v>
      </c>
      <c r="F425" s="13" t="n">
        <v>4</v>
      </c>
      <c r="G425" s="17" t="n">
        <v>0</v>
      </c>
      <c r="H425" s="13" t="n">
        <v>4</v>
      </c>
      <c r="I425" s="13" t="n">
        <v>0</v>
      </c>
      <c r="J425" s="13" t="n">
        <v>0</v>
      </c>
      <c r="K425" s="13" t="n">
        <v>4</v>
      </c>
      <c r="L425" s="17" t="n">
        <v>0</v>
      </c>
      <c r="M425" s="18" t="n">
        <f aca="false">IF(H425=0,"",I425/H425)</f>
        <v>0</v>
      </c>
    </row>
    <row r="426" customFormat="false" ht="15" hidden="false" customHeight="false" outlineLevel="0" collapsed="false">
      <c r="A426" s="13" t="s">
        <v>153</v>
      </c>
      <c r="B426" s="13" t="s">
        <v>176</v>
      </c>
      <c r="C426" s="13" t="n">
        <v>2</v>
      </c>
      <c r="D426" s="13" t="n">
        <v>0</v>
      </c>
      <c r="E426" s="13" t="n">
        <v>0</v>
      </c>
      <c r="F426" s="13" t="n">
        <v>0</v>
      </c>
      <c r="G426" s="17" t="n">
        <v>0</v>
      </c>
      <c r="H426" s="13" t="n">
        <v>5</v>
      </c>
      <c r="I426" s="13" t="n">
        <v>0</v>
      </c>
      <c r="J426" s="13" t="n">
        <v>0</v>
      </c>
      <c r="K426" s="13" t="n">
        <v>0</v>
      </c>
      <c r="L426" s="17" t="n">
        <v>0</v>
      </c>
      <c r="M426" s="18" t="n">
        <f aca="false">IF(H426=0,"",I426/H426)</f>
        <v>0</v>
      </c>
    </row>
    <row r="427" customFormat="false" ht="15" hidden="false" customHeight="false" outlineLevel="0" collapsed="false">
      <c r="A427" s="13" t="s">
        <v>386</v>
      </c>
      <c r="B427" s="13" t="s">
        <v>176</v>
      </c>
      <c r="C427" s="13" t="n">
        <v>0</v>
      </c>
      <c r="D427" s="13" t="n">
        <v>0</v>
      </c>
      <c r="E427" s="13" t="n">
        <v>0</v>
      </c>
      <c r="F427" s="13" t="n">
        <v>0</v>
      </c>
      <c r="G427" s="17" t="n">
        <v>0</v>
      </c>
      <c r="H427" s="13" t="n">
        <v>1</v>
      </c>
      <c r="I427" s="13" t="n">
        <v>0</v>
      </c>
      <c r="J427" s="13" t="n">
        <v>0</v>
      </c>
      <c r="K427" s="13" t="n">
        <v>0</v>
      </c>
      <c r="L427" s="17" t="n">
        <v>0</v>
      </c>
      <c r="M427" s="18" t="n">
        <f aca="false">IF(H427=0,"",I427/H427)</f>
        <v>0</v>
      </c>
    </row>
    <row r="428" customFormat="false" ht="15" hidden="false" customHeight="false" outlineLevel="0" collapsed="false">
      <c r="A428" s="13" t="s">
        <v>387</v>
      </c>
      <c r="B428" s="13" t="s">
        <v>176</v>
      </c>
      <c r="C428" s="13" t="n">
        <v>0</v>
      </c>
      <c r="D428" s="13" t="n">
        <v>0</v>
      </c>
      <c r="E428" s="13" t="n">
        <v>0</v>
      </c>
      <c r="F428" s="13" t="n">
        <v>0</v>
      </c>
      <c r="G428" s="17" t="n">
        <v>0</v>
      </c>
      <c r="H428" s="13" t="n">
        <v>1</v>
      </c>
      <c r="I428" s="13" t="n">
        <v>0</v>
      </c>
      <c r="J428" s="13" t="n">
        <v>0</v>
      </c>
      <c r="K428" s="13" t="n">
        <v>0</v>
      </c>
      <c r="L428" s="17" t="n">
        <v>0</v>
      </c>
      <c r="M428" s="18" t="n">
        <f aca="false">IF(H428=0,"",I428/H428)</f>
        <v>0</v>
      </c>
    </row>
    <row r="429" customFormat="false" ht="15" hidden="false" customHeight="false" outlineLevel="0" collapsed="false">
      <c r="A429" s="13" t="s">
        <v>388</v>
      </c>
      <c r="B429" s="13" t="s">
        <v>176</v>
      </c>
      <c r="C429" s="13" t="n">
        <v>0</v>
      </c>
      <c r="D429" s="13" t="n">
        <v>0</v>
      </c>
      <c r="E429" s="13" t="n">
        <v>0</v>
      </c>
      <c r="F429" s="13" t="n">
        <v>0</v>
      </c>
      <c r="G429" s="17" t="n">
        <v>0</v>
      </c>
      <c r="H429" s="13" t="n">
        <v>1</v>
      </c>
      <c r="I429" s="13" t="n">
        <v>0</v>
      </c>
      <c r="J429" s="13" t="n">
        <v>0</v>
      </c>
      <c r="K429" s="13" t="n">
        <v>0</v>
      </c>
      <c r="L429" s="17" t="n">
        <v>0</v>
      </c>
      <c r="M429" s="18" t="n">
        <f aca="false">IF(H429=0,"",I429/H429)</f>
        <v>0</v>
      </c>
    </row>
    <row r="430" customFormat="false" ht="15" hidden="false" customHeight="false" outlineLevel="0" collapsed="false">
      <c r="A430" s="13" t="s">
        <v>389</v>
      </c>
      <c r="B430" s="13" t="s">
        <v>176</v>
      </c>
      <c r="C430" s="13" t="n">
        <v>0</v>
      </c>
      <c r="D430" s="13" t="n">
        <v>0</v>
      </c>
      <c r="E430" s="13" t="n">
        <v>0</v>
      </c>
      <c r="F430" s="13" t="n">
        <v>0</v>
      </c>
      <c r="G430" s="17" t="n">
        <v>0</v>
      </c>
      <c r="H430" s="13" t="n">
        <v>1</v>
      </c>
      <c r="I430" s="13" t="n">
        <v>0</v>
      </c>
      <c r="J430" s="13" t="n">
        <v>0</v>
      </c>
      <c r="K430" s="13" t="n">
        <v>0</v>
      </c>
      <c r="L430" s="17" t="n">
        <v>0</v>
      </c>
      <c r="M430" s="18" t="n">
        <f aca="false">IF(H430=0,"",I430/H430)</f>
        <v>0</v>
      </c>
    </row>
    <row r="431" customFormat="false" ht="15" hidden="false" customHeight="false" outlineLevel="0" collapsed="false">
      <c r="A431" s="13" t="s">
        <v>390</v>
      </c>
      <c r="B431" s="13" t="s">
        <v>176</v>
      </c>
      <c r="C431" s="13" t="n">
        <v>0</v>
      </c>
      <c r="D431" s="13" t="n">
        <v>0</v>
      </c>
      <c r="E431" s="13" t="n">
        <v>0</v>
      </c>
      <c r="F431" s="13" t="n">
        <v>0</v>
      </c>
      <c r="G431" s="17" t="n">
        <v>0</v>
      </c>
      <c r="H431" s="13" t="n">
        <v>1</v>
      </c>
      <c r="I431" s="13" t="n">
        <v>0</v>
      </c>
      <c r="J431" s="13" t="n">
        <v>0</v>
      </c>
      <c r="K431" s="13" t="n">
        <v>0</v>
      </c>
      <c r="L431" s="17" t="n">
        <v>0</v>
      </c>
      <c r="M431" s="18" t="n">
        <f aca="false">IF(H431=0,"",I431/H431)</f>
        <v>0</v>
      </c>
    </row>
    <row r="432" customFormat="false" ht="15" hidden="false" customHeight="false" outlineLevel="0" collapsed="false">
      <c r="A432" s="13" t="s">
        <v>391</v>
      </c>
      <c r="B432" s="13" t="s">
        <v>176</v>
      </c>
      <c r="C432" s="13" t="n">
        <v>0</v>
      </c>
      <c r="D432" s="13" t="n">
        <v>0</v>
      </c>
      <c r="E432" s="13" t="n">
        <v>0</v>
      </c>
      <c r="F432" s="13" t="n">
        <v>0</v>
      </c>
      <c r="G432" s="17" t="n">
        <v>0</v>
      </c>
      <c r="H432" s="13" t="n">
        <v>1</v>
      </c>
      <c r="I432" s="13" t="n">
        <v>0</v>
      </c>
      <c r="J432" s="13" t="n">
        <v>0</v>
      </c>
      <c r="K432" s="13" t="n">
        <v>0</v>
      </c>
      <c r="L432" s="17" t="n">
        <v>0</v>
      </c>
      <c r="M432" s="18" t="n">
        <f aca="false">IF(H432=0,"",I432/H432)</f>
        <v>0</v>
      </c>
    </row>
    <row r="433" customFormat="false" ht="15" hidden="false" customHeight="false" outlineLevel="0" collapsed="false">
      <c r="A433" s="13" t="s">
        <v>392</v>
      </c>
      <c r="B433" s="13" t="s">
        <v>176</v>
      </c>
      <c r="C433" s="13" t="n">
        <v>0</v>
      </c>
      <c r="D433" s="13" t="n">
        <v>0</v>
      </c>
      <c r="E433" s="13" t="n">
        <v>0</v>
      </c>
      <c r="F433" s="13" t="n">
        <v>0</v>
      </c>
      <c r="G433" s="17" t="n">
        <v>0</v>
      </c>
      <c r="H433" s="13" t="n">
        <v>1</v>
      </c>
      <c r="I433" s="13" t="n">
        <v>0</v>
      </c>
      <c r="J433" s="13" t="n">
        <v>0</v>
      </c>
      <c r="K433" s="13" t="n">
        <v>0</v>
      </c>
      <c r="L433" s="17" t="n">
        <v>0</v>
      </c>
      <c r="M433" s="18" t="n">
        <f aca="false">IF(H433=0,"",I433/H433)</f>
        <v>0</v>
      </c>
    </row>
    <row r="434" customFormat="false" ht="15" hidden="false" customHeight="false" outlineLevel="0" collapsed="false">
      <c r="A434" s="13" t="s">
        <v>393</v>
      </c>
      <c r="B434" s="13" t="s">
        <v>176</v>
      </c>
      <c r="C434" s="13" t="n">
        <v>0</v>
      </c>
      <c r="D434" s="13" t="n">
        <v>0</v>
      </c>
      <c r="E434" s="13" t="n">
        <v>0</v>
      </c>
      <c r="F434" s="13" t="n">
        <v>0</v>
      </c>
      <c r="G434" s="17" t="n">
        <v>0</v>
      </c>
      <c r="H434" s="13" t="n">
        <v>1</v>
      </c>
      <c r="I434" s="13" t="n">
        <v>0</v>
      </c>
      <c r="J434" s="13" t="n">
        <v>0</v>
      </c>
      <c r="K434" s="13" t="n">
        <v>0</v>
      </c>
      <c r="L434" s="17" t="n">
        <v>0</v>
      </c>
      <c r="M434" s="18" t="n">
        <f aca="false">IF(H434=0,"",I434/H434)</f>
        <v>0</v>
      </c>
    </row>
    <row r="435" customFormat="false" ht="15" hidden="false" customHeight="false" outlineLevel="0" collapsed="false">
      <c r="A435" s="13" t="s">
        <v>394</v>
      </c>
      <c r="B435" s="13" t="s">
        <v>176</v>
      </c>
      <c r="C435" s="13" t="n">
        <v>0</v>
      </c>
      <c r="D435" s="13" t="n">
        <v>0</v>
      </c>
      <c r="E435" s="13" t="n">
        <v>0</v>
      </c>
      <c r="F435" s="13" t="n">
        <v>0</v>
      </c>
      <c r="G435" s="17" t="n">
        <v>0</v>
      </c>
      <c r="H435" s="13" t="n">
        <v>1</v>
      </c>
      <c r="I435" s="13" t="n">
        <v>0</v>
      </c>
      <c r="J435" s="13" t="n">
        <v>0</v>
      </c>
      <c r="K435" s="13" t="n">
        <v>0</v>
      </c>
      <c r="L435" s="17" t="n">
        <v>0</v>
      </c>
      <c r="M435" s="18" t="n">
        <f aca="false">IF(H435=0,"",I435/H435)</f>
        <v>0</v>
      </c>
    </row>
    <row r="436" customFormat="false" ht="15" hidden="false" customHeight="false" outlineLevel="0" collapsed="false">
      <c r="A436" s="13" t="s">
        <v>395</v>
      </c>
      <c r="B436" s="13" t="s">
        <v>176</v>
      </c>
      <c r="C436" s="13" t="n">
        <v>0</v>
      </c>
      <c r="D436" s="13" t="n">
        <v>0</v>
      </c>
      <c r="E436" s="13" t="n">
        <v>0</v>
      </c>
      <c r="F436" s="13" t="n">
        <v>0</v>
      </c>
      <c r="G436" s="17" t="n">
        <v>0</v>
      </c>
      <c r="H436" s="13" t="n">
        <v>1</v>
      </c>
      <c r="I436" s="13" t="n">
        <v>0</v>
      </c>
      <c r="J436" s="13" t="n">
        <v>0</v>
      </c>
      <c r="K436" s="13" t="n">
        <v>0</v>
      </c>
      <c r="L436" s="17" t="n">
        <v>0</v>
      </c>
      <c r="M436" s="18" t="n">
        <f aca="false">IF(H436=0,"",I436/H436)</f>
        <v>0</v>
      </c>
    </row>
    <row r="437" customFormat="false" ht="15" hidden="false" customHeight="false" outlineLevel="0" collapsed="false">
      <c r="A437" s="13" t="s">
        <v>396</v>
      </c>
      <c r="B437" s="13" t="s">
        <v>176</v>
      </c>
      <c r="C437" s="13" t="n">
        <v>0</v>
      </c>
      <c r="D437" s="13" t="n">
        <v>0</v>
      </c>
      <c r="E437" s="13" t="n">
        <v>0</v>
      </c>
      <c r="F437" s="13" t="n">
        <v>0</v>
      </c>
      <c r="G437" s="17" t="n">
        <v>0</v>
      </c>
      <c r="H437" s="13" t="n">
        <v>1</v>
      </c>
      <c r="I437" s="13" t="n">
        <v>0</v>
      </c>
      <c r="J437" s="13" t="n">
        <v>0</v>
      </c>
      <c r="K437" s="13" t="n">
        <v>0</v>
      </c>
      <c r="L437" s="17" t="n">
        <v>0</v>
      </c>
      <c r="M437" s="18" t="n">
        <f aca="false">IF(H437=0,"",I437/H437)</f>
        <v>0</v>
      </c>
    </row>
    <row r="438" customFormat="false" ht="15" hidden="false" customHeight="false" outlineLevel="0" collapsed="false">
      <c r="A438" s="13" t="s">
        <v>397</v>
      </c>
      <c r="B438" s="13" t="s">
        <v>176</v>
      </c>
      <c r="C438" s="13" t="n">
        <v>0</v>
      </c>
      <c r="D438" s="13" t="n">
        <v>0</v>
      </c>
      <c r="E438" s="13" t="n">
        <v>0</v>
      </c>
      <c r="F438" s="13" t="n">
        <v>0</v>
      </c>
      <c r="G438" s="17" t="n">
        <v>0</v>
      </c>
      <c r="H438" s="13" t="n">
        <v>1</v>
      </c>
      <c r="I438" s="13" t="n">
        <v>0</v>
      </c>
      <c r="J438" s="13" t="n">
        <v>0</v>
      </c>
      <c r="K438" s="13" t="n">
        <v>0</v>
      </c>
      <c r="L438" s="17" t="n">
        <v>0</v>
      </c>
      <c r="M438" s="18" t="n">
        <f aca="false">IF(H438=0,"",I438/H438)</f>
        <v>0</v>
      </c>
    </row>
    <row r="439" customFormat="false" ht="15" hidden="false" customHeight="false" outlineLevel="0" collapsed="false">
      <c r="A439" s="13" t="s">
        <v>398</v>
      </c>
      <c r="B439" s="13" t="s">
        <v>176</v>
      </c>
      <c r="C439" s="13" t="n">
        <v>0</v>
      </c>
      <c r="D439" s="13" t="n">
        <v>0</v>
      </c>
      <c r="E439" s="13" t="n">
        <v>0</v>
      </c>
      <c r="F439" s="13" t="n">
        <v>0</v>
      </c>
      <c r="G439" s="17" t="n">
        <v>0</v>
      </c>
      <c r="H439" s="13" t="n">
        <v>1</v>
      </c>
      <c r="I439" s="13" t="n">
        <v>0</v>
      </c>
      <c r="J439" s="13" t="n">
        <v>0</v>
      </c>
      <c r="K439" s="13" t="n">
        <v>0</v>
      </c>
      <c r="L439" s="17" t="n">
        <v>0</v>
      </c>
      <c r="M439" s="18" t="n">
        <f aca="false">IF(H439=0,"",I439/H439)</f>
        <v>0</v>
      </c>
    </row>
    <row r="440" customFormat="false" ht="15" hidden="false" customHeight="false" outlineLevel="0" collapsed="false">
      <c r="A440" s="13" t="s">
        <v>399</v>
      </c>
      <c r="B440" s="13" t="s">
        <v>176</v>
      </c>
      <c r="C440" s="13" t="n">
        <v>0</v>
      </c>
      <c r="D440" s="13" t="n">
        <v>0</v>
      </c>
      <c r="E440" s="13" t="n">
        <v>0</v>
      </c>
      <c r="F440" s="13" t="n">
        <v>0</v>
      </c>
      <c r="G440" s="17" t="n">
        <v>0</v>
      </c>
      <c r="H440" s="13" t="n">
        <v>1</v>
      </c>
      <c r="I440" s="13" t="n">
        <v>0</v>
      </c>
      <c r="J440" s="13" t="n">
        <v>0</v>
      </c>
      <c r="K440" s="13" t="n">
        <v>0</v>
      </c>
      <c r="L440" s="17" t="n">
        <v>0</v>
      </c>
      <c r="M440" s="18" t="n">
        <f aca="false">IF(H440=0,"",I440/H440)</f>
        <v>0</v>
      </c>
    </row>
    <row r="441" customFormat="false" ht="15" hidden="false" customHeight="false" outlineLevel="0" collapsed="false">
      <c r="A441" s="13" t="s">
        <v>400</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401</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402</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403</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404</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405</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406</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407</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408</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409</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410</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411</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412</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413</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111</v>
      </c>
      <c r="B455" s="13" t="s">
        <v>169</v>
      </c>
      <c r="C455" s="13" t="n">
        <v>0</v>
      </c>
      <c r="D455" s="13" t="n">
        <v>0</v>
      </c>
      <c r="E455" s="13" t="n">
        <v>5</v>
      </c>
      <c r="F455" s="13" t="n">
        <v>0</v>
      </c>
      <c r="G455" s="17" t="n">
        <v>0</v>
      </c>
      <c r="H455" s="13" t="n">
        <v>14</v>
      </c>
      <c r="I455" s="13" t="n">
        <v>0</v>
      </c>
      <c r="J455" s="13" t="n">
        <v>5</v>
      </c>
      <c r="K455" s="13" t="n">
        <v>28</v>
      </c>
      <c r="L455" s="17" t="n">
        <v>0</v>
      </c>
      <c r="M455" s="18" t="n">
        <f aca="false">IF(H455=0,"",I455/H455)</f>
        <v>0</v>
      </c>
    </row>
    <row r="456" customFormat="false" ht="15" hidden="false" customHeight="false" outlineLevel="0" collapsed="false">
      <c r="A456" s="13" t="s">
        <v>111</v>
      </c>
      <c r="B456" s="13" t="s">
        <v>170</v>
      </c>
      <c r="C456" s="13" t="n">
        <v>16</v>
      </c>
      <c r="D456" s="13" t="n">
        <v>16</v>
      </c>
      <c r="E456" s="13" t="n">
        <v>0</v>
      </c>
      <c r="F456" s="13" t="n">
        <v>13</v>
      </c>
      <c r="G456" s="17" t="n">
        <v>0</v>
      </c>
      <c r="H456" s="13" t="n">
        <v>16</v>
      </c>
      <c r="I456" s="13" t="n">
        <v>16</v>
      </c>
      <c r="J456" s="13" t="n">
        <v>0</v>
      </c>
      <c r="K456" s="13" t="n">
        <v>13</v>
      </c>
      <c r="L456" s="17" t="n">
        <v>0</v>
      </c>
      <c r="M456" s="18" t="n">
        <f aca="false">IF(H456=0,"",I456/H456)</f>
        <v>1</v>
      </c>
    </row>
    <row r="457" customFormat="false" ht="15" hidden="false" customHeight="false" outlineLevel="0" collapsed="false">
      <c r="A457" s="13" t="s">
        <v>111</v>
      </c>
      <c r="B457" s="13" t="s">
        <v>172</v>
      </c>
      <c r="C457" s="13" t="n">
        <v>116</v>
      </c>
      <c r="D457" s="13" t="n">
        <v>16</v>
      </c>
      <c r="E457" s="13" t="n">
        <v>99</v>
      </c>
      <c r="F457" s="13" t="n">
        <v>0</v>
      </c>
      <c r="G457" s="17" t="n">
        <v>0.0645685333333333</v>
      </c>
      <c r="H457" s="13" t="n">
        <v>120</v>
      </c>
      <c r="I457" s="13" t="n">
        <v>17</v>
      </c>
      <c r="J457" s="13" t="n">
        <v>101</v>
      </c>
      <c r="K457" s="13" t="n">
        <v>0</v>
      </c>
      <c r="L457" s="17" t="n">
        <v>0.0688853333333333</v>
      </c>
      <c r="M457" s="18" t="n">
        <f aca="false">IF(H457=0,"",I457/H457)</f>
        <v>0.141666666666667</v>
      </c>
    </row>
    <row r="458" customFormat="false" ht="15" hidden="false" customHeight="false" outlineLevel="0" collapsed="false">
      <c r="A458" s="13" t="s">
        <v>111</v>
      </c>
      <c r="B458" s="13" t="s">
        <v>173</v>
      </c>
      <c r="C458" s="13" t="n">
        <v>15</v>
      </c>
      <c r="D458" s="13" t="n">
        <v>8</v>
      </c>
      <c r="E458" s="13" t="n">
        <v>7</v>
      </c>
      <c r="F458" s="13" t="n">
        <v>0</v>
      </c>
      <c r="G458" s="17" t="n">
        <v>0.0804436</v>
      </c>
      <c r="H458" s="13" t="n">
        <v>15</v>
      </c>
      <c r="I458" s="13" t="n">
        <v>8</v>
      </c>
      <c r="J458" s="13" t="n">
        <v>7</v>
      </c>
      <c r="K458" s="13" t="n">
        <v>0</v>
      </c>
      <c r="L458" s="17" t="n">
        <v>0.0804436</v>
      </c>
      <c r="M458" s="18" t="n">
        <f aca="false">IF(H458=0,"",I458/H458)</f>
        <v>0.533333333333333</v>
      </c>
    </row>
    <row r="459" customFormat="false" ht="15" hidden="false" customHeight="false" outlineLevel="0" collapsed="false">
      <c r="A459" s="13" t="s">
        <v>111</v>
      </c>
      <c r="B459" s="13" t="s">
        <v>175</v>
      </c>
      <c r="C459" s="13" t="n">
        <v>3</v>
      </c>
      <c r="D459" s="13" t="n">
        <v>0</v>
      </c>
      <c r="E459" s="13" t="n">
        <v>0</v>
      </c>
      <c r="F459" s="13" t="n">
        <v>3</v>
      </c>
      <c r="G459" s="17" t="n">
        <v>0</v>
      </c>
      <c r="H459" s="13" t="n">
        <v>3</v>
      </c>
      <c r="I459" s="13" t="n">
        <v>0</v>
      </c>
      <c r="J459" s="13" t="n">
        <v>0</v>
      </c>
      <c r="K459" s="13" t="n">
        <v>3</v>
      </c>
      <c r="L459" s="17" t="n">
        <v>0</v>
      </c>
      <c r="M459" s="18" t="n">
        <f aca="false">IF(H459=0,"",I459/H459)</f>
        <v>0</v>
      </c>
    </row>
    <row r="460" customFormat="false" ht="15" hidden="false" customHeight="false" outlineLevel="0" collapsed="false">
      <c r="A460" s="13" t="s">
        <v>111</v>
      </c>
      <c r="B460" s="13" t="s">
        <v>176</v>
      </c>
      <c r="C460" s="13" t="n">
        <v>69</v>
      </c>
      <c r="D460" s="13" t="n">
        <v>0</v>
      </c>
      <c r="E460" s="13" t="n">
        <v>0</v>
      </c>
      <c r="F460" s="13" t="n">
        <v>0</v>
      </c>
      <c r="G460" s="17" t="n">
        <v>0</v>
      </c>
      <c r="H460" s="13" t="n">
        <v>70</v>
      </c>
      <c r="I460" s="13" t="n">
        <v>0</v>
      </c>
      <c r="J460" s="13" t="n">
        <v>0</v>
      </c>
      <c r="K460" s="13" t="n">
        <v>0</v>
      </c>
      <c r="L460" s="17" t="n">
        <v>0</v>
      </c>
      <c r="M460" s="18" t="n">
        <f aca="false">IF(H460=0,"",I460/H460)</f>
        <v>0</v>
      </c>
    </row>
    <row r="461" customFormat="false" ht="15" hidden="false" customHeight="false" outlineLevel="0" collapsed="false">
      <c r="A461" s="13" t="s">
        <v>414</v>
      </c>
      <c r="B461" s="13" t="s">
        <v>176</v>
      </c>
      <c r="C461" s="13" t="n">
        <v>0</v>
      </c>
      <c r="D461" s="13" t="n">
        <v>0</v>
      </c>
      <c r="E461" s="13" t="n">
        <v>0</v>
      </c>
      <c r="F461" s="13" t="n">
        <v>0</v>
      </c>
      <c r="G461" s="17" t="n">
        <v>0</v>
      </c>
      <c r="H461" s="13" t="n">
        <v>1</v>
      </c>
      <c r="I461" s="13" t="n">
        <v>0</v>
      </c>
      <c r="J461" s="13" t="n">
        <v>0</v>
      </c>
      <c r="K461" s="13" t="n">
        <v>0</v>
      </c>
      <c r="L461" s="17" t="n">
        <v>0</v>
      </c>
      <c r="M461" s="18" t="n">
        <f aca="false">IF(H461=0,"",I461/H461)</f>
        <v>0</v>
      </c>
    </row>
    <row r="462" customFormat="false" ht="15" hidden="false" customHeight="false" outlineLevel="0" collapsed="false">
      <c r="A462" s="13" t="s">
        <v>415</v>
      </c>
      <c r="B462" s="13" t="s">
        <v>176</v>
      </c>
      <c r="C462" s="13" t="n">
        <v>0</v>
      </c>
      <c r="D462" s="13" t="n">
        <v>0</v>
      </c>
      <c r="E462" s="13" t="n">
        <v>0</v>
      </c>
      <c r="F462" s="13" t="n">
        <v>0</v>
      </c>
      <c r="G462" s="17" t="n">
        <v>0</v>
      </c>
      <c r="H462" s="13" t="n">
        <v>1</v>
      </c>
      <c r="I462" s="13" t="n">
        <v>0</v>
      </c>
      <c r="J462" s="13" t="n">
        <v>0</v>
      </c>
      <c r="K462" s="13" t="n">
        <v>0</v>
      </c>
      <c r="L462" s="17" t="n">
        <v>0</v>
      </c>
      <c r="M462" s="18" t="n">
        <f aca="false">IF(H462=0,"",I462/H462)</f>
        <v>0</v>
      </c>
    </row>
    <row r="463" customFormat="false" ht="15" hidden="false" customHeight="false" outlineLevel="0" collapsed="false">
      <c r="A463" s="13" t="s">
        <v>416</v>
      </c>
      <c r="B463" s="13" t="s">
        <v>176</v>
      </c>
      <c r="C463" s="13" t="n">
        <v>0</v>
      </c>
      <c r="D463" s="13" t="n">
        <v>0</v>
      </c>
      <c r="E463" s="13" t="n">
        <v>0</v>
      </c>
      <c r="F463" s="13" t="n">
        <v>0</v>
      </c>
      <c r="G463" s="17" t="n">
        <v>0</v>
      </c>
      <c r="H463" s="13" t="n">
        <v>1</v>
      </c>
      <c r="I463" s="13" t="n">
        <v>0</v>
      </c>
      <c r="J463" s="13" t="n">
        <v>0</v>
      </c>
      <c r="K463" s="13" t="n">
        <v>0</v>
      </c>
      <c r="L463" s="17" t="n">
        <v>0</v>
      </c>
      <c r="M463" s="18" t="n">
        <f aca="false">IF(H463=0,"",I463/H463)</f>
        <v>0</v>
      </c>
    </row>
    <row r="464" customFormat="false" ht="15" hidden="false" customHeight="false" outlineLevel="0" collapsed="false">
      <c r="A464" s="13" t="s">
        <v>417</v>
      </c>
      <c r="B464" s="13" t="s">
        <v>176</v>
      </c>
      <c r="C464" s="13" t="n">
        <v>0</v>
      </c>
      <c r="D464" s="13" t="n">
        <v>0</v>
      </c>
      <c r="E464" s="13" t="n">
        <v>0</v>
      </c>
      <c r="F464" s="13" t="n">
        <v>0</v>
      </c>
      <c r="G464" s="17" t="n">
        <v>0</v>
      </c>
      <c r="H464" s="13" t="n">
        <v>1</v>
      </c>
      <c r="I464" s="13" t="n">
        <v>0</v>
      </c>
      <c r="J464" s="13" t="n">
        <v>0</v>
      </c>
      <c r="K464" s="13" t="n">
        <v>0</v>
      </c>
      <c r="L464" s="17" t="n">
        <v>0</v>
      </c>
      <c r="M464" s="18" t="n">
        <f aca="false">IF(H464=0,"",I464/H464)</f>
        <v>0</v>
      </c>
    </row>
    <row r="465" customFormat="false" ht="15" hidden="false" customHeight="false" outlineLevel="0" collapsed="false">
      <c r="A465" s="13" t="s">
        <v>127</v>
      </c>
      <c r="B465" s="13" t="s">
        <v>170</v>
      </c>
      <c r="C465" s="13" t="n">
        <v>9</v>
      </c>
      <c r="D465" s="13" t="n">
        <v>9</v>
      </c>
      <c r="E465" s="13" t="n">
        <v>0</v>
      </c>
      <c r="F465" s="13" t="n">
        <v>0</v>
      </c>
      <c r="G465" s="17" t="n">
        <v>0</v>
      </c>
      <c r="H465" s="13" t="n">
        <v>9</v>
      </c>
      <c r="I465" s="13" t="n">
        <v>9</v>
      </c>
      <c r="J465" s="13" t="n">
        <v>0</v>
      </c>
      <c r="K465" s="13" t="n">
        <v>0</v>
      </c>
      <c r="L465" s="17" t="n">
        <v>0</v>
      </c>
      <c r="M465" s="18" t="n">
        <f aca="false">IF(H465=0,"",I465/H465)</f>
        <v>1</v>
      </c>
    </row>
    <row r="466" customFormat="false" ht="15" hidden="false" customHeight="false" outlineLevel="0" collapsed="false">
      <c r="A466" s="13" t="s">
        <v>127</v>
      </c>
      <c r="B466" s="13" t="s">
        <v>172</v>
      </c>
      <c r="C466" s="13" t="n">
        <v>58</v>
      </c>
      <c r="D466" s="13" t="n">
        <v>14</v>
      </c>
      <c r="E466" s="13" t="n">
        <v>42</v>
      </c>
      <c r="F466" s="13" t="n">
        <v>0</v>
      </c>
      <c r="G466" s="17" t="n">
        <v>0.0475676</v>
      </c>
      <c r="H466" s="13" t="n">
        <v>120</v>
      </c>
      <c r="I466" s="13" t="n">
        <v>70</v>
      </c>
      <c r="J466" s="13" t="n">
        <v>44</v>
      </c>
      <c r="K466" s="13" t="n">
        <v>0</v>
      </c>
      <c r="L466" s="17" t="n">
        <v>0.0741692</v>
      </c>
      <c r="M466" s="18" t="n">
        <f aca="false">IF(H466=0,"",I466/H466)</f>
        <v>0.583333333333333</v>
      </c>
    </row>
    <row r="467" customFormat="false" ht="15" hidden="false" customHeight="false" outlineLevel="0" collapsed="false">
      <c r="A467" s="13" t="s">
        <v>127</v>
      </c>
      <c r="B467" s="13" t="s">
        <v>173</v>
      </c>
      <c r="C467" s="13" t="n">
        <v>15</v>
      </c>
      <c r="D467" s="13" t="n">
        <v>14</v>
      </c>
      <c r="E467" s="13" t="n">
        <v>1</v>
      </c>
      <c r="F467" s="13" t="n">
        <v>0</v>
      </c>
      <c r="G467" s="17" t="n">
        <v>0.0560804</v>
      </c>
      <c r="H467" s="13" t="n">
        <v>15</v>
      </c>
      <c r="I467" s="13" t="n">
        <v>14</v>
      </c>
      <c r="J467" s="13" t="n">
        <v>1</v>
      </c>
      <c r="K467" s="13" t="n">
        <v>0</v>
      </c>
      <c r="L467" s="17" t="n">
        <v>0.0560804</v>
      </c>
      <c r="M467" s="18" t="n">
        <f aca="false">IF(H467=0,"",I467/H467)</f>
        <v>0.933333333333333</v>
      </c>
    </row>
    <row r="468" customFormat="false" ht="15" hidden="false" customHeight="false" outlineLevel="0" collapsed="false">
      <c r="A468" s="13" t="s">
        <v>127</v>
      </c>
      <c r="B468" s="13" t="s">
        <v>174</v>
      </c>
      <c r="C468" s="13" t="n">
        <v>77</v>
      </c>
      <c r="D468" s="13" t="n">
        <v>59</v>
      </c>
      <c r="E468" s="13" t="n">
        <v>2</v>
      </c>
      <c r="F468" s="13" t="n">
        <v>0</v>
      </c>
      <c r="G468" s="17" t="n">
        <v>0.02166475</v>
      </c>
      <c r="H468" s="13" t="n">
        <v>77</v>
      </c>
      <c r="I468" s="13" t="n">
        <v>59</v>
      </c>
      <c r="J468" s="13" t="n">
        <v>2</v>
      </c>
      <c r="K468" s="13" t="n">
        <v>0</v>
      </c>
      <c r="L468" s="17" t="n">
        <v>0.02166475</v>
      </c>
      <c r="M468" s="18" t="n">
        <f aca="false">IF(H468=0,"",I468/H468)</f>
        <v>0.766233766233766</v>
      </c>
    </row>
    <row r="469" customFormat="false" ht="15" hidden="false" customHeight="false" outlineLevel="0" collapsed="false">
      <c r="A469" s="13" t="s">
        <v>127</v>
      </c>
      <c r="B469" s="13" t="s">
        <v>175</v>
      </c>
      <c r="C469" s="13" t="n">
        <v>61</v>
      </c>
      <c r="D469" s="13" t="n">
        <v>0</v>
      </c>
      <c r="E469" s="13" t="n">
        <v>0</v>
      </c>
      <c r="F469" s="13" t="n">
        <v>61</v>
      </c>
      <c r="G469" s="17" t="n">
        <v>0</v>
      </c>
      <c r="H469" s="13" t="n">
        <v>61</v>
      </c>
      <c r="I469" s="13" t="n">
        <v>0</v>
      </c>
      <c r="J469" s="13" t="n">
        <v>0</v>
      </c>
      <c r="K469" s="13" t="n">
        <v>61</v>
      </c>
      <c r="L469" s="17" t="n">
        <v>0</v>
      </c>
      <c r="M469" s="18" t="n">
        <f aca="false">IF(H469=0,"",I469/H469)</f>
        <v>0</v>
      </c>
    </row>
    <row r="470" customFormat="false" ht="15" hidden="false" customHeight="false" outlineLevel="0" collapsed="false">
      <c r="A470" s="13" t="s">
        <v>127</v>
      </c>
      <c r="B470" s="13" t="s">
        <v>176</v>
      </c>
      <c r="C470" s="13" t="n">
        <v>28</v>
      </c>
      <c r="D470" s="13" t="n">
        <v>0</v>
      </c>
      <c r="E470" s="13" t="n">
        <v>0</v>
      </c>
      <c r="F470" s="13" t="n">
        <v>0</v>
      </c>
      <c r="G470" s="17" t="n">
        <v>0</v>
      </c>
      <c r="H470" s="13" t="n">
        <v>30</v>
      </c>
      <c r="I470" s="13" t="n">
        <v>0</v>
      </c>
      <c r="J470" s="13" t="n">
        <v>0</v>
      </c>
      <c r="K470" s="13" t="n">
        <v>0</v>
      </c>
      <c r="L470" s="17" t="n">
        <v>0</v>
      </c>
      <c r="M470" s="18" t="n">
        <f aca="false">IF(H470=0,"",I470/H470)</f>
        <v>0</v>
      </c>
    </row>
    <row r="471" customFormat="false" ht="15" hidden="false" customHeight="false" outlineLevel="0" collapsed="false">
      <c r="A471" s="13" t="s">
        <v>418</v>
      </c>
      <c r="B471" s="13" t="s">
        <v>176</v>
      </c>
      <c r="C471" s="13" t="n">
        <v>0</v>
      </c>
      <c r="D471" s="13" t="n">
        <v>0</v>
      </c>
      <c r="E471" s="13" t="n">
        <v>0</v>
      </c>
      <c r="F471" s="13" t="n">
        <v>0</v>
      </c>
      <c r="G471" s="17" t="n">
        <v>0</v>
      </c>
      <c r="H471" s="13" t="n">
        <v>1</v>
      </c>
      <c r="I471" s="13" t="n">
        <v>0</v>
      </c>
      <c r="J471" s="13" t="n">
        <v>0</v>
      </c>
      <c r="K471" s="13" t="n">
        <v>0</v>
      </c>
      <c r="L471" s="17" t="n">
        <v>0</v>
      </c>
      <c r="M471" s="18" t="n">
        <f aca="false">IF(H471=0,"",I471/H471)</f>
        <v>0</v>
      </c>
    </row>
    <row r="472" customFormat="false" ht="15" hidden="false" customHeight="false" outlineLevel="0" collapsed="false">
      <c r="A472" s="13" t="s">
        <v>69</v>
      </c>
      <c r="B472" s="13" t="s">
        <v>169</v>
      </c>
      <c r="C472" s="13" t="n">
        <v>0</v>
      </c>
      <c r="D472" s="13" t="n">
        <v>0</v>
      </c>
      <c r="E472" s="13" t="n">
        <v>0</v>
      </c>
      <c r="F472" s="13" t="n">
        <v>0</v>
      </c>
      <c r="G472" s="17" t="n">
        <v>0</v>
      </c>
      <c r="H472" s="13" t="n">
        <v>112</v>
      </c>
      <c r="I472" s="13" t="n">
        <v>0</v>
      </c>
      <c r="J472" s="13" t="n">
        <v>34</v>
      </c>
      <c r="K472" s="13" t="n">
        <v>224</v>
      </c>
      <c r="L472" s="17" t="n">
        <v>0</v>
      </c>
      <c r="M472" s="18" t="n">
        <f aca="false">IF(H472=0,"",I472/H472)</f>
        <v>0</v>
      </c>
    </row>
    <row r="473" customFormat="false" ht="15" hidden="false" customHeight="false" outlineLevel="0" collapsed="false">
      <c r="A473" s="13" t="s">
        <v>69</v>
      </c>
      <c r="B473" s="13" t="s">
        <v>170</v>
      </c>
      <c r="C473" s="13" t="n">
        <v>78</v>
      </c>
      <c r="D473" s="13" t="n">
        <v>76</v>
      </c>
      <c r="E473" s="13" t="n">
        <v>1</v>
      </c>
      <c r="F473" s="13" t="n">
        <v>2</v>
      </c>
      <c r="G473" s="17" t="n">
        <v>0</v>
      </c>
      <c r="H473" s="13" t="n">
        <v>151</v>
      </c>
      <c r="I473" s="13" t="n">
        <v>78</v>
      </c>
      <c r="J473" s="13" t="n">
        <v>3</v>
      </c>
      <c r="K473" s="13" t="n">
        <v>2</v>
      </c>
      <c r="L473" s="17" t="n">
        <v>0</v>
      </c>
      <c r="M473" s="18" t="n">
        <f aca="false">IF(H473=0,"",I473/H473)</f>
        <v>0.516556291390729</v>
      </c>
    </row>
    <row r="474" customFormat="false" ht="15" hidden="false" customHeight="false" outlineLevel="0" collapsed="false">
      <c r="A474" s="13" t="s">
        <v>69</v>
      </c>
      <c r="B474" s="13" t="s">
        <v>171</v>
      </c>
      <c r="C474" s="13" t="n">
        <v>27</v>
      </c>
      <c r="D474" s="13" t="n">
        <v>0</v>
      </c>
      <c r="E474" s="13" t="n">
        <v>26</v>
      </c>
      <c r="F474" s="13" t="n">
        <v>0</v>
      </c>
      <c r="G474" s="17" t="n">
        <v>0.0033618</v>
      </c>
      <c r="H474" s="13" t="n">
        <v>27</v>
      </c>
      <c r="I474" s="13" t="n">
        <v>0</v>
      </c>
      <c r="J474" s="13" t="n">
        <v>26</v>
      </c>
      <c r="K474" s="13" t="n">
        <v>0</v>
      </c>
      <c r="L474" s="17" t="n">
        <v>0.0033618</v>
      </c>
      <c r="M474" s="18" t="n">
        <f aca="false">IF(H474=0,"",I474/H474)</f>
        <v>0</v>
      </c>
    </row>
    <row r="475" customFormat="false" ht="15" hidden="false" customHeight="false" outlineLevel="0" collapsed="false">
      <c r="A475" s="13" t="s">
        <v>69</v>
      </c>
      <c r="B475" s="13" t="s">
        <v>172</v>
      </c>
      <c r="C475" s="13" t="n">
        <v>358</v>
      </c>
      <c r="D475" s="13" t="n">
        <v>19</v>
      </c>
      <c r="E475" s="13" t="n">
        <v>339</v>
      </c>
      <c r="F475" s="13" t="n">
        <v>0</v>
      </c>
      <c r="G475" s="17" t="n">
        <v>0.5015676</v>
      </c>
      <c r="H475" s="13" t="n">
        <v>454</v>
      </c>
      <c r="I475" s="13" t="n">
        <v>35</v>
      </c>
      <c r="J475" s="13" t="n">
        <v>415</v>
      </c>
      <c r="K475" s="13" t="n">
        <v>0</v>
      </c>
      <c r="L475" s="17" t="n">
        <v>0.550571180952381</v>
      </c>
      <c r="M475" s="18" t="n">
        <f aca="false">IF(H475=0,"",I475/H475)</f>
        <v>0.0770925110132159</v>
      </c>
    </row>
    <row r="476" customFormat="false" ht="15" hidden="false" customHeight="false" outlineLevel="0" collapsed="false">
      <c r="A476" s="13" t="s">
        <v>69</v>
      </c>
      <c r="B476" s="13" t="s">
        <v>173</v>
      </c>
      <c r="C476" s="13" t="n">
        <v>75</v>
      </c>
      <c r="D476" s="13" t="n">
        <v>68</v>
      </c>
      <c r="E476" s="13" t="n">
        <v>7</v>
      </c>
      <c r="F476" s="13" t="n">
        <v>0</v>
      </c>
      <c r="G476" s="17" t="n">
        <v>0.5152252</v>
      </c>
      <c r="H476" s="13" t="n">
        <v>75</v>
      </c>
      <c r="I476" s="13" t="n">
        <v>68</v>
      </c>
      <c r="J476" s="13" t="n">
        <v>7</v>
      </c>
      <c r="K476" s="13" t="n">
        <v>0</v>
      </c>
      <c r="L476" s="17" t="n">
        <v>0.5152252</v>
      </c>
      <c r="M476" s="18" t="n">
        <f aca="false">IF(H476=0,"",I476/H476)</f>
        <v>0.906666666666667</v>
      </c>
    </row>
    <row r="477" customFormat="false" ht="15" hidden="false" customHeight="false" outlineLevel="0" collapsed="false">
      <c r="A477" s="13" t="s">
        <v>69</v>
      </c>
      <c r="B477" s="13" t="s">
        <v>175</v>
      </c>
      <c r="C477" s="13" t="n">
        <v>2</v>
      </c>
      <c r="D477" s="13" t="n">
        <v>0</v>
      </c>
      <c r="E477" s="13" t="n">
        <v>0</v>
      </c>
      <c r="F477" s="13" t="n">
        <v>2</v>
      </c>
      <c r="G477" s="17" t="n">
        <v>0</v>
      </c>
      <c r="H477" s="13" t="n">
        <v>2</v>
      </c>
      <c r="I477" s="13" t="n">
        <v>0</v>
      </c>
      <c r="J477" s="13" t="n">
        <v>0</v>
      </c>
      <c r="K477" s="13" t="n">
        <v>2</v>
      </c>
      <c r="L477" s="17" t="n">
        <v>0</v>
      </c>
      <c r="M477" s="18" t="n">
        <f aca="false">IF(H477=0,"",I477/H477)</f>
        <v>0</v>
      </c>
    </row>
    <row r="478" customFormat="false" ht="15" hidden="false" customHeight="false" outlineLevel="0" collapsed="false">
      <c r="A478" s="13" t="s">
        <v>69</v>
      </c>
      <c r="B478" s="13" t="s">
        <v>176</v>
      </c>
      <c r="C478" s="13" t="n">
        <v>153</v>
      </c>
      <c r="D478" s="13" t="n">
        <v>0</v>
      </c>
      <c r="E478" s="13" t="n">
        <v>0</v>
      </c>
      <c r="F478" s="13" t="n">
        <v>0</v>
      </c>
      <c r="G478" s="17" t="n">
        <v>0</v>
      </c>
      <c r="H478" s="13" t="n">
        <v>217</v>
      </c>
      <c r="I478" s="13" t="n">
        <v>0</v>
      </c>
      <c r="J478" s="13" t="n">
        <v>0</v>
      </c>
      <c r="K478" s="13" t="n">
        <v>0</v>
      </c>
      <c r="L478" s="17" t="n">
        <v>0</v>
      </c>
      <c r="M478" s="18" t="n">
        <f aca="false">IF(H478=0,"",I478/H478)</f>
        <v>0</v>
      </c>
    </row>
    <row r="479" customFormat="false" ht="15" hidden="false" customHeight="false" outlineLevel="0" collapsed="false">
      <c r="A479" s="13" t="s">
        <v>59</v>
      </c>
      <c r="B479" s="13" t="s">
        <v>169</v>
      </c>
      <c r="C479" s="13" t="n">
        <v>0</v>
      </c>
      <c r="D479" s="13" t="n">
        <v>0</v>
      </c>
      <c r="E479" s="13" t="n">
        <v>0</v>
      </c>
      <c r="F479" s="13" t="n">
        <v>0</v>
      </c>
      <c r="G479" s="17" t="n">
        <v>0</v>
      </c>
      <c r="H479" s="13" t="n">
        <v>56</v>
      </c>
      <c r="I479" s="13" t="n">
        <v>1</v>
      </c>
      <c r="J479" s="13" t="n">
        <v>51</v>
      </c>
      <c r="K479" s="13" t="n">
        <v>112</v>
      </c>
      <c r="L479" s="17" t="n">
        <v>0</v>
      </c>
      <c r="M479" s="18" t="n">
        <f aca="false">IF(H479=0,"",I479/H479)</f>
        <v>0.0178571428571429</v>
      </c>
    </row>
    <row r="480" customFormat="false" ht="15" hidden="false" customHeight="false" outlineLevel="0" collapsed="false">
      <c r="A480" s="13" t="s">
        <v>59</v>
      </c>
      <c r="B480" s="13" t="s">
        <v>170</v>
      </c>
      <c r="C480" s="13" t="n">
        <v>94</v>
      </c>
      <c r="D480" s="13" t="n">
        <v>91</v>
      </c>
      <c r="E480" s="13" t="n">
        <v>3</v>
      </c>
      <c r="F480" s="13" t="n">
        <v>0</v>
      </c>
      <c r="G480" s="17" t="n">
        <v>0</v>
      </c>
      <c r="H480" s="13" t="n">
        <v>149</v>
      </c>
      <c r="I480" s="13" t="n">
        <v>92</v>
      </c>
      <c r="J480" s="13" t="n">
        <v>7</v>
      </c>
      <c r="K480" s="13" t="n">
        <v>0</v>
      </c>
      <c r="L480" s="17" t="n">
        <v>0</v>
      </c>
      <c r="M480" s="18" t="n">
        <f aca="false">IF(H480=0,"",I480/H480)</f>
        <v>0.61744966442953</v>
      </c>
    </row>
    <row r="481" customFormat="false" ht="15" hidden="false" customHeight="false" outlineLevel="0" collapsed="false">
      <c r="A481" s="13" t="s">
        <v>59</v>
      </c>
      <c r="B481" s="13" t="s">
        <v>171</v>
      </c>
      <c r="C481" s="13" t="n">
        <v>0</v>
      </c>
      <c r="D481" s="13" t="n">
        <v>0</v>
      </c>
      <c r="E481" s="13" t="n">
        <v>0</v>
      </c>
      <c r="F481" s="13" t="n">
        <v>0</v>
      </c>
      <c r="G481" s="17" t="n">
        <v>0</v>
      </c>
      <c r="H481" s="13" t="n">
        <v>51</v>
      </c>
      <c r="I481" s="13" t="n">
        <v>0</v>
      </c>
      <c r="J481" s="13" t="n">
        <v>51</v>
      </c>
      <c r="K481" s="13" t="n">
        <v>0</v>
      </c>
      <c r="L481" s="17" t="n">
        <v>0.00430464</v>
      </c>
      <c r="M481" s="18" t="n">
        <f aca="false">IF(H481=0,"",I481/H481)</f>
        <v>0</v>
      </c>
    </row>
    <row r="482" customFormat="false" ht="15" hidden="false" customHeight="false" outlineLevel="0" collapsed="false">
      <c r="A482" s="13" t="s">
        <v>59</v>
      </c>
      <c r="B482" s="13" t="s">
        <v>172</v>
      </c>
      <c r="C482" s="13" t="n">
        <v>719</v>
      </c>
      <c r="D482" s="13" t="n">
        <v>60</v>
      </c>
      <c r="E482" s="13" t="n">
        <v>657</v>
      </c>
      <c r="F482" s="13" t="n">
        <v>0</v>
      </c>
      <c r="G482" s="17" t="n">
        <v>0.460231933333333</v>
      </c>
      <c r="H482" s="13" t="n">
        <v>819</v>
      </c>
      <c r="I482" s="13" t="n">
        <v>73</v>
      </c>
      <c r="J482" s="13" t="n">
        <v>741</v>
      </c>
      <c r="K482" s="13" t="n">
        <v>0</v>
      </c>
      <c r="L482" s="17" t="n">
        <v>0.522200733333333</v>
      </c>
      <c r="M482" s="18" t="n">
        <f aca="false">IF(H482=0,"",I482/H482)</f>
        <v>0.0891330891330891</v>
      </c>
    </row>
    <row r="483" customFormat="false" ht="15" hidden="false" customHeight="false" outlineLevel="0" collapsed="false">
      <c r="A483" s="13" t="s">
        <v>59</v>
      </c>
      <c r="B483" s="13" t="s">
        <v>173</v>
      </c>
      <c r="C483" s="13" t="n">
        <v>41</v>
      </c>
      <c r="D483" s="13" t="n">
        <v>5</v>
      </c>
      <c r="E483" s="13" t="n">
        <v>36</v>
      </c>
      <c r="F483" s="13" t="n">
        <v>0</v>
      </c>
      <c r="G483" s="17" t="n">
        <v>0.0169128</v>
      </c>
      <c r="H483" s="13" t="n">
        <v>41</v>
      </c>
      <c r="I483" s="13" t="n">
        <v>5</v>
      </c>
      <c r="J483" s="13" t="n">
        <v>36</v>
      </c>
      <c r="K483" s="13" t="n">
        <v>0</v>
      </c>
      <c r="L483" s="17" t="n">
        <v>0.0169128</v>
      </c>
      <c r="M483" s="18" t="n">
        <f aca="false">IF(H483=0,"",I483/H483)</f>
        <v>0.121951219512195</v>
      </c>
    </row>
    <row r="484" customFormat="false" ht="15" hidden="false" customHeight="false" outlineLevel="0" collapsed="false">
      <c r="A484" s="13" t="s">
        <v>59</v>
      </c>
      <c r="B484" s="13" t="s">
        <v>175</v>
      </c>
      <c r="C484" s="13" t="n">
        <v>27</v>
      </c>
      <c r="D484" s="13" t="n">
        <v>0</v>
      </c>
      <c r="E484" s="13" t="n">
        <v>0</v>
      </c>
      <c r="F484" s="13" t="n">
        <v>83</v>
      </c>
      <c r="G484" s="17" t="n">
        <v>0</v>
      </c>
      <c r="H484" s="13" t="n">
        <v>28</v>
      </c>
      <c r="I484" s="13" t="n">
        <v>0</v>
      </c>
      <c r="J484" s="13" t="n">
        <v>0</v>
      </c>
      <c r="K484" s="13" t="n">
        <v>84</v>
      </c>
      <c r="L484" s="17" t="n">
        <v>0</v>
      </c>
      <c r="M484" s="18" t="n">
        <f aca="false">IF(H484=0,"",I484/H484)</f>
        <v>0</v>
      </c>
    </row>
    <row r="485" customFormat="false" ht="15" hidden="false" customHeight="false" outlineLevel="0" collapsed="false">
      <c r="A485" s="13" t="s">
        <v>59</v>
      </c>
      <c r="B485" s="13" t="s">
        <v>176</v>
      </c>
      <c r="C485" s="13" t="n">
        <v>413</v>
      </c>
      <c r="D485" s="13" t="n">
        <v>0</v>
      </c>
      <c r="E485" s="13" t="n">
        <v>0</v>
      </c>
      <c r="F485" s="13" t="n">
        <v>0</v>
      </c>
      <c r="G485" s="17" t="n">
        <v>0</v>
      </c>
      <c r="H485" s="13" t="n">
        <v>496</v>
      </c>
      <c r="I485" s="13" t="n">
        <v>0</v>
      </c>
      <c r="J485" s="13" t="n">
        <v>0</v>
      </c>
      <c r="K485" s="13" t="n">
        <v>0</v>
      </c>
      <c r="L485" s="17" t="n">
        <v>0</v>
      </c>
      <c r="M485" s="18" t="n">
        <f aca="false">IF(H485=0,"",I485/H485)</f>
        <v>0</v>
      </c>
    </row>
    <row r="486" customFormat="false" ht="15" hidden="false" customHeight="false" outlineLevel="0" collapsed="false">
      <c r="A486" s="13" t="s">
        <v>419</v>
      </c>
      <c r="B486" s="13" t="s">
        <v>176</v>
      </c>
      <c r="C486" s="13" t="n">
        <v>0</v>
      </c>
      <c r="D486" s="13" t="n">
        <v>0</v>
      </c>
      <c r="E486" s="13" t="n">
        <v>0</v>
      </c>
      <c r="F486" s="13" t="n">
        <v>0</v>
      </c>
      <c r="G486" s="17" t="n">
        <v>0</v>
      </c>
      <c r="H486" s="13" t="n">
        <v>1</v>
      </c>
      <c r="I486" s="13" t="n">
        <v>0</v>
      </c>
      <c r="J486" s="13" t="n">
        <v>0</v>
      </c>
      <c r="K486" s="13" t="n">
        <v>0</v>
      </c>
      <c r="L486" s="17" t="n">
        <v>0</v>
      </c>
      <c r="M486" s="18" t="n">
        <f aca="false">IF(H486=0,"",I486/H486)</f>
        <v>0</v>
      </c>
    </row>
    <row r="487" customFormat="false" ht="15" hidden="false" customHeight="false" outlineLevel="0" collapsed="false">
      <c r="A487" s="13" t="s">
        <v>420</v>
      </c>
      <c r="B487" s="13" t="s">
        <v>176</v>
      </c>
      <c r="C487" s="13" t="n">
        <v>0</v>
      </c>
      <c r="D487" s="13" t="n">
        <v>0</v>
      </c>
      <c r="E487" s="13" t="n">
        <v>0</v>
      </c>
      <c r="F487" s="13" t="n">
        <v>0</v>
      </c>
      <c r="G487" s="17" t="n">
        <v>0</v>
      </c>
      <c r="H487" s="13" t="n">
        <v>1</v>
      </c>
      <c r="I487" s="13" t="n">
        <v>0</v>
      </c>
      <c r="J487" s="13" t="n">
        <v>0</v>
      </c>
      <c r="K487" s="13" t="n">
        <v>0</v>
      </c>
      <c r="L487" s="17" t="n">
        <v>0</v>
      </c>
      <c r="M487" s="18" t="n">
        <f aca="false">IF(H487=0,"",I487/H487)</f>
        <v>0</v>
      </c>
    </row>
    <row r="488" customFormat="false" ht="15" hidden="false" customHeight="false" outlineLevel="0" collapsed="false">
      <c r="A488" s="13" t="s">
        <v>421</v>
      </c>
      <c r="B488" s="13" t="s">
        <v>176</v>
      </c>
      <c r="C488" s="13" t="n">
        <v>0</v>
      </c>
      <c r="D488" s="13" t="n">
        <v>0</v>
      </c>
      <c r="E488" s="13" t="n">
        <v>0</v>
      </c>
      <c r="F488" s="13" t="n">
        <v>0</v>
      </c>
      <c r="G488" s="17" t="n">
        <v>0</v>
      </c>
      <c r="H488" s="13" t="n">
        <v>1</v>
      </c>
      <c r="I488" s="13" t="n">
        <v>0</v>
      </c>
      <c r="J488" s="13" t="n">
        <v>0</v>
      </c>
      <c r="K488" s="13" t="n">
        <v>0</v>
      </c>
      <c r="L488" s="17" t="n">
        <v>0</v>
      </c>
      <c r="M488" s="18" t="n">
        <f aca="false">IF(H488=0,"",I488/H488)</f>
        <v>0</v>
      </c>
    </row>
    <row r="489" customFormat="false" ht="15" hidden="false" customHeight="false" outlineLevel="0" collapsed="false">
      <c r="A489" s="13" t="s">
        <v>422</v>
      </c>
      <c r="B489" s="13" t="s">
        <v>176</v>
      </c>
      <c r="C489" s="13" t="n">
        <v>0</v>
      </c>
      <c r="D489" s="13" t="n">
        <v>0</v>
      </c>
      <c r="E489" s="13" t="n">
        <v>0</v>
      </c>
      <c r="F489" s="13" t="n">
        <v>0</v>
      </c>
      <c r="G489" s="17" t="n">
        <v>0</v>
      </c>
      <c r="H489" s="13" t="n">
        <v>1</v>
      </c>
      <c r="I489" s="13" t="n">
        <v>0</v>
      </c>
      <c r="J489" s="13" t="n">
        <v>0</v>
      </c>
      <c r="K489" s="13" t="n">
        <v>0</v>
      </c>
      <c r="L489" s="17" t="n">
        <v>0</v>
      </c>
      <c r="M489" s="18" t="n">
        <f aca="false">IF(H489=0,"",I489/H489)</f>
        <v>0</v>
      </c>
    </row>
    <row r="490" customFormat="false" ht="15" hidden="false" customHeight="false" outlineLevel="0" collapsed="false">
      <c r="A490" s="13" t="s">
        <v>423</v>
      </c>
      <c r="B490" s="13" t="s">
        <v>176</v>
      </c>
      <c r="C490" s="13" t="n">
        <v>0</v>
      </c>
      <c r="D490" s="13" t="n">
        <v>0</v>
      </c>
      <c r="E490" s="13" t="n">
        <v>0</v>
      </c>
      <c r="F490" s="13" t="n">
        <v>0</v>
      </c>
      <c r="G490" s="17" t="n">
        <v>0</v>
      </c>
      <c r="H490" s="13" t="n">
        <v>1</v>
      </c>
      <c r="I490" s="13" t="n">
        <v>0</v>
      </c>
      <c r="J490" s="13" t="n">
        <v>0</v>
      </c>
      <c r="K490" s="13" t="n">
        <v>0</v>
      </c>
      <c r="L490" s="17" t="n">
        <v>0</v>
      </c>
      <c r="M490" s="18" t="n">
        <f aca="false">IF(H490=0,"",I490/H490)</f>
        <v>0</v>
      </c>
    </row>
    <row r="491" customFormat="false" ht="15" hidden="false" customHeight="false" outlineLevel="0" collapsed="false">
      <c r="A491" s="13" t="s">
        <v>424</v>
      </c>
      <c r="B491" s="13" t="s">
        <v>176</v>
      </c>
      <c r="C491" s="13" t="n">
        <v>0</v>
      </c>
      <c r="D491" s="13" t="n">
        <v>0</v>
      </c>
      <c r="E491" s="13" t="n">
        <v>0</v>
      </c>
      <c r="F491" s="13" t="n">
        <v>0</v>
      </c>
      <c r="G491" s="17" t="n">
        <v>0</v>
      </c>
      <c r="H491" s="13" t="n">
        <v>1</v>
      </c>
      <c r="I491" s="13" t="n">
        <v>0</v>
      </c>
      <c r="J491" s="13" t="n">
        <v>0</v>
      </c>
      <c r="K491" s="13" t="n">
        <v>0</v>
      </c>
      <c r="L491" s="17" t="n">
        <v>0</v>
      </c>
      <c r="M491" s="18" t="n">
        <f aca="false">IF(H491=0,"",I491/H491)</f>
        <v>0</v>
      </c>
    </row>
    <row r="492" customFormat="false" ht="15" hidden="false" customHeight="false" outlineLevel="0" collapsed="false">
      <c r="A492" s="13" t="s">
        <v>425</v>
      </c>
      <c r="B492" s="13" t="s">
        <v>176</v>
      </c>
      <c r="C492" s="13" t="n">
        <v>0</v>
      </c>
      <c r="D492" s="13" t="n">
        <v>0</v>
      </c>
      <c r="E492" s="13" t="n">
        <v>0</v>
      </c>
      <c r="F492" s="13" t="n">
        <v>0</v>
      </c>
      <c r="G492" s="17" t="n">
        <v>0</v>
      </c>
      <c r="H492" s="13" t="n">
        <v>1</v>
      </c>
      <c r="I492" s="13" t="n">
        <v>0</v>
      </c>
      <c r="J492" s="13" t="n">
        <v>0</v>
      </c>
      <c r="K492" s="13" t="n">
        <v>0</v>
      </c>
      <c r="L492" s="17" t="n">
        <v>0</v>
      </c>
      <c r="M492" s="18" t="n">
        <f aca="false">IF(H492=0,"",I492/H492)</f>
        <v>0</v>
      </c>
    </row>
    <row r="493" customFormat="false" ht="15" hidden="false" customHeight="false" outlineLevel="0" collapsed="false">
      <c r="A493" s="13" t="s">
        <v>426</v>
      </c>
      <c r="B493" s="13" t="s">
        <v>176</v>
      </c>
      <c r="C493" s="13" t="n">
        <v>0</v>
      </c>
      <c r="D493" s="13" t="n">
        <v>0</v>
      </c>
      <c r="E493" s="13" t="n">
        <v>0</v>
      </c>
      <c r="F493" s="13" t="n">
        <v>0</v>
      </c>
      <c r="G493" s="17" t="n">
        <v>0</v>
      </c>
      <c r="H493" s="13" t="n">
        <v>1</v>
      </c>
      <c r="I493" s="13" t="n">
        <v>0</v>
      </c>
      <c r="J493" s="13" t="n">
        <v>0</v>
      </c>
      <c r="K493" s="13" t="n">
        <v>0</v>
      </c>
      <c r="L493" s="17" t="n">
        <v>0</v>
      </c>
      <c r="M493" s="18" t="n">
        <f aca="false">IF(H493=0,"",I493/H493)</f>
        <v>0</v>
      </c>
    </row>
    <row r="494" customFormat="false" ht="15" hidden="false" customHeight="false" outlineLevel="0" collapsed="false">
      <c r="A494" s="13" t="s">
        <v>427</v>
      </c>
      <c r="B494" s="13" t="s">
        <v>176</v>
      </c>
      <c r="C494" s="13" t="n">
        <v>0</v>
      </c>
      <c r="D494" s="13" t="n">
        <v>0</v>
      </c>
      <c r="E494" s="13" t="n">
        <v>0</v>
      </c>
      <c r="F494" s="13" t="n">
        <v>0</v>
      </c>
      <c r="G494" s="17" t="n">
        <v>0</v>
      </c>
      <c r="H494" s="13" t="n">
        <v>1</v>
      </c>
      <c r="I494" s="13" t="n">
        <v>0</v>
      </c>
      <c r="J494" s="13" t="n">
        <v>0</v>
      </c>
      <c r="K494" s="13" t="n">
        <v>0</v>
      </c>
      <c r="L494" s="17" t="n">
        <v>0</v>
      </c>
      <c r="M494" s="18" t="n">
        <f aca="false">IF(H494=0,"",I494/H494)</f>
        <v>0</v>
      </c>
    </row>
    <row r="495" customFormat="false" ht="15" hidden="false" customHeight="false" outlineLevel="0" collapsed="false">
      <c r="A495" s="13" t="s">
        <v>428</v>
      </c>
      <c r="B495" s="13" t="s">
        <v>176</v>
      </c>
      <c r="C495" s="13" t="n">
        <v>0</v>
      </c>
      <c r="D495" s="13" t="n">
        <v>0</v>
      </c>
      <c r="E495" s="13" t="n">
        <v>0</v>
      </c>
      <c r="F495" s="13" t="n">
        <v>0</v>
      </c>
      <c r="G495" s="17" t="n">
        <v>0</v>
      </c>
      <c r="H495" s="13" t="n">
        <v>1</v>
      </c>
      <c r="I495" s="13" t="n">
        <v>0</v>
      </c>
      <c r="J495" s="13" t="n">
        <v>0</v>
      </c>
      <c r="K495" s="13" t="n">
        <v>0</v>
      </c>
      <c r="L495" s="17" t="n">
        <v>0</v>
      </c>
      <c r="M495" s="18" t="n">
        <f aca="false">IF(H495=0,"",I495/H495)</f>
        <v>0</v>
      </c>
    </row>
    <row r="496" customFormat="false" ht="15" hidden="false" customHeight="false" outlineLevel="0" collapsed="false">
      <c r="A496" s="13" t="s">
        <v>429</v>
      </c>
      <c r="B496" s="13" t="s">
        <v>176</v>
      </c>
      <c r="C496" s="13" t="n">
        <v>0</v>
      </c>
      <c r="D496" s="13" t="n">
        <v>0</v>
      </c>
      <c r="E496" s="13" t="n">
        <v>0</v>
      </c>
      <c r="F496" s="13" t="n">
        <v>0</v>
      </c>
      <c r="G496" s="17" t="n">
        <v>0</v>
      </c>
      <c r="H496" s="13" t="n">
        <v>1</v>
      </c>
      <c r="I496" s="13" t="n">
        <v>0</v>
      </c>
      <c r="J496" s="13" t="n">
        <v>0</v>
      </c>
      <c r="K496" s="13" t="n">
        <v>0</v>
      </c>
      <c r="L496" s="17" t="n">
        <v>0</v>
      </c>
      <c r="M496" s="18" t="n">
        <f aca="false">IF(H496=0,"",I496/H496)</f>
        <v>0</v>
      </c>
    </row>
    <row r="497" customFormat="false" ht="15" hidden="false" customHeight="false" outlineLevel="0" collapsed="false">
      <c r="A497" s="13" t="s">
        <v>430</v>
      </c>
      <c r="B497" s="13" t="s">
        <v>176</v>
      </c>
      <c r="C497" s="13" t="n">
        <v>0</v>
      </c>
      <c r="D497" s="13" t="n">
        <v>0</v>
      </c>
      <c r="E497" s="13" t="n">
        <v>0</v>
      </c>
      <c r="F497" s="13" t="n">
        <v>0</v>
      </c>
      <c r="G497" s="17" t="n">
        <v>0</v>
      </c>
      <c r="H497" s="13" t="n">
        <v>1</v>
      </c>
      <c r="I497" s="13" t="n">
        <v>0</v>
      </c>
      <c r="J497" s="13" t="n">
        <v>0</v>
      </c>
      <c r="K497" s="13" t="n">
        <v>0</v>
      </c>
      <c r="L497" s="17" t="n">
        <v>0</v>
      </c>
      <c r="M497" s="18" t="n">
        <f aca="false">IF(H497=0,"",I497/H497)</f>
        <v>0</v>
      </c>
    </row>
    <row r="498" customFormat="false" ht="15" hidden="false" customHeight="false" outlineLevel="0" collapsed="false">
      <c r="A498" s="13" t="s">
        <v>115</v>
      </c>
      <c r="B498" s="13" t="s">
        <v>169</v>
      </c>
      <c r="C498" s="13" t="n">
        <v>0</v>
      </c>
      <c r="D498" s="13" t="n">
        <v>0</v>
      </c>
      <c r="E498" s="13" t="n">
        <v>7</v>
      </c>
      <c r="F498" s="13" t="n">
        <v>0</v>
      </c>
      <c r="G498" s="17" t="n">
        <v>0</v>
      </c>
      <c r="H498" s="13" t="n">
        <v>22</v>
      </c>
      <c r="I498" s="13" t="n">
        <v>0</v>
      </c>
      <c r="J498" s="13" t="n">
        <v>19</v>
      </c>
      <c r="K498" s="13" t="n">
        <v>44</v>
      </c>
      <c r="L498" s="17" t="n">
        <v>0</v>
      </c>
      <c r="M498" s="18" t="n">
        <f aca="false">IF(H498=0,"",I498/H498)</f>
        <v>0</v>
      </c>
    </row>
    <row r="499" customFormat="false" ht="15" hidden="false" customHeight="false" outlineLevel="0" collapsed="false">
      <c r="A499" s="13" t="s">
        <v>115</v>
      </c>
      <c r="B499" s="13" t="s">
        <v>170</v>
      </c>
      <c r="C499" s="13" t="n">
        <v>15</v>
      </c>
      <c r="D499" s="13" t="n">
        <v>0</v>
      </c>
      <c r="E499" s="13" t="n">
        <v>1</v>
      </c>
      <c r="F499" s="13" t="n">
        <v>2</v>
      </c>
      <c r="G499" s="17" t="n">
        <v>0</v>
      </c>
      <c r="H499" s="13" t="n">
        <v>23</v>
      </c>
      <c r="I499" s="13" t="n">
        <v>0</v>
      </c>
      <c r="J499" s="13" t="n">
        <v>2</v>
      </c>
      <c r="K499" s="13" t="n">
        <v>2</v>
      </c>
      <c r="L499" s="17" t="n">
        <v>0</v>
      </c>
      <c r="M499" s="18" t="n">
        <f aca="false">IF(H499=0,"",I499/H499)</f>
        <v>0</v>
      </c>
    </row>
    <row r="500" customFormat="false" ht="15" hidden="false" customHeight="false" outlineLevel="0" collapsed="false">
      <c r="A500" s="13" t="s">
        <v>115</v>
      </c>
      <c r="B500" s="13" t="s">
        <v>171</v>
      </c>
      <c r="C500" s="13" t="n">
        <v>11</v>
      </c>
      <c r="D500" s="13" t="n">
        <v>0</v>
      </c>
      <c r="E500" s="13" t="n">
        <v>9</v>
      </c>
      <c r="F500" s="13" t="n">
        <v>0</v>
      </c>
      <c r="G500" s="17" t="n">
        <v>0.00077133</v>
      </c>
      <c r="H500" s="13" t="n">
        <v>11</v>
      </c>
      <c r="I500" s="13" t="n">
        <v>0</v>
      </c>
      <c r="J500" s="13" t="n">
        <v>9</v>
      </c>
      <c r="K500" s="13" t="n">
        <v>0</v>
      </c>
      <c r="L500" s="17" t="n">
        <v>0.00077133</v>
      </c>
      <c r="M500" s="18" t="n">
        <f aca="false">IF(H500=0,"",I500/H500)</f>
        <v>0</v>
      </c>
    </row>
    <row r="501" customFormat="false" ht="15" hidden="false" customHeight="false" outlineLevel="0" collapsed="false">
      <c r="A501" s="13" t="s">
        <v>115</v>
      </c>
      <c r="B501" s="13" t="s">
        <v>172</v>
      </c>
      <c r="C501" s="13" t="n">
        <v>102</v>
      </c>
      <c r="D501" s="13" t="n">
        <v>0</v>
      </c>
      <c r="E501" s="13" t="n">
        <v>102</v>
      </c>
      <c r="F501" s="13" t="n">
        <v>0</v>
      </c>
      <c r="G501" s="17" t="n">
        <v>0.0547978666666667</v>
      </c>
      <c r="H501" s="13" t="n">
        <v>120</v>
      </c>
      <c r="I501" s="13" t="n">
        <v>1</v>
      </c>
      <c r="J501" s="13" t="n">
        <v>119</v>
      </c>
      <c r="K501" s="13" t="n">
        <v>0</v>
      </c>
      <c r="L501" s="17" t="n">
        <v>0.0765210666666667</v>
      </c>
      <c r="M501" s="18" t="n">
        <f aca="false">IF(H501=0,"",I501/H501)</f>
        <v>0.00833333333333333</v>
      </c>
    </row>
    <row r="502" customFormat="false" ht="15" hidden="false" customHeight="false" outlineLevel="0" collapsed="false">
      <c r="A502" s="13" t="s">
        <v>115</v>
      </c>
      <c r="B502" s="13" t="s">
        <v>175</v>
      </c>
      <c r="C502" s="13" t="n">
        <v>3</v>
      </c>
      <c r="D502" s="13" t="n">
        <v>0</v>
      </c>
      <c r="E502" s="13" t="n">
        <v>0</v>
      </c>
      <c r="F502" s="13" t="n">
        <v>3</v>
      </c>
      <c r="G502" s="17" t="n">
        <v>0</v>
      </c>
      <c r="H502" s="13" t="n">
        <v>3</v>
      </c>
      <c r="I502" s="13" t="n">
        <v>0</v>
      </c>
      <c r="J502" s="13" t="n">
        <v>0</v>
      </c>
      <c r="K502" s="13" t="n">
        <v>3</v>
      </c>
      <c r="L502" s="17" t="n">
        <v>0</v>
      </c>
      <c r="M502" s="18" t="n">
        <f aca="false">IF(H502=0,"",I502/H502)</f>
        <v>0</v>
      </c>
    </row>
    <row r="503" customFormat="false" ht="15" hidden="false" customHeight="false" outlineLevel="0" collapsed="false">
      <c r="A503" s="13" t="s">
        <v>115</v>
      </c>
      <c r="B503" s="13" t="s">
        <v>176</v>
      </c>
      <c r="C503" s="13" t="n">
        <v>83</v>
      </c>
      <c r="D503" s="13" t="n">
        <v>0</v>
      </c>
      <c r="E503" s="13" t="n">
        <v>0</v>
      </c>
      <c r="F503" s="13" t="n">
        <v>0</v>
      </c>
      <c r="G503" s="17" t="n">
        <v>0</v>
      </c>
      <c r="H503" s="13" t="n">
        <v>98</v>
      </c>
      <c r="I503" s="13" t="n">
        <v>0</v>
      </c>
      <c r="J503" s="13" t="n">
        <v>0</v>
      </c>
      <c r="K503" s="13" t="n">
        <v>0</v>
      </c>
      <c r="L503" s="17" t="n">
        <v>0</v>
      </c>
      <c r="M503" s="18" t="n">
        <f aca="false">IF(H503=0,"",I503/H503)</f>
        <v>0</v>
      </c>
    </row>
    <row r="504" customFormat="false" ht="15" hidden="false" customHeight="false" outlineLevel="0" collapsed="false">
      <c r="A504" s="13" t="s">
        <v>431</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432</v>
      </c>
      <c r="B505" s="13" t="s">
        <v>176</v>
      </c>
      <c r="C505" s="13" t="n">
        <v>0</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433</v>
      </c>
      <c r="B506" s="13" t="s">
        <v>176</v>
      </c>
      <c r="C506" s="13" t="n">
        <v>0</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434</v>
      </c>
      <c r="B507" s="13" t="s">
        <v>176</v>
      </c>
      <c r="C507" s="13" t="n">
        <v>0</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77</v>
      </c>
      <c r="B508" s="13" t="s">
        <v>169</v>
      </c>
      <c r="C508" s="13" t="n">
        <v>0</v>
      </c>
      <c r="D508" s="13" t="n">
        <v>0</v>
      </c>
      <c r="E508" s="13" t="n">
        <v>0</v>
      </c>
      <c r="F508" s="13" t="n">
        <v>0</v>
      </c>
      <c r="G508" s="17" t="n">
        <v>0</v>
      </c>
      <c r="H508" s="13" t="n">
        <v>28</v>
      </c>
      <c r="I508" s="13" t="n">
        <v>0</v>
      </c>
      <c r="J508" s="13" t="n">
        <v>23</v>
      </c>
      <c r="K508" s="13" t="n">
        <v>56</v>
      </c>
      <c r="L508" s="17" t="n">
        <v>0</v>
      </c>
      <c r="M508" s="18" t="n">
        <f aca="false">IF(H508=0,"",I508/H508)</f>
        <v>0</v>
      </c>
    </row>
    <row r="509" customFormat="false" ht="15" hidden="false" customHeight="false" outlineLevel="0" collapsed="false">
      <c r="A509" s="13" t="s">
        <v>77</v>
      </c>
      <c r="B509" s="13" t="s">
        <v>170</v>
      </c>
      <c r="C509" s="13" t="n">
        <v>50</v>
      </c>
      <c r="D509" s="13" t="n">
        <v>23</v>
      </c>
      <c r="E509" s="13" t="n">
        <v>6</v>
      </c>
      <c r="F509" s="13" t="n">
        <v>33</v>
      </c>
      <c r="G509" s="17" t="n">
        <v>0</v>
      </c>
      <c r="H509" s="13" t="n">
        <v>78</v>
      </c>
      <c r="I509" s="13" t="n">
        <v>23</v>
      </c>
      <c r="J509" s="13" t="n">
        <v>11</v>
      </c>
      <c r="K509" s="13" t="n">
        <v>33</v>
      </c>
      <c r="L509" s="17" t="n">
        <v>0</v>
      </c>
      <c r="M509" s="18" t="n">
        <f aca="false">IF(H509=0,"",I509/H509)</f>
        <v>0.294871794871795</v>
      </c>
    </row>
    <row r="510" customFormat="false" ht="15" hidden="false" customHeight="false" outlineLevel="0" collapsed="false">
      <c r="A510" s="13" t="s">
        <v>77</v>
      </c>
      <c r="B510" s="13" t="s">
        <v>171</v>
      </c>
      <c r="C510" s="13" t="n">
        <v>28</v>
      </c>
      <c r="D510" s="13" t="n">
        <v>3</v>
      </c>
      <c r="E510" s="13" t="n">
        <v>3</v>
      </c>
      <c r="F510" s="13" t="n">
        <v>0</v>
      </c>
      <c r="G510" s="17" t="n">
        <v>0.003405</v>
      </c>
      <c r="H510" s="13" t="n">
        <v>28</v>
      </c>
      <c r="I510" s="13" t="n">
        <v>3</v>
      </c>
      <c r="J510" s="13" t="n">
        <v>3</v>
      </c>
      <c r="K510" s="13" t="n">
        <v>0</v>
      </c>
      <c r="L510" s="17" t="n">
        <v>0.003405</v>
      </c>
      <c r="M510" s="18" t="n">
        <f aca="false">IF(H510=0,"",I510/H510)</f>
        <v>0.107142857142857</v>
      </c>
    </row>
    <row r="511" customFormat="false" ht="15" hidden="false" customHeight="false" outlineLevel="0" collapsed="false">
      <c r="A511" s="13" t="s">
        <v>77</v>
      </c>
      <c r="B511" s="13" t="s">
        <v>172</v>
      </c>
      <c r="C511" s="13" t="n">
        <v>268</v>
      </c>
      <c r="D511" s="13" t="n">
        <v>11</v>
      </c>
      <c r="E511" s="13" t="n">
        <v>254</v>
      </c>
      <c r="F511" s="13" t="n">
        <v>0</v>
      </c>
      <c r="G511" s="17" t="n">
        <v>0.1426866</v>
      </c>
      <c r="H511" s="13" t="n">
        <v>312</v>
      </c>
      <c r="I511" s="13" t="n">
        <v>28</v>
      </c>
      <c r="J511" s="13" t="n">
        <v>281</v>
      </c>
      <c r="K511" s="13" t="n">
        <v>0</v>
      </c>
      <c r="L511" s="17" t="n">
        <v>0.178079266666667</v>
      </c>
      <c r="M511" s="18" t="n">
        <f aca="false">IF(H511=0,"",I511/H511)</f>
        <v>0.0897435897435897</v>
      </c>
    </row>
    <row r="512" customFormat="false" ht="15" hidden="false" customHeight="false" outlineLevel="0" collapsed="false">
      <c r="A512" s="13" t="s">
        <v>77</v>
      </c>
      <c r="B512" s="13" t="s">
        <v>173</v>
      </c>
      <c r="C512" s="13" t="n">
        <v>28</v>
      </c>
      <c r="D512" s="13" t="n">
        <v>13</v>
      </c>
      <c r="E512" s="13" t="n">
        <v>15</v>
      </c>
      <c r="F512" s="13" t="n">
        <v>0</v>
      </c>
      <c r="G512" s="17" t="n">
        <v>0.0709844</v>
      </c>
      <c r="H512" s="13" t="n">
        <v>28</v>
      </c>
      <c r="I512" s="13" t="n">
        <v>13</v>
      </c>
      <c r="J512" s="13" t="n">
        <v>15</v>
      </c>
      <c r="K512" s="13" t="n">
        <v>0</v>
      </c>
      <c r="L512" s="17" t="n">
        <v>0.0709844</v>
      </c>
      <c r="M512" s="18" t="n">
        <f aca="false">IF(H512=0,"",I512/H512)</f>
        <v>0.464285714285714</v>
      </c>
    </row>
    <row r="513" customFormat="false" ht="15" hidden="false" customHeight="false" outlineLevel="0" collapsed="false">
      <c r="A513" s="13" t="s">
        <v>77</v>
      </c>
      <c r="B513" s="13" t="s">
        <v>175</v>
      </c>
      <c r="C513" s="13" t="n">
        <v>3</v>
      </c>
      <c r="D513" s="13" t="n">
        <v>0</v>
      </c>
      <c r="E513" s="13" t="n">
        <v>0</v>
      </c>
      <c r="F513" s="13" t="n">
        <v>3</v>
      </c>
      <c r="G513" s="17" t="n">
        <v>0</v>
      </c>
      <c r="H513" s="13" t="n">
        <v>3</v>
      </c>
      <c r="I513" s="13" t="n">
        <v>0</v>
      </c>
      <c r="J513" s="13" t="n">
        <v>0</v>
      </c>
      <c r="K513" s="13" t="n">
        <v>3</v>
      </c>
      <c r="L513" s="17" t="n">
        <v>0</v>
      </c>
      <c r="M513" s="18" t="n">
        <f aca="false">IF(H513=0,"",I513/H513)</f>
        <v>0</v>
      </c>
    </row>
    <row r="514" customFormat="false" ht="15" hidden="false" customHeight="false" outlineLevel="0" collapsed="false">
      <c r="A514" s="13" t="s">
        <v>77</v>
      </c>
      <c r="B514" s="13" t="s">
        <v>176</v>
      </c>
      <c r="C514" s="13" t="n">
        <v>121</v>
      </c>
      <c r="D514" s="13" t="n">
        <v>0</v>
      </c>
      <c r="E514" s="13" t="n">
        <v>0</v>
      </c>
      <c r="F514" s="13" t="n">
        <v>0</v>
      </c>
      <c r="G514" s="17" t="n">
        <v>0</v>
      </c>
      <c r="H514" s="13" t="n">
        <v>145</v>
      </c>
      <c r="I514" s="13" t="n">
        <v>0</v>
      </c>
      <c r="J514" s="13" t="n">
        <v>0</v>
      </c>
      <c r="K514" s="13" t="n">
        <v>0</v>
      </c>
      <c r="L514" s="17" t="n">
        <v>0</v>
      </c>
      <c r="M514" s="18" t="n">
        <f aca="false">IF(H514=0,"",I514/H514)</f>
        <v>0</v>
      </c>
    </row>
    <row r="515" customFormat="false" ht="15" hidden="false" customHeight="false" outlineLevel="0" collapsed="false">
      <c r="A515" s="13" t="s">
        <v>435</v>
      </c>
      <c r="B515" s="13" t="s">
        <v>176</v>
      </c>
      <c r="C515" s="13" t="n">
        <v>0</v>
      </c>
      <c r="D515" s="13" t="n">
        <v>0</v>
      </c>
      <c r="E515" s="13" t="n">
        <v>0</v>
      </c>
      <c r="F515" s="13" t="n">
        <v>0</v>
      </c>
      <c r="G515" s="17" t="n">
        <v>0</v>
      </c>
      <c r="H515" s="13" t="n">
        <v>1</v>
      </c>
      <c r="I515" s="13" t="n">
        <v>0</v>
      </c>
      <c r="J515" s="13" t="n">
        <v>0</v>
      </c>
      <c r="K515" s="13" t="n">
        <v>0</v>
      </c>
      <c r="L515" s="17" t="n">
        <v>0</v>
      </c>
      <c r="M515" s="18" t="n">
        <f aca="false">IF(H515=0,"",I515/H515)</f>
        <v>0</v>
      </c>
    </row>
    <row r="516" customFormat="false" ht="15" hidden="false" customHeight="false" outlineLevel="0" collapsed="false">
      <c r="A516" s="13" t="s">
        <v>436</v>
      </c>
      <c r="B516" s="13" t="s">
        <v>176</v>
      </c>
      <c r="C516" s="13" t="n">
        <v>0</v>
      </c>
      <c r="D516" s="13" t="n">
        <v>0</v>
      </c>
      <c r="E516" s="13" t="n">
        <v>0</v>
      </c>
      <c r="F516" s="13" t="n">
        <v>0</v>
      </c>
      <c r="G516" s="17" t="n">
        <v>0</v>
      </c>
      <c r="H516" s="13" t="n">
        <v>1</v>
      </c>
      <c r="I516" s="13" t="n">
        <v>0</v>
      </c>
      <c r="J516" s="13" t="n">
        <v>0</v>
      </c>
      <c r="K516" s="13" t="n">
        <v>0</v>
      </c>
      <c r="L516" s="17" t="n">
        <v>0</v>
      </c>
      <c r="M516" s="18" t="n">
        <f aca="false">IF(H516=0,"",I516/H516)</f>
        <v>0</v>
      </c>
    </row>
    <row r="517" customFormat="false" ht="15" hidden="false" customHeight="false" outlineLevel="0" collapsed="false">
      <c r="A517" s="13" t="s">
        <v>437</v>
      </c>
      <c r="B517" s="13" t="s">
        <v>176</v>
      </c>
      <c r="C517" s="13" t="n">
        <v>0</v>
      </c>
      <c r="D517" s="13" t="n">
        <v>0</v>
      </c>
      <c r="E517" s="13" t="n">
        <v>0</v>
      </c>
      <c r="F517" s="13" t="n">
        <v>0</v>
      </c>
      <c r="G517" s="17" t="n">
        <v>0</v>
      </c>
      <c r="H517" s="13" t="n">
        <v>1</v>
      </c>
      <c r="I517" s="13" t="n">
        <v>0</v>
      </c>
      <c r="J517" s="13" t="n">
        <v>0</v>
      </c>
      <c r="K517" s="13" t="n">
        <v>0</v>
      </c>
      <c r="L517" s="17" t="n">
        <v>0</v>
      </c>
      <c r="M517" s="18" t="n">
        <f aca="false">IF(H517=0,"",I517/H517)</f>
        <v>0</v>
      </c>
    </row>
    <row r="518" customFormat="false" ht="15" hidden="false" customHeight="false" outlineLevel="0" collapsed="false">
      <c r="A518" s="13" t="s">
        <v>438</v>
      </c>
      <c r="B518" s="13" t="s">
        <v>176</v>
      </c>
      <c r="C518" s="13" t="n">
        <v>0</v>
      </c>
      <c r="D518" s="13" t="n">
        <v>0</v>
      </c>
      <c r="E518" s="13" t="n">
        <v>0</v>
      </c>
      <c r="F518" s="13" t="n">
        <v>0</v>
      </c>
      <c r="G518" s="17" t="n">
        <v>0</v>
      </c>
      <c r="H518" s="13" t="n">
        <v>1</v>
      </c>
      <c r="I518" s="13" t="n">
        <v>0</v>
      </c>
      <c r="J518" s="13" t="n">
        <v>0</v>
      </c>
      <c r="K518" s="13" t="n">
        <v>0</v>
      </c>
      <c r="L518" s="17" t="n">
        <v>0</v>
      </c>
      <c r="M518" s="18" t="n">
        <f aca="false">IF(H518=0,"",I518/H518)</f>
        <v>0</v>
      </c>
    </row>
    <row r="519" customFormat="false" ht="15" hidden="false" customHeight="false" outlineLevel="0" collapsed="false">
      <c r="A519" s="13" t="s">
        <v>439</v>
      </c>
      <c r="B519" s="13" t="s">
        <v>176</v>
      </c>
      <c r="C519" s="13" t="n">
        <v>0</v>
      </c>
      <c r="D519" s="13" t="n">
        <v>0</v>
      </c>
      <c r="E519" s="13" t="n">
        <v>0</v>
      </c>
      <c r="F519" s="13" t="n">
        <v>0</v>
      </c>
      <c r="G519" s="17" t="n">
        <v>0</v>
      </c>
      <c r="H519" s="13" t="n">
        <v>1</v>
      </c>
      <c r="I519" s="13" t="n">
        <v>0</v>
      </c>
      <c r="J519" s="13" t="n">
        <v>0</v>
      </c>
      <c r="K519" s="13" t="n">
        <v>0</v>
      </c>
      <c r="L519" s="17" t="n">
        <v>0</v>
      </c>
      <c r="M519" s="18" t="n">
        <f aca="false">IF(H519=0,"",I519/H519)</f>
        <v>0</v>
      </c>
    </row>
    <row r="520" customFormat="false" ht="15" hidden="false" customHeight="false" outlineLevel="0" collapsed="false">
      <c r="A520" s="13" t="s">
        <v>440</v>
      </c>
      <c r="B520" s="13" t="s">
        <v>176</v>
      </c>
      <c r="C520" s="13" t="n">
        <v>0</v>
      </c>
      <c r="D520" s="13" t="n">
        <v>0</v>
      </c>
      <c r="E520" s="13" t="n">
        <v>0</v>
      </c>
      <c r="F520" s="13" t="n">
        <v>0</v>
      </c>
      <c r="G520" s="17" t="n">
        <v>0</v>
      </c>
      <c r="H520" s="13" t="n">
        <v>1</v>
      </c>
      <c r="I520" s="13" t="n">
        <v>0</v>
      </c>
      <c r="J520" s="13" t="n">
        <v>0</v>
      </c>
      <c r="K520" s="13" t="n">
        <v>0</v>
      </c>
      <c r="L520" s="17" t="n">
        <v>0</v>
      </c>
      <c r="M520" s="18" t="n">
        <f aca="false">IF(H520=0,"",I520/H520)</f>
        <v>0</v>
      </c>
    </row>
    <row r="521" customFormat="false" ht="15" hidden="false" customHeight="false" outlineLevel="0" collapsed="false">
      <c r="A521" s="13" t="s">
        <v>441</v>
      </c>
      <c r="B521" s="13" t="s">
        <v>176</v>
      </c>
      <c r="C521" s="13" t="n">
        <v>0</v>
      </c>
      <c r="D521" s="13" t="n">
        <v>0</v>
      </c>
      <c r="E521" s="13" t="n">
        <v>0</v>
      </c>
      <c r="F521" s="13" t="n">
        <v>0</v>
      </c>
      <c r="G521" s="17" t="n">
        <v>0</v>
      </c>
      <c r="H521" s="13" t="n">
        <v>1</v>
      </c>
      <c r="I521" s="13" t="n">
        <v>0</v>
      </c>
      <c r="J521" s="13" t="n">
        <v>0</v>
      </c>
      <c r="K521" s="13" t="n">
        <v>0</v>
      </c>
      <c r="L521" s="17" t="n">
        <v>0</v>
      </c>
      <c r="M521" s="18" t="n">
        <f aca="false">IF(H521=0,"",I521/H521)</f>
        <v>0</v>
      </c>
    </row>
    <row r="522" customFormat="false" ht="15" hidden="false" customHeight="false" outlineLevel="0" collapsed="false">
      <c r="A522" s="13" t="s">
        <v>442</v>
      </c>
      <c r="B522" s="13" t="s">
        <v>176</v>
      </c>
      <c r="C522" s="13" t="n">
        <v>0</v>
      </c>
      <c r="D522" s="13" t="n">
        <v>0</v>
      </c>
      <c r="E522" s="13" t="n">
        <v>0</v>
      </c>
      <c r="F522" s="13" t="n">
        <v>0</v>
      </c>
      <c r="G522" s="17" t="n">
        <v>0</v>
      </c>
      <c r="H522" s="13" t="n">
        <v>1</v>
      </c>
      <c r="I522" s="13" t="n">
        <v>0</v>
      </c>
      <c r="J522" s="13" t="n">
        <v>0</v>
      </c>
      <c r="K522" s="13" t="n">
        <v>0</v>
      </c>
      <c r="L522" s="17" t="n">
        <v>0</v>
      </c>
      <c r="M522" s="18" t="n">
        <f aca="false">IF(H522=0,"",I522/H522)</f>
        <v>0</v>
      </c>
    </row>
    <row r="523" customFormat="false" ht="15" hidden="false" customHeight="false" outlineLevel="0" collapsed="false">
      <c r="A523" s="13" t="s">
        <v>443</v>
      </c>
      <c r="B523" s="13" t="s">
        <v>176</v>
      </c>
      <c r="C523" s="13" t="n">
        <v>0</v>
      </c>
      <c r="D523" s="13" t="n">
        <v>0</v>
      </c>
      <c r="E523" s="13" t="n">
        <v>0</v>
      </c>
      <c r="F523" s="13" t="n">
        <v>0</v>
      </c>
      <c r="G523" s="17" t="n">
        <v>0</v>
      </c>
      <c r="H523" s="13" t="n">
        <v>1</v>
      </c>
      <c r="I523" s="13" t="n">
        <v>0</v>
      </c>
      <c r="J523" s="13" t="n">
        <v>0</v>
      </c>
      <c r="K523" s="13" t="n">
        <v>0</v>
      </c>
      <c r="L523" s="17" t="n">
        <v>0</v>
      </c>
      <c r="M523" s="18" t="n">
        <f aca="false">IF(H523=0,"",I523/H523)</f>
        <v>0</v>
      </c>
    </row>
    <row r="524" customFormat="false" ht="15" hidden="false" customHeight="false" outlineLevel="0" collapsed="false">
      <c r="A524" s="13" t="s">
        <v>444</v>
      </c>
      <c r="B524" s="13" t="s">
        <v>176</v>
      </c>
      <c r="C524" s="13" t="n">
        <v>0</v>
      </c>
      <c r="D524" s="13" t="n">
        <v>0</v>
      </c>
      <c r="E524" s="13" t="n">
        <v>0</v>
      </c>
      <c r="F524" s="13" t="n">
        <v>0</v>
      </c>
      <c r="G524" s="17" t="n">
        <v>0</v>
      </c>
      <c r="H524" s="13" t="n">
        <v>1</v>
      </c>
      <c r="I524" s="13" t="n">
        <v>0</v>
      </c>
      <c r="J524" s="13" t="n">
        <v>0</v>
      </c>
      <c r="K524" s="13" t="n">
        <v>0</v>
      </c>
      <c r="L524" s="17" t="n">
        <v>0</v>
      </c>
      <c r="M524" s="18" t="n">
        <f aca="false">IF(H524=0,"",I524/H524)</f>
        <v>0</v>
      </c>
    </row>
    <row r="525" customFormat="false" ht="15" hidden="false" customHeight="false" outlineLevel="0" collapsed="false">
      <c r="A525" s="13" t="s">
        <v>445</v>
      </c>
      <c r="B525" s="13" t="s">
        <v>176</v>
      </c>
      <c r="C525" s="13" t="n">
        <v>0</v>
      </c>
      <c r="D525" s="13" t="n">
        <v>0</v>
      </c>
      <c r="E525" s="13" t="n">
        <v>0</v>
      </c>
      <c r="F525" s="13" t="n">
        <v>0</v>
      </c>
      <c r="G525" s="17" t="n">
        <v>0</v>
      </c>
      <c r="H525" s="13" t="n">
        <v>1</v>
      </c>
      <c r="I525" s="13" t="n">
        <v>0</v>
      </c>
      <c r="J525" s="13" t="n">
        <v>0</v>
      </c>
      <c r="K525" s="13" t="n">
        <v>0</v>
      </c>
      <c r="L525" s="17" t="n">
        <v>0</v>
      </c>
      <c r="M525" s="18" t="n">
        <f aca="false">IF(H525=0,"",I525/H525)</f>
        <v>0</v>
      </c>
    </row>
    <row r="526" customFormat="false" ht="15" hidden="false" customHeight="false" outlineLevel="0" collapsed="false">
      <c r="A526" s="13" t="s">
        <v>446</v>
      </c>
      <c r="B526" s="13" t="s">
        <v>176</v>
      </c>
      <c r="C526" s="13" t="n">
        <v>0</v>
      </c>
      <c r="D526" s="13" t="n">
        <v>0</v>
      </c>
      <c r="E526" s="13" t="n">
        <v>0</v>
      </c>
      <c r="F526" s="13" t="n">
        <v>0</v>
      </c>
      <c r="G526" s="17" t="n">
        <v>0</v>
      </c>
      <c r="H526" s="13" t="n">
        <v>1</v>
      </c>
      <c r="I526" s="13" t="n">
        <v>0</v>
      </c>
      <c r="J526" s="13" t="n">
        <v>0</v>
      </c>
      <c r="K526" s="13" t="n">
        <v>0</v>
      </c>
      <c r="L526" s="17" t="n">
        <v>0</v>
      </c>
      <c r="M526" s="18" t="n">
        <f aca="false">IF(H526=0,"",I526/H526)</f>
        <v>0</v>
      </c>
    </row>
    <row r="527" customFormat="false" ht="15" hidden="false" customHeight="false" outlineLevel="0" collapsed="false">
      <c r="A527" s="13" t="s">
        <v>447</v>
      </c>
      <c r="B527" s="13" t="s">
        <v>176</v>
      </c>
      <c r="C527" s="13" t="n">
        <v>0</v>
      </c>
      <c r="D527" s="13" t="n">
        <v>0</v>
      </c>
      <c r="E527" s="13" t="n">
        <v>0</v>
      </c>
      <c r="F527" s="13" t="n">
        <v>0</v>
      </c>
      <c r="G527" s="17" t="n">
        <v>0</v>
      </c>
      <c r="H527" s="13" t="n">
        <v>1</v>
      </c>
      <c r="I527" s="13" t="n">
        <v>0</v>
      </c>
      <c r="J527" s="13" t="n">
        <v>0</v>
      </c>
      <c r="K527" s="13" t="n">
        <v>0</v>
      </c>
      <c r="L527" s="17" t="n">
        <v>0</v>
      </c>
      <c r="M527" s="18" t="n">
        <f aca="false">IF(H527=0,"",I527/H527)</f>
        <v>0</v>
      </c>
    </row>
    <row r="528" customFormat="false" ht="15" hidden="false" customHeight="false" outlineLevel="0" collapsed="false">
      <c r="A528" s="13" t="s">
        <v>448</v>
      </c>
      <c r="B528" s="13" t="s">
        <v>176</v>
      </c>
      <c r="C528" s="13" t="n">
        <v>0</v>
      </c>
      <c r="D528" s="13" t="n">
        <v>0</v>
      </c>
      <c r="E528" s="13" t="n">
        <v>0</v>
      </c>
      <c r="F528" s="13" t="n">
        <v>0</v>
      </c>
      <c r="G528" s="17" t="n">
        <v>0</v>
      </c>
      <c r="H528" s="13" t="n">
        <v>1</v>
      </c>
      <c r="I528" s="13" t="n">
        <v>0</v>
      </c>
      <c r="J528" s="13" t="n">
        <v>0</v>
      </c>
      <c r="K528" s="13" t="n">
        <v>0</v>
      </c>
      <c r="L528" s="17" t="n">
        <v>0</v>
      </c>
      <c r="M528" s="18" t="n">
        <f aca="false">IF(H528=0,"",I528/H528)</f>
        <v>0</v>
      </c>
    </row>
    <row r="529" customFormat="false" ht="15" hidden="false" customHeight="false" outlineLevel="0" collapsed="false">
      <c r="A529" s="13" t="s">
        <v>53</v>
      </c>
      <c r="B529" s="13" t="s">
        <v>169</v>
      </c>
      <c r="C529" s="13" t="n">
        <v>0</v>
      </c>
      <c r="D529" s="13" t="n">
        <v>0</v>
      </c>
      <c r="E529" s="13" t="n">
        <v>0</v>
      </c>
      <c r="F529" s="13" t="n">
        <v>0</v>
      </c>
      <c r="G529" s="17" t="n">
        <v>0</v>
      </c>
      <c r="H529" s="13" t="n">
        <v>157</v>
      </c>
      <c r="I529" s="13" t="n">
        <v>0</v>
      </c>
      <c r="J529" s="13" t="n">
        <v>0</v>
      </c>
      <c r="K529" s="13" t="n">
        <v>314</v>
      </c>
      <c r="L529" s="17" t="n">
        <v>0</v>
      </c>
      <c r="M529" s="18" t="n">
        <f aca="false">IF(H529=0,"",I529/H529)</f>
        <v>0</v>
      </c>
    </row>
    <row r="530" customFormat="false" ht="15" hidden="false" customHeight="false" outlineLevel="0" collapsed="false">
      <c r="A530" s="13" t="s">
        <v>53</v>
      </c>
      <c r="B530" s="13" t="s">
        <v>170</v>
      </c>
      <c r="C530" s="13" t="n">
        <v>19</v>
      </c>
      <c r="D530" s="13" t="n">
        <v>19</v>
      </c>
      <c r="E530" s="13" t="n">
        <v>0</v>
      </c>
      <c r="F530" s="13" t="n">
        <v>0</v>
      </c>
      <c r="G530" s="17" t="n">
        <v>0</v>
      </c>
      <c r="H530" s="13" t="n">
        <v>176</v>
      </c>
      <c r="I530" s="13" t="n">
        <v>19</v>
      </c>
      <c r="J530" s="13" t="n">
        <v>157</v>
      </c>
      <c r="K530" s="13" t="n">
        <v>0</v>
      </c>
      <c r="L530" s="17" t="n">
        <v>0</v>
      </c>
      <c r="M530" s="18" t="n">
        <f aca="false">IF(H530=0,"",I530/H530)</f>
        <v>0.107954545454545</v>
      </c>
    </row>
    <row r="531" customFormat="false" ht="15" hidden="false" customHeight="false" outlineLevel="0" collapsed="false">
      <c r="A531" s="13" t="s">
        <v>53</v>
      </c>
      <c r="B531" s="13" t="s">
        <v>172</v>
      </c>
      <c r="C531" s="13" t="n">
        <v>608</v>
      </c>
      <c r="D531" s="13" t="n">
        <v>1</v>
      </c>
      <c r="E531" s="13" t="n">
        <v>607</v>
      </c>
      <c r="F531" s="13" t="n">
        <v>0</v>
      </c>
      <c r="G531" s="17" t="n">
        <v>0.199129766666667</v>
      </c>
      <c r="H531" s="13" t="n">
        <v>608</v>
      </c>
      <c r="I531" s="13" t="n">
        <v>1</v>
      </c>
      <c r="J531" s="13" t="n">
        <v>607</v>
      </c>
      <c r="K531" s="13" t="n">
        <v>0</v>
      </c>
      <c r="L531" s="17" t="n">
        <v>0.199129766666667</v>
      </c>
      <c r="M531" s="18" t="n">
        <f aca="false">IF(H531=0,"",I531/H531)</f>
        <v>0.00164473684210526</v>
      </c>
    </row>
    <row r="532" customFormat="false" ht="15" hidden="false" customHeight="false" outlineLevel="0" collapsed="false">
      <c r="A532" s="13" t="s">
        <v>53</v>
      </c>
      <c r="B532" s="13" t="s">
        <v>173</v>
      </c>
      <c r="C532" s="13" t="n">
        <v>17</v>
      </c>
      <c r="D532" s="13" t="n">
        <v>1</v>
      </c>
      <c r="E532" s="13" t="n">
        <v>16</v>
      </c>
      <c r="F532" s="13" t="n">
        <v>0</v>
      </c>
      <c r="G532" s="17" t="n">
        <v>0.00113</v>
      </c>
      <c r="H532" s="13" t="n">
        <v>17</v>
      </c>
      <c r="I532" s="13" t="n">
        <v>1</v>
      </c>
      <c r="J532" s="13" t="n">
        <v>16</v>
      </c>
      <c r="K532" s="13" t="n">
        <v>0</v>
      </c>
      <c r="L532" s="17" t="n">
        <v>0.00113</v>
      </c>
      <c r="M532" s="18" t="n">
        <f aca="false">IF(H532=0,"",I532/H532)</f>
        <v>0.0588235294117647</v>
      </c>
    </row>
    <row r="533" customFormat="false" ht="15" hidden="false" customHeight="false" outlineLevel="0" collapsed="false">
      <c r="A533" s="13" t="s">
        <v>53</v>
      </c>
      <c r="B533" s="13" t="s">
        <v>174</v>
      </c>
      <c r="C533" s="13" t="n">
        <v>0</v>
      </c>
      <c r="D533" s="13" t="n">
        <v>0</v>
      </c>
      <c r="E533" s="13" t="n">
        <v>0</v>
      </c>
      <c r="F533" s="13" t="n">
        <v>0</v>
      </c>
      <c r="G533" s="17" t="n">
        <v>0</v>
      </c>
      <c r="H533" s="13" t="n">
        <v>2</v>
      </c>
      <c r="I533" s="13" t="n">
        <v>2</v>
      </c>
      <c r="J533" s="13" t="n">
        <v>0</v>
      </c>
      <c r="K533" s="13" t="n">
        <v>0</v>
      </c>
      <c r="L533" s="17" t="n">
        <v>0.00041001</v>
      </c>
      <c r="M533" s="18" t="n">
        <f aca="false">IF(H533=0,"",I533/H533)</f>
        <v>1</v>
      </c>
    </row>
    <row r="534" customFormat="false" ht="15" hidden="false" customHeight="false" outlineLevel="0" collapsed="false">
      <c r="A534" s="13" t="s">
        <v>53</v>
      </c>
      <c r="B534" s="13" t="s">
        <v>175</v>
      </c>
      <c r="C534" s="13" t="n">
        <v>2</v>
      </c>
      <c r="D534" s="13" t="n">
        <v>0</v>
      </c>
      <c r="E534" s="13" t="n">
        <v>0</v>
      </c>
      <c r="F534" s="13" t="n">
        <v>2</v>
      </c>
      <c r="G534" s="17" t="n">
        <v>0</v>
      </c>
      <c r="H534" s="13" t="n">
        <v>2</v>
      </c>
      <c r="I534" s="13" t="n">
        <v>0</v>
      </c>
      <c r="J534" s="13" t="n">
        <v>0</v>
      </c>
      <c r="K534" s="13" t="n">
        <v>2</v>
      </c>
      <c r="L534" s="17" t="n">
        <v>0</v>
      </c>
      <c r="M534" s="18" t="n">
        <f aca="false">IF(H534=0,"",I534/H534)</f>
        <v>0</v>
      </c>
    </row>
    <row r="535" customFormat="false" ht="15" hidden="false" customHeight="false" outlineLevel="0" collapsed="false">
      <c r="A535" s="13" t="s">
        <v>53</v>
      </c>
      <c r="B535" s="13" t="s">
        <v>176</v>
      </c>
      <c r="C535" s="13" t="n">
        <v>512</v>
      </c>
      <c r="D535" s="13" t="n">
        <v>0</v>
      </c>
      <c r="E535" s="13" t="n">
        <v>0</v>
      </c>
      <c r="F535" s="13" t="n">
        <v>0</v>
      </c>
      <c r="G535" s="17" t="n">
        <v>0</v>
      </c>
      <c r="H535" s="13" t="n">
        <v>512</v>
      </c>
      <c r="I535" s="13" t="n">
        <v>0</v>
      </c>
      <c r="J535" s="13" t="n">
        <v>0</v>
      </c>
      <c r="K535" s="13" t="n">
        <v>0</v>
      </c>
      <c r="L535" s="17" t="n">
        <v>0</v>
      </c>
      <c r="M535" s="18" t="n">
        <f aca="false">IF(H535=0,"",I535/H535)</f>
        <v>0</v>
      </c>
    </row>
    <row r="536" customFormat="false" ht="15" hidden="false" customHeight="false" outlineLevel="0" collapsed="false">
      <c r="A536" s="13" t="s">
        <v>49</v>
      </c>
      <c r="B536" s="13" t="s">
        <v>169</v>
      </c>
      <c r="C536" s="13" t="n">
        <v>0</v>
      </c>
      <c r="D536" s="13" t="n">
        <v>0</v>
      </c>
      <c r="E536" s="13" t="n">
        <v>0</v>
      </c>
      <c r="F536" s="13" t="n">
        <v>0</v>
      </c>
      <c r="G536" s="17" t="n">
        <v>0</v>
      </c>
      <c r="H536" s="13" t="n">
        <v>250</v>
      </c>
      <c r="I536" s="13" t="n">
        <v>17</v>
      </c>
      <c r="J536" s="13" t="n">
        <v>170</v>
      </c>
      <c r="K536" s="13" t="n">
        <v>500</v>
      </c>
      <c r="L536" s="17" t="n">
        <v>0</v>
      </c>
      <c r="M536" s="18" t="n">
        <f aca="false">IF(H536=0,"",I536/H536)</f>
        <v>0.068</v>
      </c>
    </row>
    <row r="537" customFormat="false" ht="15" hidden="false" customHeight="false" outlineLevel="0" collapsed="false">
      <c r="A537" s="13" t="s">
        <v>49</v>
      </c>
      <c r="B537" s="13" t="s">
        <v>170</v>
      </c>
      <c r="C537" s="13" t="n">
        <v>12</v>
      </c>
      <c r="D537" s="13" t="n">
        <v>5</v>
      </c>
      <c r="E537" s="13" t="n">
        <v>7</v>
      </c>
      <c r="F537" s="13" t="n">
        <v>0</v>
      </c>
      <c r="G537" s="17" t="n">
        <v>0</v>
      </c>
      <c r="H537" s="13" t="n">
        <v>333</v>
      </c>
      <c r="I537" s="13" t="n">
        <v>22</v>
      </c>
      <c r="J537" s="13" t="n">
        <v>66</v>
      </c>
      <c r="K537" s="13" t="n">
        <v>78</v>
      </c>
      <c r="L537" s="17" t="n">
        <v>0</v>
      </c>
      <c r="M537" s="18" t="n">
        <f aca="false">IF(H537=0,"",I537/H537)</f>
        <v>0.0660660660660661</v>
      </c>
    </row>
    <row r="538" customFormat="false" ht="15" hidden="false" customHeight="false" outlineLevel="0" collapsed="false">
      <c r="A538" s="13" t="s">
        <v>49</v>
      </c>
      <c r="B538" s="13" t="s">
        <v>171</v>
      </c>
      <c r="C538" s="13" t="n">
        <v>0</v>
      </c>
      <c r="D538" s="13" t="n">
        <v>0</v>
      </c>
      <c r="E538" s="13" t="n">
        <v>0</v>
      </c>
      <c r="F538" s="13" t="n">
        <v>0</v>
      </c>
      <c r="G538" s="17" t="n">
        <v>0</v>
      </c>
      <c r="H538" s="13" t="n">
        <v>175</v>
      </c>
      <c r="I538" s="13" t="n">
        <v>0</v>
      </c>
      <c r="J538" s="13" t="n">
        <v>97</v>
      </c>
      <c r="K538" s="13" t="n">
        <v>0</v>
      </c>
      <c r="L538" s="17" t="n">
        <v>0.02592684</v>
      </c>
      <c r="M538" s="18" t="n">
        <f aca="false">IF(H538=0,"",I538/H538)</f>
        <v>0</v>
      </c>
    </row>
    <row r="539" customFormat="false" ht="15" hidden="false" customHeight="false" outlineLevel="0" collapsed="false">
      <c r="A539" s="13" t="s">
        <v>49</v>
      </c>
      <c r="B539" s="13" t="s">
        <v>172</v>
      </c>
      <c r="C539" s="13" t="n">
        <v>1008</v>
      </c>
      <c r="D539" s="13" t="n">
        <v>20</v>
      </c>
      <c r="E539" s="13" t="n">
        <v>987</v>
      </c>
      <c r="F539" s="13" t="n">
        <v>0</v>
      </c>
      <c r="G539" s="17" t="n">
        <v>0.656014866666667</v>
      </c>
      <c r="H539" s="13" t="n">
        <v>1368</v>
      </c>
      <c r="I539" s="13" t="n">
        <v>88</v>
      </c>
      <c r="J539" s="13" t="n">
        <v>1277</v>
      </c>
      <c r="K539" s="13" t="n">
        <v>0</v>
      </c>
      <c r="L539" s="17" t="n">
        <v>0.798962466666667</v>
      </c>
      <c r="M539" s="18" t="n">
        <f aca="false">IF(H539=0,"",I539/H539)</f>
        <v>0.064327485380117</v>
      </c>
    </row>
    <row r="540" customFormat="false" ht="15" hidden="false" customHeight="false" outlineLevel="0" collapsed="false">
      <c r="A540" s="13" t="s">
        <v>49</v>
      </c>
      <c r="B540" s="13" t="s">
        <v>173</v>
      </c>
      <c r="C540" s="13" t="n">
        <v>4</v>
      </c>
      <c r="D540" s="13" t="n">
        <v>0</v>
      </c>
      <c r="E540" s="13" t="n">
        <v>4</v>
      </c>
      <c r="F540" s="13" t="n">
        <v>0</v>
      </c>
      <c r="G540" s="17" t="n">
        <v>0</v>
      </c>
      <c r="H540" s="13" t="n">
        <v>4</v>
      </c>
      <c r="I540" s="13" t="n">
        <v>0</v>
      </c>
      <c r="J540" s="13" t="n">
        <v>4</v>
      </c>
      <c r="K540" s="13" t="n">
        <v>0</v>
      </c>
      <c r="L540" s="17" t="n">
        <v>0</v>
      </c>
      <c r="M540" s="18" t="n">
        <f aca="false">IF(H540=0,"",I540/H540)</f>
        <v>0</v>
      </c>
    </row>
    <row r="541" customFormat="false" ht="15" hidden="false" customHeight="false" outlineLevel="0" collapsed="false">
      <c r="A541" s="13" t="s">
        <v>49</v>
      </c>
      <c r="B541" s="13" t="s">
        <v>175</v>
      </c>
      <c r="C541" s="13" t="n">
        <v>1</v>
      </c>
      <c r="D541" s="13" t="n">
        <v>0</v>
      </c>
      <c r="E541" s="13" t="n">
        <v>0</v>
      </c>
      <c r="F541" s="13" t="n">
        <v>1</v>
      </c>
      <c r="G541" s="17" t="n">
        <v>0</v>
      </c>
      <c r="H541" s="13" t="n">
        <v>8</v>
      </c>
      <c r="I541" s="13" t="n">
        <v>0</v>
      </c>
      <c r="J541" s="13" t="n">
        <v>0</v>
      </c>
      <c r="K541" s="13" t="n">
        <v>36</v>
      </c>
      <c r="L541" s="17" t="n">
        <v>0</v>
      </c>
      <c r="M541" s="18" t="n">
        <f aca="false">IF(H541=0,"",I541/H541)</f>
        <v>0</v>
      </c>
    </row>
    <row r="542" customFormat="false" ht="15" hidden="false" customHeight="false" outlineLevel="0" collapsed="false">
      <c r="A542" s="13" t="s">
        <v>49</v>
      </c>
      <c r="B542" s="13" t="s">
        <v>176</v>
      </c>
      <c r="C542" s="13" t="n">
        <v>411</v>
      </c>
      <c r="D542" s="13" t="n">
        <v>0</v>
      </c>
      <c r="E542" s="13" t="n">
        <v>0</v>
      </c>
      <c r="F542" s="13" t="n">
        <v>0</v>
      </c>
      <c r="G542" s="17" t="n">
        <v>0</v>
      </c>
      <c r="H542" s="13" t="n">
        <v>667</v>
      </c>
      <c r="I542" s="13" t="n">
        <v>0</v>
      </c>
      <c r="J542" s="13" t="n">
        <v>0</v>
      </c>
      <c r="K542" s="13" t="n">
        <v>0</v>
      </c>
      <c r="L542" s="17" t="n">
        <v>0</v>
      </c>
      <c r="M542" s="18" t="n">
        <f aca="false">IF(H542=0,"",I542/H542)</f>
        <v>0</v>
      </c>
    </row>
    <row r="543" customFormat="false" ht="15" hidden="false" customHeight="false" outlineLevel="0" collapsed="false">
      <c r="A543" s="13" t="s">
        <v>63</v>
      </c>
      <c r="B543" s="13" t="s">
        <v>169</v>
      </c>
      <c r="C543" s="13" t="n">
        <v>0</v>
      </c>
      <c r="D543" s="13" t="n">
        <v>0</v>
      </c>
      <c r="E543" s="13" t="n">
        <v>0</v>
      </c>
      <c r="F543" s="13" t="n">
        <v>0</v>
      </c>
      <c r="G543" s="17" t="n">
        <v>0</v>
      </c>
      <c r="H543" s="13" t="n">
        <v>147</v>
      </c>
      <c r="I543" s="13" t="n">
        <v>0</v>
      </c>
      <c r="J543" s="13" t="n">
        <v>146</v>
      </c>
      <c r="K543" s="13" t="n">
        <v>294</v>
      </c>
      <c r="L543" s="17" t="n">
        <v>0</v>
      </c>
      <c r="M543" s="18" t="n">
        <f aca="false">IF(H543=0,"",I543/H543)</f>
        <v>0</v>
      </c>
    </row>
    <row r="544" customFormat="false" ht="15" hidden="false" customHeight="false" outlineLevel="0" collapsed="false">
      <c r="A544" s="13" t="s">
        <v>63</v>
      </c>
      <c r="B544" s="13" t="s">
        <v>170</v>
      </c>
      <c r="C544" s="13" t="n">
        <v>23</v>
      </c>
      <c r="D544" s="13" t="n">
        <v>21</v>
      </c>
      <c r="E544" s="13" t="n">
        <v>1</v>
      </c>
      <c r="F544" s="13" t="n">
        <v>1</v>
      </c>
      <c r="G544" s="17" t="n">
        <v>0</v>
      </c>
      <c r="H544" s="13" t="n">
        <v>273</v>
      </c>
      <c r="I544" s="13" t="n">
        <v>21</v>
      </c>
      <c r="J544" s="13" t="n">
        <v>1</v>
      </c>
      <c r="K544" s="13" t="n">
        <v>131</v>
      </c>
      <c r="L544" s="17" t="n">
        <v>0</v>
      </c>
      <c r="M544" s="18" t="n">
        <f aca="false">IF(H544=0,"",I544/H544)</f>
        <v>0.0769230769230769</v>
      </c>
    </row>
    <row r="545" customFormat="false" ht="15" hidden="false" customHeight="false" outlineLevel="0" collapsed="false">
      <c r="A545" s="13" t="s">
        <v>63</v>
      </c>
      <c r="B545" s="13" t="s">
        <v>171</v>
      </c>
      <c r="C545" s="13" t="n">
        <v>0</v>
      </c>
      <c r="D545" s="13" t="n">
        <v>0</v>
      </c>
      <c r="E545" s="13" t="n">
        <v>0</v>
      </c>
      <c r="F545" s="13" t="n">
        <v>0</v>
      </c>
      <c r="G545" s="17" t="n">
        <v>0</v>
      </c>
      <c r="H545" s="13" t="n">
        <v>146</v>
      </c>
      <c r="I545" s="13" t="n">
        <v>0</v>
      </c>
      <c r="J545" s="13" t="n">
        <v>38</v>
      </c>
      <c r="K545" s="13" t="n">
        <v>0</v>
      </c>
      <c r="L545" s="17" t="n">
        <v>0.02105676</v>
      </c>
      <c r="M545" s="18" t="n">
        <f aca="false">IF(H545=0,"",I545/H545)</f>
        <v>0</v>
      </c>
    </row>
    <row r="546" customFormat="false" ht="15" hidden="false" customHeight="false" outlineLevel="0" collapsed="false">
      <c r="A546" s="13" t="s">
        <v>63</v>
      </c>
      <c r="B546" s="13" t="s">
        <v>172</v>
      </c>
      <c r="C546" s="13" t="n">
        <v>747</v>
      </c>
      <c r="D546" s="13" t="n">
        <v>5</v>
      </c>
      <c r="E546" s="13" t="n">
        <v>740</v>
      </c>
      <c r="F546" s="13" t="n">
        <v>0</v>
      </c>
      <c r="G546" s="17" t="n">
        <v>0.317271733333333</v>
      </c>
      <c r="H546" s="13" t="n">
        <v>1089</v>
      </c>
      <c r="I546" s="13" t="n">
        <v>66</v>
      </c>
      <c r="J546" s="13" t="n">
        <v>1017</v>
      </c>
      <c r="K546" s="13" t="n">
        <v>0</v>
      </c>
      <c r="L546" s="17" t="n">
        <v>0.440936533333333</v>
      </c>
      <c r="M546" s="18" t="n">
        <f aca="false">IF(H546=0,"",I546/H546)</f>
        <v>0.0606060606060606</v>
      </c>
    </row>
    <row r="547" customFormat="false" ht="15" hidden="false" customHeight="false" outlineLevel="0" collapsed="false">
      <c r="A547" s="13" t="s">
        <v>63</v>
      </c>
      <c r="B547" s="13" t="s">
        <v>173</v>
      </c>
      <c r="C547" s="13" t="n">
        <v>15</v>
      </c>
      <c r="D547" s="13" t="n">
        <v>1</v>
      </c>
      <c r="E547" s="13" t="n">
        <v>14</v>
      </c>
      <c r="F547" s="13" t="n">
        <v>0</v>
      </c>
      <c r="G547" s="17" t="n">
        <v>0.0017796</v>
      </c>
      <c r="H547" s="13" t="n">
        <v>15</v>
      </c>
      <c r="I547" s="13" t="n">
        <v>1</v>
      </c>
      <c r="J547" s="13" t="n">
        <v>14</v>
      </c>
      <c r="K547" s="13" t="n">
        <v>0</v>
      </c>
      <c r="L547" s="17" t="n">
        <v>0.0017796</v>
      </c>
      <c r="M547" s="18" t="n">
        <f aca="false">IF(H547=0,"",I547/H547)</f>
        <v>0.0666666666666667</v>
      </c>
    </row>
    <row r="548" customFormat="false" ht="15" hidden="false" customHeight="false" outlineLevel="0" collapsed="false">
      <c r="A548" s="13" t="s">
        <v>63</v>
      </c>
      <c r="B548" s="13" t="s">
        <v>175</v>
      </c>
      <c r="C548" s="13" t="n">
        <v>29</v>
      </c>
      <c r="D548" s="13" t="n">
        <v>0</v>
      </c>
      <c r="E548" s="13" t="n">
        <v>0</v>
      </c>
      <c r="F548" s="13" t="n">
        <v>109</v>
      </c>
      <c r="G548" s="17" t="n">
        <v>0</v>
      </c>
      <c r="H548" s="13" t="n">
        <v>57</v>
      </c>
      <c r="I548" s="13" t="n">
        <v>0</v>
      </c>
      <c r="J548" s="13" t="n">
        <v>0</v>
      </c>
      <c r="K548" s="13" t="n">
        <v>185</v>
      </c>
      <c r="L548" s="17" t="n">
        <v>0</v>
      </c>
      <c r="M548" s="18" t="n">
        <f aca="false">IF(H548=0,"",I548/H548)</f>
        <v>0</v>
      </c>
    </row>
    <row r="549" customFormat="false" ht="15" hidden="false" customHeight="false" outlineLevel="0" collapsed="false">
      <c r="A549" s="13" t="s">
        <v>63</v>
      </c>
      <c r="B549" s="13" t="s">
        <v>176</v>
      </c>
      <c r="C549" s="13" t="n">
        <v>438</v>
      </c>
      <c r="D549" s="13" t="n">
        <v>0</v>
      </c>
      <c r="E549" s="13" t="n">
        <v>0</v>
      </c>
      <c r="F549" s="13" t="n">
        <v>0</v>
      </c>
      <c r="G549" s="17" t="n">
        <v>0</v>
      </c>
      <c r="H549" s="13" t="n">
        <v>715</v>
      </c>
      <c r="I549" s="13" t="n">
        <v>0</v>
      </c>
      <c r="J549" s="13" t="n">
        <v>0</v>
      </c>
      <c r="K549" s="13" t="n">
        <v>0</v>
      </c>
      <c r="L549" s="17" t="n">
        <v>0</v>
      </c>
      <c r="M549" s="18" t="n">
        <f aca="false">IF(H549=0,"",I549/H549)</f>
        <v>0</v>
      </c>
    </row>
    <row r="550" customFormat="false" ht="15" hidden="false" customHeight="false" outlineLevel="0" collapsed="false">
      <c r="A550" s="13" t="s">
        <v>449</v>
      </c>
      <c r="B550" s="13" t="s">
        <v>176</v>
      </c>
      <c r="C550" s="13" t="n">
        <v>0</v>
      </c>
      <c r="D550" s="13" t="n">
        <v>0</v>
      </c>
      <c r="E550" s="13" t="n">
        <v>0</v>
      </c>
      <c r="F550" s="13" t="n">
        <v>0</v>
      </c>
      <c r="G550" s="17" t="n">
        <v>0</v>
      </c>
      <c r="H550" s="13" t="n">
        <v>1</v>
      </c>
      <c r="I550" s="13" t="n">
        <v>0</v>
      </c>
      <c r="J550" s="13" t="n">
        <v>0</v>
      </c>
      <c r="K550" s="13" t="n">
        <v>0</v>
      </c>
      <c r="L550" s="17" t="n">
        <v>0</v>
      </c>
      <c r="M550" s="18" t="n">
        <f aca="false">IF(H550=0,"",I550/H550)</f>
        <v>0</v>
      </c>
    </row>
    <row r="551" customFormat="false" ht="15" hidden="false" customHeight="false" outlineLevel="0" collapsed="false">
      <c r="A551" s="13" t="s">
        <v>450</v>
      </c>
      <c r="B551" s="13" t="s">
        <v>176</v>
      </c>
      <c r="C551" s="13" t="n">
        <v>0</v>
      </c>
      <c r="D551" s="13" t="n">
        <v>0</v>
      </c>
      <c r="E551" s="13" t="n">
        <v>0</v>
      </c>
      <c r="F551" s="13" t="n">
        <v>0</v>
      </c>
      <c r="G551" s="17" t="n">
        <v>0</v>
      </c>
      <c r="H551" s="13" t="n">
        <v>1</v>
      </c>
      <c r="I551" s="13" t="n">
        <v>0</v>
      </c>
      <c r="J551" s="13" t="n">
        <v>0</v>
      </c>
      <c r="K551" s="13" t="n">
        <v>0</v>
      </c>
      <c r="L551" s="17" t="n">
        <v>0</v>
      </c>
      <c r="M551" s="18" t="n">
        <f aca="false">IF(H551=0,"",I551/H551)</f>
        <v>0</v>
      </c>
    </row>
    <row r="552" customFormat="false" ht="15" hidden="false" customHeight="false" outlineLevel="0" collapsed="false">
      <c r="A552" s="13" t="s">
        <v>61</v>
      </c>
      <c r="B552" s="13" t="s">
        <v>169</v>
      </c>
      <c r="C552" s="13" t="n">
        <v>0</v>
      </c>
      <c r="D552" s="13" t="n">
        <v>0</v>
      </c>
      <c r="E552" s="13" t="n">
        <v>0</v>
      </c>
      <c r="F552" s="13" t="n">
        <v>0</v>
      </c>
      <c r="G552" s="17" t="n">
        <v>0</v>
      </c>
      <c r="H552" s="13" t="n">
        <v>35</v>
      </c>
      <c r="I552" s="13" t="n">
        <v>16</v>
      </c>
      <c r="J552" s="13" t="n">
        <v>19</v>
      </c>
      <c r="K552" s="13" t="n">
        <v>70</v>
      </c>
      <c r="L552" s="17" t="n">
        <v>0</v>
      </c>
      <c r="M552" s="18" t="n">
        <f aca="false">IF(H552=0,"",I552/H552)</f>
        <v>0.457142857142857</v>
      </c>
    </row>
    <row r="553" customFormat="false" ht="15" hidden="false" customHeight="false" outlineLevel="0" collapsed="false">
      <c r="A553" s="13" t="s">
        <v>61</v>
      </c>
      <c r="B553" s="13" t="s">
        <v>170</v>
      </c>
      <c r="C553" s="13" t="n">
        <v>13</v>
      </c>
      <c r="D553" s="13" t="n">
        <v>13</v>
      </c>
      <c r="E553" s="13" t="n">
        <v>0</v>
      </c>
      <c r="F553" s="13" t="n">
        <v>0</v>
      </c>
      <c r="G553" s="17" t="n">
        <v>0</v>
      </c>
      <c r="H553" s="13" t="n">
        <v>48</v>
      </c>
      <c r="I553" s="13" t="n">
        <v>29</v>
      </c>
      <c r="J553" s="13" t="n">
        <v>0</v>
      </c>
      <c r="K553" s="13" t="n">
        <v>0</v>
      </c>
      <c r="L553" s="17" t="n">
        <v>0</v>
      </c>
      <c r="M553" s="18" t="n">
        <f aca="false">IF(H553=0,"",I553/H553)</f>
        <v>0.604166666666667</v>
      </c>
    </row>
    <row r="554" customFormat="false" ht="15" hidden="false" customHeight="false" outlineLevel="0" collapsed="false">
      <c r="A554" s="13" t="s">
        <v>61</v>
      </c>
      <c r="B554" s="13" t="s">
        <v>171</v>
      </c>
      <c r="C554" s="13" t="n">
        <v>19</v>
      </c>
      <c r="D554" s="13" t="n">
        <v>0</v>
      </c>
      <c r="E554" s="13" t="n">
        <v>19</v>
      </c>
      <c r="F554" s="13" t="n">
        <v>0</v>
      </c>
      <c r="G554" s="17" t="n">
        <v>0.00173418</v>
      </c>
      <c r="H554" s="13" t="n">
        <v>19</v>
      </c>
      <c r="I554" s="13" t="n">
        <v>0</v>
      </c>
      <c r="J554" s="13" t="n">
        <v>19</v>
      </c>
      <c r="K554" s="13" t="n">
        <v>0</v>
      </c>
      <c r="L554" s="17" t="n">
        <v>0.00173418</v>
      </c>
      <c r="M554" s="18" t="n">
        <f aca="false">IF(H554=0,"",I554/H554)</f>
        <v>0</v>
      </c>
    </row>
    <row r="555" customFormat="false" ht="15" hidden="false" customHeight="false" outlineLevel="0" collapsed="false">
      <c r="A555" s="13" t="s">
        <v>61</v>
      </c>
      <c r="B555" s="13" t="s">
        <v>172</v>
      </c>
      <c r="C555" s="13" t="n">
        <v>85</v>
      </c>
      <c r="D555" s="13" t="n">
        <v>0</v>
      </c>
      <c r="E555" s="13" t="n">
        <v>85</v>
      </c>
      <c r="F555" s="13" t="n">
        <v>0</v>
      </c>
      <c r="G555" s="17" t="n">
        <v>0.0583364666666667</v>
      </c>
      <c r="H555" s="13" t="n">
        <v>177</v>
      </c>
      <c r="I555" s="13" t="n">
        <v>50</v>
      </c>
      <c r="J555" s="13" t="n">
        <v>127</v>
      </c>
      <c r="K555" s="13" t="n">
        <v>0</v>
      </c>
      <c r="L555" s="17" t="n">
        <v>0.0976128666666667</v>
      </c>
      <c r="M555" s="18" t="n">
        <f aca="false">IF(H555=0,"",I555/H555)</f>
        <v>0.282485875706215</v>
      </c>
    </row>
    <row r="556" customFormat="false" ht="15" hidden="false" customHeight="false" outlineLevel="0" collapsed="false">
      <c r="A556" s="13" t="s">
        <v>61</v>
      </c>
      <c r="B556" s="13" t="s">
        <v>173</v>
      </c>
      <c r="C556" s="13" t="n">
        <v>4</v>
      </c>
      <c r="D556" s="13" t="n">
        <v>0</v>
      </c>
      <c r="E556" s="13" t="n">
        <v>4</v>
      </c>
      <c r="F556" s="13" t="n">
        <v>0</v>
      </c>
      <c r="G556" s="17" t="n">
        <v>0.0026352</v>
      </c>
      <c r="H556" s="13" t="n">
        <v>4</v>
      </c>
      <c r="I556" s="13" t="n">
        <v>0</v>
      </c>
      <c r="J556" s="13" t="n">
        <v>4</v>
      </c>
      <c r="K556" s="13" t="n">
        <v>0</v>
      </c>
      <c r="L556" s="17" t="n">
        <v>0.0026352</v>
      </c>
      <c r="M556" s="18" t="n">
        <f aca="false">IF(H556=0,"",I556/H556)</f>
        <v>0</v>
      </c>
    </row>
    <row r="557" customFormat="false" ht="15" hidden="false" customHeight="false" outlineLevel="0" collapsed="false">
      <c r="A557" s="13" t="s">
        <v>61</v>
      </c>
      <c r="B557" s="13" t="s">
        <v>175</v>
      </c>
      <c r="C557" s="13" t="n">
        <v>4</v>
      </c>
      <c r="D557" s="13" t="n">
        <v>0</v>
      </c>
      <c r="E557" s="13" t="n">
        <v>0</v>
      </c>
      <c r="F557" s="13" t="n">
        <v>4</v>
      </c>
      <c r="G557" s="17" t="n">
        <v>0</v>
      </c>
      <c r="H557" s="13" t="n">
        <v>4</v>
      </c>
      <c r="I557" s="13" t="n">
        <v>0</v>
      </c>
      <c r="J557" s="13" t="n">
        <v>0</v>
      </c>
      <c r="K557" s="13" t="n">
        <v>4</v>
      </c>
      <c r="L557" s="17" t="n">
        <v>0</v>
      </c>
      <c r="M557" s="18" t="n">
        <f aca="false">IF(H557=0,"",I557/H557)</f>
        <v>0</v>
      </c>
    </row>
    <row r="558" customFormat="false" ht="15" hidden="false" customHeight="false" outlineLevel="0" collapsed="false">
      <c r="A558" s="13" t="s">
        <v>61</v>
      </c>
      <c r="B558" s="13" t="s">
        <v>176</v>
      </c>
      <c r="C558" s="13" t="n">
        <v>44</v>
      </c>
      <c r="D558" s="13" t="n">
        <v>0</v>
      </c>
      <c r="E558" s="13" t="n">
        <v>0</v>
      </c>
      <c r="F558" s="13" t="n">
        <v>0</v>
      </c>
      <c r="G558" s="17" t="n">
        <v>0</v>
      </c>
      <c r="H558" s="13" t="n">
        <v>86</v>
      </c>
      <c r="I558" s="13" t="n">
        <v>0</v>
      </c>
      <c r="J558" s="13" t="n">
        <v>0</v>
      </c>
      <c r="K558" s="13" t="n">
        <v>0</v>
      </c>
      <c r="L558" s="17" t="n">
        <v>0</v>
      </c>
      <c r="M558" s="18" t="n">
        <f aca="false">IF(H558=0,"",I558/H558)</f>
        <v>0</v>
      </c>
    </row>
    <row r="559" customFormat="false" ht="15" hidden="false" customHeight="false" outlineLevel="0" collapsed="false">
      <c r="A559" s="13" t="s">
        <v>73</v>
      </c>
      <c r="B559" s="13" t="s">
        <v>169</v>
      </c>
      <c r="C559" s="13" t="n">
        <v>0</v>
      </c>
      <c r="D559" s="13" t="n">
        <v>0</v>
      </c>
      <c r="E559" s="13" t="n">
        <v>0</v>
      </c>
      <c r="F559" s="13" t="n">
        <v>0</v>
      </c>
      <c r="G559" s="17" t="n">
        <v>0</v>
      </c>
      <c r="H559" s="13" t="n">
        <v>225</v>
      </c>
      <c r="I559" s="13" t="n">
        <v>0</v>
      </c>
      <c r="J559" s="13" t="n">
        <v>135</v>
      </c>
      <c r="K559" s="13" t="n">
        <v>450</v>
      </c>
      <c r="L559" s="17" t="n">
        <v>0</v>
      </c>
      <c r="M559" s="18" t="n">
        <f aca="false">IF(H559=0,"",I559/H559)</f>
        <v>0</v>
      </c>
    </row>
    <row r="560" customFormat="false" ht="15" hidden="false" customHeight="false" outlineLevel="0" collapsed="false">
      <c r="A560" s="13" t="s">
        <v>73</v>
      </c>
      <c r="B560" s="13" t="s">
        <v>170</v>
      </c>
      <c r="C560" s="13" t="n">
        <v>3</v>
      </c>
      <c r="D560" s="13" t="n">
        <v>3</v>
      </c>
      <c r="E560" s="13" t="n">
        <v>0</v>
      </c>
      <c r="F560" s="13" t="n">
        <v>0</v>
      </c>
      <c r="G560" s="17" t="n">
        <v>0</v>
      </c>
      <c r="H560" s="13" t="n">
        <v>142</v>
      </c>
      <c r="I560" s="13" t="n">
        <v>3</v>
      </c>
      <c r="J560" s="13" t="n">
        <v>1</v>
      </c>
      <c r="K560" s="13" t="n">
        <v>13</v>
      </c>
      <c r="L560" s="17" t="n">
        <v>0</v>
      </c>
      <c r="M560" s="18" t="n">
        <f aca="false">IF(H560=0,"",I560/H560)</f>
        <v>0.0211267605633803</v>
      </c>
    </row>
    <row r="561" customFormat="false" ht="15" hidden="false" customHeight="false" outlineLevel="0" collapsed="false">
      <c r="A561" s="13" t="s">
        <v>73</v>
      </c>
      <c r="B561" s="13" t="s">
        <v>171</v>
      </c>
      <c r="C561" s="13" t="n">
        <v>0</v>
      </c>
      <c r="D561" s="13" t="n">
        <v>0</v>
      </c>
      <c r="E561" s="13" t="n">
        <v>0</v>
      </c>
      <c r="F561" s="13" t="n">
        <v>0</v>
      </c>
      <c r="G561" s="17" t="n">
        <v>0</v>
      </c>
      <c r="H561" s="13" t="n">
        <v>59</v>
      </c>
      <c r="I561" s="13" t="n">
        <v>0</v>
      </c>
      <c r="J561" s="13" t="n">
        <v>48</v>
      </c>
      <c r="K561" s="13" t="n">
        <v>0</v>
      </c>
      <c r="L561" s="17" t="n">
        <v>0.00495705</v>
      </c>
      <c r="M561" s="18" t="n">
        <f aca="false">IF(H561=0,"",I561/H561)</f>
        <v>0</v>
      </c>
    </row>
    <row r="562" customFormat="false" ht="15" hidden="false" customHeight="false" outlineLevel="0" collapsed="false">
      <c r="A562" s="13" t="s">
        <v>73</v>
      </c>
      <c r="B562" s="13" t="s">
        <v>172</v>
      </c>
      <c r="C562" s="13" t="n">
        <v>295</v>
      </c>
      <c r="D562" s="13" t="n">
        <v>1</v>
      </c>
      <c r="E562" s="13" t="n">
        <v>294</v>
      </c>
      <c r="F562" s="13" t="n">
        <v>0</v>
      </c>
      <c r="G562" s="17" t="n">
        <v>0.237403266666667</v>
      </c>
      <c r="H562" s="13" t="n">
        <v>533</v>
      </c>
      <c r="I562" s="13" t="n">
        <v>41</v>
      </c>
      <c r="J562" s="13" t="n">
        <v>484</v>
      </c>
      <c r="K562" s="13" t="n">
        <v>0</v>
      </c>
      <c r="L562" s="17" t="n">
        <v>0.368214866666667</v>
      </c>
      <c r="M562" s="18" t="n">
        <f aca="false">IF(H562=0,"",I562/H562)</f>
        <v>0.0769230769230769</v>
      </c>
    </row>
    <row r="563" customFormat="false" ht="15" hidden="false" customHeight="false" outlineLevel="0" collapsed="false">
      <c r="A563" s="13" t="s">
        <v>73</v>
      </c>
      <c r="B563" s="13" t="s">
        <v>173</v>
      </c>
      <c r="C563" s="13" t="n">
        <v>2</v>
      </c>
      <c r="D563" s="13" t="n">
        <v>0</v>
      </c>
      <c r="E563" s="13" t="n">
        <v>2</v>
      </c>
      <c r="F563" s="13" t="n">
        <v>0</v>
      </c>
      <c r="G563" s="17" t="n">
        <v>0</v>
      </c>
      <c r="H563" s="13" t="n">
        <v>2</v>
      </c>
      <c r="I563" s="13" t="n">
        <v>0</v>
      </c>
      <c r="J563" s="13" t="n">
        <v>2</v>
      </c>
      <c r="K563" s="13" t="n">
        <v>0</v>
      </c>
      <c r="L563" s="17" t="n">
        <v>0</v>
      </c>
      <c r="M563" s="18" t="n">
        <f aca="false">IF(H563=0,"",I563/H563)</f>
        <v>0</v>
      </c>
    </row>
    <row r="564" customFormat="false" ht="15" hidden="false" customHeight="false" outlineLevel="0" collapsed="false">
      <c r="A564" s="13" t="s">
        <v>73</v>
      </c>
      <c r="B564" s="13" t="s">
        <v>175</v>
      </c>
      <c r="C564" s="13" t="n">
        <v>7</v>
      </c>
      <c r="D564" s="13" t="n">
        <v>0</v>
      </c>
      <c r="E564" s="13" t="n">
        <v>0</v>
      </c>
      <c r="F564" s="13" t="n">
        <v>11</v>
      </c>
      <c r="G564" s="17" t="n">
        <v>0</v>
      </c>
      <c r="H564" s="13" t="n">
        <v>9</v>
      </c>
      <c r="I564" s="13" t="n">
        <v>0</v>
      </c>
      <c r="J564" s="13" t="n">
        <v>0</v>
      </c>
      <c r="K564" s="13" t="n">
        <v>21</v>
      </c>
      <c r="L564" s="17" t="n">
        <v>0</v>
      </c>
      <c r="M564" s="18" t="n">
        <f aca="false">IF(H564=0,"",I564/H564)</f>
        <v>0</v>
      </c>
    </row>
    <row r="565" customFormat="false" ht="15" hidden="false" customHeight="false" outlineLevel="0" collapsed="false">
      <c r="A565" s="13" t="s">
        <v>73</v>
      </c>
      <c r="B565" s="13" t="s">
        <v>176</v>
      </c>
      <c r="C565" s="13" t="n">
        <v>145</v>
      </c>
      <c r="D565" s="13" t="n">
        <v>0</v>
      </c>
      <c r="E565" s="13" t="n">
        <v>0</v>
      </c>
      <c r="F565" s="13" t="n">
        <v>0</v>
      </c>
      <c r="G565" s="17" t="n">
        <v>0</v>
      </c>
      <c r="H565" s="13" t="n">
        <v>336</v>
      </c>
      <c r="I565" s="13" t="n">
        <v>0</v>
      </c>
      <c r="J565" s="13" t="n">
        <v>0</v>
      </c>
      <c r="K565" s="13" t="n">
        <v>0</v>
      </c>
      <c r="L565" s="17" t="n">
        <v>0</v>
      </c>
      <c r="M565" s="18" t="n">
        <f aca="false">IF(H565=0,"",I565/H565)</f>
        <v>0</v>
      </c>
    </row>
    <row r="566" customFormat="false" ht="15" hidden="false" customHeight="false" outlineLevel="0" collapsed="false">
      <c r="A566" s="13" t="s">
        <v>79</v>
      </c>
      <c r="B566" s="13" t="s">
        <v>169</v>
      </c>
      <c r="C566" s="13" t="n">
        <v>0</v>
      </c>
      <c r="D566" s="13" t="n">
        <v>0</v>
      </c>
      <c r="E566" s="13" t="n">
        <v>0</v>
      </c>
      <c r="F566" s="13" t="n">
        <v>0</v>
      </c>
      <c r="G566" s="17" t="n">
        <v>0</v>
      </c>
      <c r="H566" s="13" t="n">
        <v>29</v>
      </c>
      <c r="I566" s="13" t="n">
        <v>0</v>
      </c>
      <c r="J566" s="13" t="n">
        <v>29</v>
      </c>
      <c r="K566" s="13" t="n">
        <v>58</v>
      </c>
      <c r="L566" s="17" t="n">
        <v>0</v>
      </c>
      <c r="M566" s="18" t="n">
        <f aca="false">IF(H566=0,"",I566/H566)</f>
        <v>0</v>
      </c>
    </row>
    <row r="567" customFormat="false" ht="15" hidden="false" customHeight="false" outlineLevel="0" collapsed="false">
      <c r="A567" s="13" t="s">
        <v>79</v>
      </c>
      <c r="B567" s="13" t="s">
        <v>170</v>
      </c>
      <c r="C567" s="13" t="n">
        <v>20</v>
      </c>
      <c r="D567" s="13" t="n">
        <v>4</v>
      </c>
      <c r="E567" s="13" t="n">
        <v>0</v>
      </c>
      <c r="F567" s="13" t="n">
        <v>16</v>
      </c>
      <c r="G567" s="17" t="n">
        <v>0</v>
      </c>
      <c r="H567" s="13" t="n">
        <v>47</v>
      </c>
      <c r="I567" s="13" t="n">
        <v>4</v>
      </c>
      <c r="J567" s="13" t="n">
        <v>0</v>
      </c>
      <c r="K567" s="13" t="n">
        <v>16</v>
      </c>
      <c r="L567" s="17" t="n">
        <v>0</v>
      </c>
      <c r="M567" s="18" t="n">
        <f aca="false">IF(H567=0,"",I567/H567)</f>
        <v>0.0851063829787234</v>
      </c>
    </row>
    <row r="568" customFormat="false" ht="15" hidden="false" customHeight="false" outlineLevel="0" collapsed="false">
      <c r="A568" s="13" t="s">
        <v>79</v>
      </c>
      <c r="B568" s="13" t="s">
        <v>171</v>
      </c>
      <c r="C568" s="13" t="n">
        <v>29</v>
      </c>
      <c r="D568" s="13" t="n">
        <v>0</v>
      </c>
      <c r="E568" s="13" t="n">
        <v>13</v>
      </c>
      <c r="F568" s="13" t="n">
        <v>0</v>
      </c>
      <c r="G568" s="17" t="n">
        <v>0.00332964</v>
      </c>
      <c r="H568" s="13" t="n">
        <v>29</v>
      </c>
      <c r="I568" s="13" t="n">
        <v>0</v>
      </c>
      <c r="J568" s="13" t="n">
        <v>13</v>
      </c>
      <c r="K568" s="13" t="n">
        <v>0</v>
      </c>
      <c r="L568" s="17" t="n">
        <v>0.00332964</v>
      </c>
      <c r="M568" s="18" t="n">
        <f aca="false">IF(H568=0,"",I568/H568)</f>
        <v>0</v>
      </c>
    </row>
    <row r="569" customFormat="false" ht="15" hidden="false" customHeight="false" outlineLevel="0" collapsed="false">
      <c r="A569" s="13" t="s">
        <v>79</v>
      </c>
      <c r="B569" s="13" t="s">
        <v>172</v>
      </c>
      <c r="C569" s="13" t="n">
        <v>157</v>
      </c>
      <c r="D569" s="13" t="n">
        <v>12</v>
      </c>
      <c r="E569" s="13" t="n">
        <v>145</v>
      </c>
      <c r="F569" s="13" t="n">
        <v>0</v>
      </c>
      <c r="G569" s="17" t="n">
        <v>0.0667128</v>
      </c>
      <c r="H569" s="13" t="n">
        <v>213</v>
      </c>
      <c r="I569" s="13" t="n">
        <v>36</v>
      </c>
      <c r="J569" s="13" t="n">
        <v>177</v>
      </c>
      <c r="K569" s="13" t="n">
        <v>0</v>
      </c>
      <c r="L569" s="17" t="n">
        <v>0.0872457333333333</v>
      </c>
      <c r="M569" s="18" t="n">
        <f aca="false">IF(H569=0,"",I569/H569)</f>
        <v>0.169014084507042</v>
      </c>
    </row>
    <row r="570" customFormat="false" ht="15" hidden="false" customHeight="false" outlineLevel="0" collapsed="false">
      <c r="A570" s="13" t="s">
        <v>79</v>
      </c>
      <c r="B570" s="13" t="s">
        <v>173</v>
      </c>
      <c r="C570" s="13" t="n">
        <v>4</v>
      </c>
      <c r="D570" s="13" t="n">
        <v>0</v>
      </c>
      <c r="E570" s="13" t="n">
        <v>4</v>
      </c>
      <c r="F570" s="13" t="n">
        <v>0</v>
      </c>
      <c r="G570" s="17" t="n">
        <v>0</v>
      </c>
      <c r="H570" s="13" t="n">
        <v>4</v>
      </c>
      <c r="I570" s="13" t="n">
        <v>0</v>
      </c>
      <c r="J570" s="13" t="n">
        <v>4</v>
      </c>
      <c r="K570" s="13" t="n">
        <v>0</v>
      </c>
      <c r="L570" s="17" t="n">
        <v>0</v>
      </c>
      <c r="M570" s="18" t="n">
        <f aca="false">IF(H570=0,"",I570/H570)</f>
        <v>0</v>
      </c>
    </row>
    <row r="571" customFormat="false" ht="15" hidden="false" customHeight="false" outlineLevel="0" collapsed="false">
      <c r="A571" s="13" t="s">
        <v>79</v>
      </c>
      <c r="B571" s="13" t="s">
        <v>174</v>
      </c>
      <c r="C571" s="13" t="n">
        <v>0</v>
      </c>
      <c r="D571" s="13" t="n">
        <v>0</v>
      </c>
      <c r="E571" s="13" t="n">
        <v>0</v>
      </c>
      <c r="F571" s="13" t="n">
        <v>0</v>
      </c>
      <c r="G571" s="17" t="n">
        <v>0</v>
      </c>
      <c r="H571" s="13" t="n">
        <v>2</v>
      </c>
      <c r="I571" s="13" t="n">
        <v>1</v>
      </c>
      <c r="J571" s="13" t="n">
        <v>0</v>
      </c>
      <c r="K571" s="13" t="n">
        <v>0</v>
      </c>
      <c r="L571" s="17" t="n">
        <v>0.00109453</v>
      </c>
      <c r="M571" s="18" t="n">
        <f aca="false">IF(H571=0,"",I571/H571)</f>
        <v>0.5</v>
      </c>
    </row>
    <row r="572" customFormat="false" ht="15" hidden="false" customHeight="false" outlineLevel="0" collapsed="false">
      <c r="A572" s="13" t="s">
        <v>79</v>
      </c>
      <c r="B572" s="13" t="s">
        <v>175</v>
      </c>
      <c r="C572" s="13" t="n">
        <v>2</v>
      </c>
      <c r="D572" s="13" t="n">
        <v>0</v>
      </c>
      <c r="E572" s="13" t="n">
        <v>0</v>
      </c>
      <c r="F572" s="13" t="n">
        <v>2</v>
      </c>
      <c r="G572" s="17" t="n">
        <v>0</v>
      </c>
      <c r="H572" s="13" t="n">
        <v>4</v>
      </c>
      <c r="I572" s="13" t="n">
        <v>0</v>
      </c>
      <c r="J572" s="13" t="n">
        <v>0</v>
      </c>
      <c r="K572" s="13" t="n">
        <v>4</v>
      </c>
      <c r="L572" s="17" t="n">
        <v>0</v>
      </c>
      <c r="M572" s="18" t="n">
        <f aca="false">IF(H572=0,"",I572/H572)</f>
        <v>0</v>
      </c>
    </row>
    <row r="573" customFormat="false" ht="15" hidden="false" customHeight="false" outlineLevel="0" collapsed="false">
      <c r="A573" s="13" t="s">
        <v>79</v>
      </c>
      <c r="B573" s="13" t="s">
        <v>176</v>
      </c>
      <c r="C573" s="13" t="n">
        <v>52</v>
      </c>
      <c r="D573" s="13" t="n">
        <v>0</v>
      </c>
      <c r="E573" s="13" t="n">
        <v>0</v>
      </c>
      <c r="F573" s="13" t="n">
        <v>0</v>
      </c>
      <c r="G573" s="17" t="n">
        <v>0</v>
      </c>
      <c r="H573" s="13" t="n">
        <v>84</v>
      </c>
      <c r="I573" s="13" t="n">
        <v>0</v>
      </c>
      <c r="J573" s="13" t="n">
        <v>0</v>
      </c>
      <c r="K573" s="13" t="n">
        <v>0</v>
      </c>
      <c r="L573" s="17" t="n">
        <v>0</v>
      </c>
      <c r="M573" s="18" t="n">
        <f aca="false">IF(H573=0,"",I573/H573)</f>
        <v>0</v>
      </c>
    </row>
    <row r="574" customFormat="false" ht="15" hidden="false" customHeight="false" outlineLevel="0" collapsed="false">
      <c r="A574" s="13" t="s">
        <v>451</v>
      </c>
      <c r="B574" s="13" t="s">
        <v>176</v>
      </c>
      <c r="C574" s="13" t="n">
        <v>0</v>
      </c>
      <c r="D574" s="13" t="n">
        <v>0</v>
      </c>
      <c r="E574" s="13" t="n">
        <v>0</v>
      </c>
      <c r="F574" s="13" t="n">
        <v>0</v>
      </c>
      <c r="G574" s="17" t="n">
        <v>0</v>
      </c>
      <c r="H574" s="13" t="n">
        <v>1</v>
      </c>
      <c r="I574" s="13" t="n">
        <v>0</v>
      </c>
      <c r="J574" s="13" t="n">
        <v>0</v>
      </c>
      <c r="K574" s="13" t="n">
        <v>0</v>
      </c>
      <c r="L574" s="17" t="n">
        <v>0</v>
      </c>
      <c r="M574" s="18" t="n">
        <f aca="false">IF(H574=0,"",I574/H574)</f>
        <v>0</v>
      </c>
    </row>
    <row r="575" customFormat="false" ht="15" hidden="false" customHeight="false" outlineLevel="0" collapsed="false">
      <c r="A575" s="13" t="s">
        <v>452</v>
      </c>
      <c r="B575" s="13" t="s">
        <v>176</v>
      </c>
      <c r="C575" s="13" t="n">
        <v>0</v>
      </c>
      <c r="D575" s="13" t="n">
        <v>0</v>
      </c>
      <c r="E575" s="13" t="n">
        <v>0</v>
      </c>
      <c r="F575" s="13" t="n">
        <v>0</v>
      </c>
      <c r="G575" s="17" t="n">
        <v>0</v>
      </c>
      <c r="H575" s="13" t="n">
        <v>1</v>
      </c>
      <c r="I575" s="13" t="n">
        <v>0</v>
      </c>
      <c r="J575" s="13" t="n">
        <v>0</v>
      </c>
      <c r="K575" s="13" t="n">
        <v>0</v>
      </c>
      <c r="L575" s="17" t="n">
        <v>0</v>
      </c>
      <c r="M575" s="18" t="n">
        <f aca="false">IF(H575=0,"",I575/H575)</f>
        <v>0</v>
      </c>
    </row>
    <row r="576" customFormat="false" ht="15" hidden="false" customHeight="false" outlineLevel="0" collapsed="false">
      <c r="A576" s="13" t="s">
        <v>97</v>
      </c>
      <c r="B576" s="13" t="s">
        <v>169</v>
      </c>
      <c r="C576" s="13" t="n">
        <v>0</v>
      </c>
      <c r="D576" s="13" t="n">
        <v>0</v>
      </c>
      <c r="E576" s="13" t="n">
        <v>0</v>
      </c>
      <c r="F576" s="13" t="n">
        <v>0</v>
      </c>
      <c r="G576" s="17" t="n">
        <v>0</v>
      </c>
      <c r="H576" s="13" t="n">
        <v>5</v>
      </c>
      <c r="I576" s="13" t="n">
        <v>0</v>
      </c>
      <c r="J576" s="13" t="n">
        <v>5</v>
      </c>
      <c r="K576" s="13" t="n">
        <v>10</v>
      </c>
      <c r="L576" s="17" t="n">
        <v>0</v>
      </c>
      <c r="M576" s="18" t="n">
        <f aca="false">IF(H576=0,"",I576/H576)</f>
        <v>0</v>
      </c>
    </row>
    <row r="577" customFormat="false" ht="15" hidden="false" customHeight="false" outlineLevel="0" collapsed="false">
      <c r="A577" s="13" t="s">
        <v>97</v>
      </c>
      <c r="B577" s="13" t="s">
        <v>170</v>
      </c>
      <c r="C577" s="13" t="n">
        <v>0</v>
      </c>
      <c r="D577" s="13" t="n">
        <v>0</v>
      </c>
      <c r="E577" s="13" t="n">
        <v>0</v>
      </c>
      <c r="F577" s="13" t="n">
        <v>0</v>
      </c>
      <c r="G577" s="17" t="n">
        <v>0</v>
      </c>
      <c r="H577" s="13" t="n">
        <v>5</v>
      </c>
      <c r="I577" s="13" t="n">
        <v>0</v>
      </c>
      <c r="J577" s="13" t="n">
        <v>0</v>
      </c>
      <c r="K577" s="13" t="n">
        <v>0</v>
      </c>
      <c r="L577" s="17" t="n">
        <v>0</v>
      </c>
      <c r="M577" s="18" t="n">
        <f aca="false">IF(H577=0,"",I577/H577)</f>
        <v>0</v>
      </c>
    </row>
    <row r="578" customFormat="false" ht="15" hidden="false" customHeight="false" outlineLevel="0" collapsed="false">
      <c r="A578" s="13" t="s">
        <v>97</v>
      </c>
      <c r="B578" s="13" t="s">
        <v>172</v>
      </c>
      <c r="C578" s="13" t="n">
        <v>21</v>
      </c>
      <c r="D578" s="13" t="n">
        <v>0</v>
      </c>
      <c r="E578" s="13" t="n">
        <v>20</v>
      </c>
      <c r="F578" s="13" t="n">
        <v>0</v>
      </c>
      <c r="G578" s="17" t="n">
        <v>0.0155543333333333</v>
      </c>
      <c r="H578" s="13" t="n">
        <v>26</v>
      </c>
      <c r="I578" s="13" t="n">
        <v>0</v>
      </c>
      <c r="J578" s="13" t="n">
        <v>24</v>
      </c>
      <c r="K578" s="13" t="n">
        <v>0</v>
      </c>
      <c r="L578" s="17" t="n">
        <v>0.0222171333333333</v>
      </c>
      <c r="M578" s="18" t="n">
        <f aca="false">IF(H578=0,"",I578/H578)</f>
        <v>0</v>
      </c>
    </row>
    <row r="579" customFormat="false" ht="15" hidden="false" customHeight="false" outlineLevel="0" collapsed="false">
      <c r="A579" s="13" t="s">
        <v>97</v>
      </c>
      <c r="B579" s="13" t="s">
        <v>174</v>
      </c>
      <c r="C579" s="13" t="n">
        <v>0</v>
      </c>
      <c r="D579" s="13" t="n">
        <v>0</v>
      </c>
      <c r="E579" s="13" t="n">
        <v>0</v>
      </c>
      <c r="F579" s="13" t="n">
        <v>0</v>
      </c>
      <c r="G579" s="17" t="n">
        <v>0</v>
      </c>
      <c r="H579" s="13" t="n">
        <v>103</v>
      </c>
      <c r="I579" s="13" t="n">
        <v>93</v>
      </c>
      <c r="J579" s="13" t="n">
        <v>1</v>
      </c>
      <c r="K579" s="13" t="n">
        <v>0</v>
      </c>
      <c r="L579" s="17" t="n">
        <v>0.03071964</v>
      </c>
      <c r="M579" s="18" t="n">
        <f aca="false">IF(H579=0,"",I579/H579)</f>
        <v>0.902912621359223</v>
      </c>
    </row>
    <row r="580" customFormat="false" ht="15" hidden="false" customHeight="false" outlineLevel="0" collapsed="false">
      <c r="A580" s="13" t="s">
        <v>97</v>
      </c>
      <c r="B580" s="13" t="s">
        <v>175</v>
      </c>
      <c r="C580" s="13" t="n">
        <v>0</v>
      </c>
      <c r="D580" s="13" t="n">
        <v>0</v>
      </c>
      <c r="E580" s="13" t="n">
        <v>0</v>
      </c>
      <c r="F580" s="13" t="n">
        <v>0</v>
      </c>
      <c r="G580" s="17" t="n">
        <v>0</v>
      </c>
      <c r="H580" s="13" t="n">
        <v>96</v>
      </c>
      <c r="I580" s="13" t="n">
        <v>0</v>
      </c>
      <c r="J580" s="13" t="n">
        <v>0</v>
      </c>
      <c r="K580" s="13" t="n">
        <v>96</v>
      </c>
      <c r="L580" s="17" t="n">
        <v>0</v>
      </c>
      <c r="M580" s="18" t="n">
        <f aca="false">IF(H580=0,"",I580/H580)</f>
        <v>0</v>
      </c>
    </row>
    <row r="581" customFormat="false" ht="15" hidden="false" customHeight="false" outlineLevel="0" collapsed="false">
      <c r="A581" s="13" t="s">
        <v>97</v>
      </c>
      <c r="B581" s="13" t="s">
        <v>176</v>
      </c>
      <c r="C581" s="13" t="n">
        <v>5</v>
      </c>
      <c r="D581" s="13" t="n">
        <v>0</v>
      </c>
      <c r="E581" s="13" t="n">
        <v>0</v>
      </c>
      <c r="F581" s="13" t="n">
        <v>0</v>
      </c>
      <c r="G581" s="17" t="n">
        <v>0</v>
      </c>
      <c r="H581" s="13" t="n">
        <v>8</v>
      </c>
      <c r="I581" s="13" t="n">
        <v>0</v>
      </c>
      <c r="J581" s="13" t="n">
        <v>0</v>
      </c>
      <c r="K581" s="13" t="n">
        <v>0</v>
      </c>
      <c r="L581" s="17" t="n">
        <v>0</v>
      </c>
      <c r="M581" s="18" t="n">
        <f aca="false">IF(H581=0,"",I581/H581)</f>
        <v>0</v>
      </c>
    </row>
    <row r="582" customFormat="false" ht="15" hidden="false" customHeight="false" outlineLevel="0" collapsed="false">
      <c r="A582" s="13" t="s">
        <v>453</v>
      </c>
      <c r="B582" s="13" t="s">
        <v>176</v>
      </c>
      <c r="C582" s="13" t="n">
        <v>0</v>
      </c>
      <c r="D582" s="13" t="n">
        <v>0</v>
      </c>
      <c r="E582" s="13" t="n">
        <v>0</v>
      </c>
      <c r="F582" s="13" t="n">
        <v>0</v>
      </c>
      <c r="G582" s="17" t="n">
        <v>0</v>
      </c>
      <c r="H582" s="13" t="n">
        <v>1</v>
      </c>
      <c r="I582" s="13" t="n">
        <v>0</v>
      </c>
      <c r="J582" s="13" t="n">
        <v>0</v>
      </c>
      <c r="K582" s="13" t="n">
        <v>0</v>
      </c>
      <c r="L582" s="17" t="n">
        <v>0</v>
      </c>
      <c r="M582" s="18" t="n">
        <f aca="false">IF(H582=0,"",I582/H582)</f>
        <v>0</v>
      </c>
    </row>
    <row r="583" customFormat="false" ht="15" hidden="false" customHeight="false" outlineLevel="0" collapsed="false">
      <c r="A583" s="13" t="s">
        <v>57</v>
      </c>
      <c r="B583" s="13" t="s">
        <v>169</v>
      </c>
      <c r="C583" s="13" t="n">
        <v>0</v>
      </c>
      <c r="D583" s="13" t="n">
        <v>0</v>
      </c>
      <c r="E583" s="13" t="n">
        <v>4</v>
      </c>
      <c r="F583" s="13" t="n">
        <v>0</v>
      </c>
      <c r="G583" s="17" t="n">
        <v>0</v>
      </c>
      <c r="H583" s="13" t="n">
        <v>95</v>
      </c>
      <c r="I583" s="13" t="n">
        <v>0</v>
      </c>
      <c r="J583" s="13" t="n">
        <v>7</v>
      </c>
      <c r="K583" s="13" t="n">
        <v>190</v>
      </c>
      <c r="L583" s="17" t="n">
        <v>0</v>
      </c>
      <c r="M583" s="18" t="n">
        <f aca="false">IF(H583=0,"",I583/H583)</f>
        <v>0</v>
      </c>
    </row>
    <row r="584" customFormat="false" ht="15" hidden="false" customHeight="false" outlineLevel="0" collapsed="false">
      <c r="A584" s="13" t="s">
        <v>57</v>
      </c>
      <c r="B584" s="13" t="s">
        <v>170</v>
      </c>
      <c r="C584" s="13" t="n">
        <v>41</v>
      </c>
      <c r="D584" s="13" t="n">
        <v>37</v>
      </c>
      <c r="E584" s="13" t="n">
        <v>0</v>
      </c>
      <c r="F584" s="13" t="n">
        <v>1</v>
      </c>
      <c r="G584" s="17" t="n">
        <v>0</v>
      </c>
      <c r="H584" s="13" t="n">
        <v>44</v>
      </c>
      <c r="I584" s="13" t="n">
        <v>38</v>
      </c>
      <c r="J584" s="13" t="n">
        <v>0</v>
      </c>
      <c r="K584" s="13" t="n">
        <v>1</v>
      </c>
      <c r="L584" s="17" t="n">
        <v>0</v>
      </c>
      <c r="M584" s="18" t="n">
        <f aca="false">IF(H584=0,"",I584/H584)</f>
        <v>0.863636363636364</v>
      </c>
    </row>
    <row r="585" customFormat="false" ht="15" hidden="false" customHeight="false" outlineLevel="0" collapsed="false">
      <c r="A585" s="13" t="s">
        <v>57</v>
      </c>
      <c r="B585" s="13" t="s">
        <v>172</v>
      </c>
      <c r="C585" s="13" t="n">
        <v>328</v>
      </c>
      <c r="D585" s="13" t="n">
        <v>1</v>
      </c>
      <c r="E585" s="13" t="n">
        <v>325</v>
      </c>
      <c r="F585" s="13" t="n">
        <v>0</v>
      </c>
      <c r="G585" s="17" t="n">
        <v>0.127922266666667</v>
      </c>
      <c r="H585" s="13" t="n">
        <v>342</v>
      </c>
      <c r="I585" s="13" t="n">
        <v>4</v>
      </c>
      <c r="J585" s="13" t="n">
        <v>333</v>
      </c>
      <c r="K585" s="13" t="n">
        <v>0</v>
      </c>
      <c r="L585" s="17" t="n">
        <v>0.140800266666667</v>
      </c>
      <c r="M585" s="18" t="n">
        <f aca="false">IF(H585=0,"",I585/H585)</f>
        <v>0.0116959064327485</v>
      </c>
    </row>
    <row r="586" customFormat="false" ht="15" hidden="false" customHeight="false" outlineLevel="0" collapsed="false">
      <c r="A586" s="13" t="s">
        <v>57</v>
      </c>
      <c r="B586" s="13" t="s">
        <v>173</v>
      </c>
      <c r="C586" s="13" t="n">
        <v>30</v>
      </c>
      <c r="D586" s="13" t="n">
        <v>2</v>
      </c>
      <c r="E586" s="13" t="n">
        <v>28</v>
      </c>
      <c r="F586" s="13" t="n">
        <v>0</v>
      </c>
      <c r="G586" s="17" t="n">
        <v>0.0195788</v>
      </c>
      <c r="H586" s="13" t="n">
        <v>30</v>
      </c>
      <c r="I586" s="13" t="n">
        <v>2</v>
      </c>
      <c r="J586" s="13" t="n">
        <v>28</v>
      </c>
      <c r="K586" s="13" t="n">
        <v>0</v>
      </c>
      <c r="L586" s="17" t="n">
        <v>0.0195788</v>
      </c>
      <c r="M586" s="18" t="n">
        <f aca="false">IF(H586=0,"",I586/H586)</f>
        <v>0.0666666666666667</v>
      </c>
    </row>
    <row r="587" customFormat="false" ht="15" hidden="false" customHeight="false" outlineLevel="0" collapsed="false">
      <c r="A587" s="13" t="s">
        <v>57</v>
      </c>
      <c r="B587" s="13" t="s">
        <v>174</v>
      </c>
      <c r="C587" s="13" t="n">
        <v>0</v>
      </c>
      <c r="D587" s="13" t="n">
        <v>0</v>
      </c>
      <c r="E587" s="13" t="n">
        <v>0</v>
      </c>
      <c r="F587" s="13" t="n">
        <v>0</v>
      </c>
      <c r="G587" s="17" t="n">
        <v>0</v>
      </c>
      <c r="H587" s="13" t="n">
        <v>74</v>
      </c>
      <c r="I587" s="13" t="n">
        <v>43</v>
      </c>
      <c r="J587" s="13" t="n">
        <v>1</v>
      </c>
      <c r="K587" s="13" t="n">
        <v>0</v>
      </c>
      <c r="L587" s="17" t="n">
        <v>0.03441376</v>
      </c>
      <c r="M587" s="18" t="n">
        <f aca="false">IF(H587=0,"",I587/H587)</f>
        <v>0.581081081081081</v>
      </c>
    </row>
    <row r="588" customFormat="false" ht="15" hidden="false" customHeight="false" outlineLevel="0" collapsed="false">
      <c r="A588" s="13" t="s">
        <v>57</v>
      </c>
      <c r="B588" s="13" t="s">
        <v>175</v>
      </c>
      <c r="C588" s="13" t="n">
        <v>7</v>
      </c>
      <c r="D588" s="13" t="n">
        <v>0</v>
      </c>
      <c r="E588" s="13" t="n">
        <v>0</v>
      </c>
      <c r="F588" s="13" t="n">
        <v>7</v>
      </c>
      <c r="G588" s="17" t="n">
        <v>0</v>
      </c>
      <c r="H588" s="13" t="n">
        <v>55</v>
      </c>
      <c r="I588" s="13" t="n">
        <v>0</v>
      </c>
      <c r="J588" s="13" t="n">
        <v>0</v>
      </c>
      <c r="K588" s="13" t="n">
        <v>55</v>
      </c>
      <c r="L588" s="17" t="n">
        <v>0</v>
      </c>
      <c r="M588" s="18" t="n">
        <f aca="false">IF(H588=0,"",I588/H588)</f>
        <v>0</v>
      </c>
    </row>
    <row r="589" customFormat="false" ht="15" hidden="false" customHeight="false" outlineLevel="0" collapsed="false">
      <c r="A589" s="13" t="s">
        <v>57</v>
      </c>
      <c r="B589" s="13" t="s">
        <v>176</v>
      </c>
      <c r="C589" s="13" t="n">
        <v>223</v>
      </c>
      <c r="D589" s="13" t="n">
        <v>0</v>
      </c>
      <c r="E589" s="13" t="n">
        <v>0</v>
      </c>
      <c r="F589" s="13" t="n">
        <v>0</v>
      </c>
      <c r="G589" s="17" t="n">
        <v>0</v>
      </c>
      <c r="H589" s="13" t="n">
        <v>229</v>
      </c>
      <c r="I589" s="13" t="n">
        <v>0</v>
      </c>
      <c r="J589" s="13" t="n">
        <v>0</v>
      </c>
      <c r="K589" s="13" t="n">
        <v>0</v>
      </c>
      <c r="L589" s="17" t="n">
        <v>0</v>
      </c>
      <c r="M589" s="18" t="n">
        <f aca="false">IF(H589=0,"",I589/H589)</f>
        <v>0</v>
      </c>
    </row>
    <row r="590" customFormat="false" ht="15" hidden="false" customHeight="false" outlineLevel="0" collapsed="false">
      <c r="A590" s="13" t="s">
        <v>454</v>
      </c>
      <c r="B590" s="13" t="s">
        <v>176</v>
      </c>
      <c r="C590" s="13" t="n">
        <v>0</v>
      </c>
      <c r="D590" s="13" t="n">
        <v>0</v>
      </c>
      <c r="E590" s="13" t="n">
        <v>0</v>
      </c>
      <c r="F590" s="13" t="n">
        <v>0</v>
      </c>
      <c r="G590" s="17" t="n">
        <v>0</v>
      </c>
      <c r="H590" s="13" t="n">
        <v>1</v>
      </c>
      <c r="I590" s="13" t="n">
        <v>0</v>
      </c>
      <c r="J590" s="13" t="n">
        <v>0</v>
      </c>
      <c r="K590" s="13" t="n">
        <v>0</v>
      </c>
      <c r="L590" s="17" t="n">
        <v>0</v>
      </c>
      <c r="M590" s="18" t="n">
        <f aca="false">IF(H590=0,"",I590/H590)</f>
        <v>0</v>
      </c>
    </row>
    <row r="591" customFormat="false" ht="15" hidden="false" customHeight="false" outlineLevel="0" collapsed="false">
      <c r="A591" s="13" t="s">
        <v>455</v>
      </c>
      <c r="B591" s="13" t="s">
        <v>176</v>
      </c>
      <c r="C591" s="13" t="n">
        <v>0</v>
      </c>
      <c r="D591" s="13" t="n">
        <v>0</v>
      </c>
      <c r="E591" s="13" t="n">
        <v>0</v>
      </c>
      <c r="F591" s="13" t="n">
        <v>0</v>
      </c>
      <c r="G591" s="17" t="n">
        <v>0</v>
      </c>
      <c r="H591" s="13" t="n">
        <v>1</v>
      </c>
      <c r="I591" s="13" t="n">
        <v>0</v>
      </c>
      <c r="J591" s="13" t="n">
        <v>0</v>
      </c>
      <c r="K591" s="13" t="n">
        <v>0</v>
      </c>
      <c r="L591" s="17" t="n">
        <v>0</v>
      </c>
      <c r="M591" s="18" t="n">
        <f aca="false">IF(H591=0,"",I591/H591)</f>
        <v>0</v>
      </c>
    </row>
    <row r="592" customFormat="false" ht="15" hidden="false" customHeight="false" outlineLevel="0" collapsed="false">
      <c r="A592" s="13" t="s">
        <v>456</v>
      </c>
      <c r="B592" s="13" t="s">
        <v>176</v>
      </c>
      <c r="C592" s="13" t="n">
        <v>0</v>
      </c>
      <c r="D592" s="13" t="n">
        <v>0</v>
      </c>
      <c r="E592" s="13" t="n">
        <v>0</v>
      </c>
      <c r="F592" s="13" t="n">
        <v>0</v>
      </c>
      <c r="G592" s="17" t="n">
        <v>0</v>
      </c>
      <c r="H592" s="13" t="n">
        <v>1</v>
      </c>
      <c r="I592" s="13" t="n">
        <v>0</v>
      </c>
      <c r="J592" s="13" t="n">
        <v>0</v>
      </c>
      <c r="K592" s="13" t="n">
        <v>0</v>
      </c>
      <c r="L592" s="17" t="n">
        <v>0</v>
      </c>
      <c r="M592" s="18" t="n">
        <f aca="false">IF(H592=0,"",I592/H592)</f>
        <v>0</v>
      </c>
    </row>
    <row r="593" customFormat="false" ht="15" hidden="false" customHeight="false" outlineLevel="0" collapsed="false">
      <c r="A593" s="13" t="s">
        <v>457</v>
      </c>
      <c r="B593" s="13" t="s">
        <v>176</v>
      </c>
      <c r="C593" s="13" t="n">
        <v>0</v>
      </c>
      <c r="D593" s="13" t="n">
        <v>0</v>
      </c>
      <c r="E593" s="13" t="n">
        <v>0</v>
      </c>
      <c r="F593" s="13" t="n">
        <v>0</v>
      </c>
      <c r="G593" s="17" t="n">
        <v>0</v>
      </c>
      <c r="H593" s="13" t="n">
        <v>1</v>
      </c>
      <c r="I593" s="13" t="n">
        <v>0</v>
      </c>
      <c r="J593" s="13" t="n">
        <v>0</v>
      </c>
      <c r="K593" s="13" t="n">
        <v>0</v>
      </c>
      <c r="L593" s="17" t="n">
        <v>0</v>
      </c>
      <c r="M593" s="18" t="n">
        <f aca="false">IF(H593=0,"",I593/H593)</f>
        <v>0</v>
      </c>
    </row>
    <row r="594" customFormat="false" ht="15" hidden="false" customHeight="false" outlineLevel="0" collapsed="false">
      <c r="A594" s="13" t="s">
        <v>458</v>
      </c>
      <c r="B594" s="13" t="s">
        <v>170</v>
      </c>
      <c r="C594" s="13" t="n">
        <v>569</v>
      </c>
      <c r="D594" s="13" t="n">
        <v>569</v>
      </c>
      <c r="E594" s="13" t="n">
        <v>0</v>
      </c>
      <c r="F594" s="13" t="n">
        <v>0</v>
      </c>
      <c r="G594" s="17" t="n">
        <v>0</v>
      </c>
      <c r="H594" s="13" t="n">
        <v>569</v>
      </c>
      <c r="I594" s="13" t="n">
        <v>569</v>
      </c>
      <c r="J594" s="13" t="n">
        <v>0</v>
      </c>
      <c r="K594" s="13" t="n">
        <v>0</v>
      </c>
      <c r="L594" s="17" t="n">
        <v>0</v>
      </c>
      <c r="M594" s="18" t="n">
        <f aca="false">IF(H594=0,"",I594/H594)</f>
        <v>1</v>
      </c>
    </row>
    <row r="595" customFormat="false" ht="15" hidden="false" customHeight="false" outlineLevel="0" collapsed="false">
      <c r="A595" s="13" t="s">
        <v>458</v>
      </c>
      <c r="B595" s="13" t="s">
        <v>172</v>
      </c>
      <c r="C595" s="13" t="n">
        <v>2279</v>
      </c>
      <c r="D595" s="13" t="n">
        <v>1508</v>
      </c>
      <c r="E595" s="13" t="n">
        <v>761</v>
      </c>
      <c r="F595" s="13" t="n">
        <v>0</v>
      </c>
      <c r="G595" s="17" t="n">
        <v>1.3529208</v>
      </c>
      <c r="H595" s="13" t="n">
        <v>2279</v>
      </c>
      <c r="I595" s="13" t="n">
        <v>1508</v>
      </c>
      <c r="J595" s="13" t="n">
        <v>761</v>
      </c>
      <c r="K595" s="13" t="n">
        <v>0</v>
      </c>
      <c r="L595" s="17" t="n">
        <v>1.3529208</v>
      </c>
      <c r="M595" s="18" t="n">
        <f aca="false">IF(H595=0,"",I595/H595)</f>
        <v>0.661693725318122</v>
      </c>
    </row>
    <row r="596" customFormat="false" ht="15" hidden="false" customHeight="false" outlineLevel="0" collapsed="false">
      <c r="A596" s="13" t="s">
        <v>458</v>
      </c>
      <c r="B596" s="13" t="s">
        <v>173</v>
      </c>
      <c r="C596" s="13" t="n">
        <v>500</v>
      </c>
      <c r="D596" s="13" t="n">
        <v>4</v>
      </c>
      <c r="E596" s="13" t="n">
        <v>496</v>
      </c>
      <c r="F596" s="13" t="n">
        <v>0</v>
      </c>
      <c r="G596" s="17" t="n">
        <v>0.0223992</v>
      </c>
      <c r="H596" s="13" t="n">
        <v>500</v>
      </c>
      <c r="I596" s="13" t="n">
        <v>4</v>
      </c>
      <c r="J596" s="13" t="n">
        <v>496</v>
      </c>
      <c r="K596" s="13" t="n">
        <v>0</v>
      </c>
      <c r="L596" s="17" t="n">
        <v>0.0223992</v>
      </c>
      <c r="M596" s="18" t="n">
        <f aca="false">IF(H596=0,"",I596/H596)</f>
        <v>0.008</v>
      </c>
    </row>
    <row r="597" customFormat="false" ht="15" hidden="false" customHeight="false" outlineLevel="0" collapsed="false">
      <c r="A597" s="13" t="s">
        <v>458</v>
      </c>
      <c r="B597" s="13" t="s">
        <v>175</v>
      </c>
      <c r="C597" s="13" t="n">
        <v>15</v>
      </c>
      <c r="D597" s="13" t="n">
        <v>0</v>
      </c>
      <c r="E597" s="13" t="n">
        <v>0</v>
      </c>
      <c r="F597" s="13" t="n">
        <v>15</v>
      </c>
      <c r="G597" s="17" t="n">
        <v>0</v>
      </c>
      <c r="H597" s="13" t="n">
        <v>15</v>
      </c>
      <c r="I597" s="13" t="n">
        <v>0</v>
      </c>
      <c r="J597" s="13" t="n">
        <v>0</v>
      </c>
      <c r="K597" s="13" t="n">
        <v>15</v>
      </c>
      <c r="L597" s="17" t="n">
        <v>0</v>
      </c>
      <c r="M597" s="18" t="n">
        <f aca="false">IF(H597=0,"",I597/H597)</f>
        <v>0</v>
      </c>
    </row>
    <row r="598" customFormat="false" ht="15" hidden="false" customHeight="false" outlineLevel="0" collapsed="false">
      <c r="A598" s="13" t="s">
        <v>458</v>
      </c>
      <c r="B598" s="13" t="s">
        <v>176</v>
      </c>
      <c r="C598" s="13" t="n">
        <v>761</v>
      </c>
      <c r="D598" s="13" t="n">
        <v>0</v>
      </c>
      <c r="E598" s="13" t="n">
        <v>0</v>
      </c>
      <c r="F598" s="13" t="n">
        <v>0</v>
      </c>
      <c r="G598" s="17" t="n">
        <v>0</v>
      </c>
      <c r="H598" s="13" t="n">
        <v>761</v>
      </c>
      <c r="I598" s="13" t="n">
        <v>0</v>
      </c>
      <c r="J598" s="13" t="n">
        <v>0</v>
      </c>
      <c r="K598" s="13" t="n">
        <v>0</v>
      </c>
      <c r="L598" s="17" t="n">
        <v>0</v>
      </c>
      <c r="M598" s="18" t="n">
        <f aca="false">IF(H598=0,"",I598/H598)</f>
        <v>0</v>
      </c>
    </row>
    <row r="599" customFormat="false" ht="15" hidden="false" customHeight="false" outlineLevel="0" collapsed="false">
      <c r="A599" s="13" t="s">
        <v>459</v>
      </c>
      <c r="B599" s="13" t="s">
        <v>176</v>
      </c>
      <c r="C599" s="13" t="n">
        <v>0</v>
      </c>
      <c r="D599" s="13" t="n">
        <v>0</v>
      </c>
      <c r="E599" s="13" t="n">
        <v>0</v>
      </c>
      <c r="F599" s="13" t="n">
        <v>0</v>
      </c>
      <c r="G599" s="17" t="n">
        <v>0</v>
      </c>
      <c r="H599" s="13" t="n">
        <v>1</v>
      </c>
      <c r="I599" s="13" t="n">
        <v>0</v>
      </c>
      <c r="J599" s="13" t="n">
        <v>0</v>
      </c>
      <c r="K599" s="13" t="n">
        <v>0</v>
      </c>
      <c r="L599" s="17" t="n">
        <v>0</v>
      </c>
      <c r="M599" s="18" t="n">
        <f aca="false">IF(H599=0,"",I599/H599)</f>
        <v>0</v>
      </c>
    </row>
    <row r="600" customFormat="false" ht="15" hidden="false" customHeight="false" outlineLevel="0" collapsed="false">
      <c r="A600" s="13" t="s">
        <v>460</v>
      </c>
      <c r="B600" s="13" t="s">
        <v>176</v>
      </c>
      <c r="C600" s="13" t="n">
        <v>0</v>
      </c>
      <c r="D600" s="13" t="n">
        <v>0</v>
      </c>
      <c r="E600" s="13" t="n">
        <v>0</v>
      </c>
      <c r="F600" s="13" t="n">
        <v>0</v>
      </c>
      <c r="G600" s="17" t="n">
        <v>0</v>
      </c>
      <c r="H600" s="13" t="n">
        <v>1</v>
      </c>
      <c r="I600" s="13" t="n">
        <v>0</v>
      </c>
      <c r="J600" s="13" t="n">
        <v>0</v>
      </c>
      <c r="K600" s="13" t="n">
        <v>0</v>
      </c>
      <c r="L600" s="17" t="n">
        <v>0</v>
      </c>
      <c r="M600" s="18" t="n">
        <f aca="false">IF(H600=0,"",I600/H600)</f>
        <v>0</v>
      </c>
    </row>
    <row r="601" customFormat="false" ht="15" hidden="false" customHeight="false" outlineLevel="0" collapsed="false">
      <c r="A601" s="13" t="s">
        <v>461</v>
      </c>
      <c r="B601" s="13" t="s">
        <v>176</v>
      </c>
      <c r="C601" s="13" t="n">
        <v>0</v>
      </c>
      <c r="D601" s="13" t="n">
        <v>0</v>
      </c>
      <c r="E601" s="13" t="n">
        <v>0</v>
      </c>
      <c r="F601" s="13" t="n">
        <v>0</v>
      </c>
      <c r="G601" s="17" t="n">
        <v>0</v>
      </c>
      <c r="H601" s="13" t="n">
        <v>1</v>
      </c>
      <c r="I601" s="13" t="n">
        <v>0</v>
      </c>
      <c r="J601" s="13" t="n">
        <v>0</v>
      </c>
      <c r="K601" s="13" t="n">
        <v>0</v>
      </c>
      <c r="L601" s="17" t="n">
        <v>0</v>
      </c>
      <c r="M601" s="18" t="n">
        <f aca="false">IF(H601=0,"",I601/H601)</f>
        <v>0</v>
      </c>
    </row>
    <row r="602" customFormat="false" ht="15" hidden="false" customHeight="false" outlineLevel="0" collapsed="false">
      <c r="A602" s="13" t="s">
        <v>462</v>
      </c>
      <c r="B602" s="13" t="s">
        <v>176</v>
      </c>
      <c r="C602" s="13" t="n">
        <v>0</v>
      </c>
      <c r="D602" s="13" t="n">
        <v>0</v>
      </c>
      <c r="E602" s="13" t="n">
        <v>0</v>
      </c>
      <c r="F602" s="13" t="n">
        <v>0</v>
      </c>
      <c r="G602" s="17" t="n">
        <v>0</v>
      </c>
      <c r="H602" s="13" t="n">
        <v>1</v>
      </c>
      <c r="I602" s="13" t="n">
        <v>0</v>
      </c>
      <c r="J602" s="13" t="n">
        <v>0</v>
      </c>
      <c r="K602" s="13" t="n">
        <v>0</v>
      </c>
      <c r="L602" s="17" t="n">
        <v>0</v>
      </c>
      <c r="M602" s="18" t="n">
        <f aca="false">IF(H602=0,"",I602/H602)</f>
        <v>0</v>
      </c>
    </row>
    <row r="603" customFormat="false" ht="15" hidden="false" customHeight="false" outlineLevel="0" collapsed="false">
      <c r="A603" s="13" t="s">
        <v>463</v>
      </c>
      <c r="B603" s="13" t="s">
        <v>176</v>
      </c>
      <c r="C603" s="13" t="n">
        <v>0</v>
      </c>
      <c r="D603" s="13" t="n">
        <v>0</v>
      </c>
      <c r="E603" s="13" t="n">
        <v>0</v>
      </c>
      <c r="F603" s="13" t="n">
        <v>0</v>
      </c>
      <c r="G603" s="17" t="n">
        <v>0</v>
      </c>
      <c r="H603" s="13" t="n">
        <v>1</v>
      </c>
      <c r="I603" s="13" t="n">
        <v>0</v>
      </c>
      <c r="J603" s="13" t="n">
        <v>0</v>
      </c>
      <c r="K603" s="13" t="n">
        <v>0</v>
      </c>
      <c r="L603" s="17" t="n">
        <v>0</v>
      </c>
      <c r="M603" s="18" t="n">
        <f aca="false">IF(H603=0,"",I603/H603)</f>
        <v>0</v>
      </c>
    </row>
    <row r="604" customFormat="false" ht="15" hidden="false" customHeight="false" outlineLevel="0" collapsed="false">
      <c r="A604" s="13" t="s">
        <v>464</v>
      </c>
      <c r="B604" s="13" t="s">
        <v>176</v>
      </c>
      <c r="C604" s="13" t="n">
        <v>0</v>
      </c>
      <c r="D604" s="13" t="n">
        <v>0</v>
      </c>
      <c r="E604" s="13" t="n">
        <v>0</v>
      </c>
      <c r="F604" s="13" t="n">
        <v>0</v>
      </c>
      <c r="G604" s="17" t="n">
        <v>0</v>
      </c>
      <c r="H604" s="13" t="n">
        <v>1</v>
      </c>
      <c r="I604" s="13" t="n">
        <v>0</v>
      </c>
      <c r="J604" s="13" t="n">
        <v>0</v>
      </c>
      <c r="K604" s="13" t="n">
        <v>0</v>
      </c>
      <c r="L604" s="17" t="n">
        <v>0</v>
      </c>
      <c r="M604" s="18" t="n">
        <f aca="false">IF(H604=0,"",I604/H604)</f>
        <v>0</v>
      </c>
    </row>
    <row r="605" customFormat="false" ht="15" hidden="false" customHeight="false" outlineLevel="0" collapsed="false">
      <c r="A605" s="13" t="s">
        <v>465</v>
      </c>
      <c r="B605" s="13" t="s">
        <v>176</v>
      </c>
      <c r="C605" s="13" t="n">
        <v>0</v>
      </c>
      <c r="D605" s="13" t="n">
        <v>0</v>
      </c>
      <c r="E605" s="13" t="n">
        <v>0</v>
      </c>
      <c r="F605" s="13" t="n">
        <v>0</v>
      </c>
      <c r="G605" s="17" t="n">
        <v>0</v>
      </c>
      <c r="H605" s="13" t="n">
        <v>1</v>
      </c>
      <c r="I605" s="13" t="n">
        <v>0</v>
      </c>
      <c r="J605" s="13" t="n">
        <v>0</v>
      </c>
      <c r="K605" s="13" t="n">
        <v>0</v>
      </c>
      <c r="L605" s="17" t="n">
        <v>0</v>
      </c>
      <c r="M605" s="18" t="n">
        <f aca="false">IF(H605=0,"",I605/H605)</f>
        <v>0</v>
      </c>
    </row>
    <row r="606" customFormat="false" ht="15" hidden="false" customHeight="false" outlineLevel="0" collapsed="false">
      <c r="A606" s="13" t="s">
        <v>466</v>
      </c>
      <c r="B606" s="13" t="s">
        <v>176</v>
      </c>
      <c r="C606" s="13" t="n">
        <v>0</v>
      </c>
      <c r="D606" s="13" t="n">
        <v>0</v>
      </c>
      <c r="E606" s="13" t="n">
        <v>0</v>
      </c>
      <c r="F606" s="13" t="n">
        <v>0</v>
      </c>
      <c r="G606" s="17" t="n">
        <v>0</v>
      </c>
      <c r="H606" s="13" t="n">
        <v>1</v>
      </c>
      <c r="I606" s="13" t="n">
        <v>0</v>
      </c>
      <c r="J606" s="13" t="n">
        <v>0</v>
      </c>
      <c r="K606" s="13" t="n">
        <v>0</v>
      </c>
      <c r="L606" s="17" t="n">
        <v>0</v>
      </c>
      <c r="M606" s="18" t="n">
        <f aca="false">IF(H606=0,"",I606/H606)</f>
        <v>0</v>
      </c>
    </row>
    <row r="607" customFormat="false" ht="15" hidden="false" customHeight="false" outlineLevel="0" collapsed="false">
      <c r="A607" s="13" t="s">
        <v>467</v>
      </c>
      <c r="B607" s="13" t="s">
        <v>176</v>
      </c>
      <c r="C607" s="13" t="n">
        <v>0</v>
      </c>
      <c r="D607" s="13" t="n">
        <v>0</v>
      </c>
      <c r="E607" s="13" t="n">
        <v>0</v>
      </c>
      <c r="F607" s="13" t="n">
        <v>0</v>
      </c>
      <c r="G607" s="17" t="n">
        <v>0</v>
      </c>
      <c r="H607" s="13" t="n">
        <v>1</v>
      </c>
      <c r="I607" s="13" t="n">
        <v>0</v>
      </c>
      <c r="J607" s="13" t="n">
        <v>0</v>
      </c>
      <c r="K607" s="13" t="n">
        <v>0</v>
      </c>
      <c r="L607" s="17" t="n">
        <v>0</v>
      </c>
      <c r="M607" s="18" t="n">
        <f aca="false">IF(H607=0,"",I607/H607)</f>
        <v>0</v>
      </c>
    </row>
    <row r="608" customFormat="false" ht="15" hidden="false" customHeight="false" outlineLevel="0" collapsed="false">
      <c r="A608" s="13" t="s">
        <v>468</v>
      </c>
      <c r="B608" s="13" t="s">
        <v>176</v>
      </c>
      <c r="C608" s="13" t="n">
        <v>0</v>
      </c>
      <c r="D608" s="13" t="n">
        <v>0</v>
      </c>
      <c r="E608" s="13" t="n">
        <v>0</v>
      </c>
      <c r="F608" s="13" t="n">
        <v>0</v>
      </c>
      <c r="G608" s="17" t="n">
        <v>0</v>
      </c>
      <c r="H608" s="13" t="n">
        <v>1</v>
      </c>
      <c r="I608" s="13" t="n">
        <v>0</v>
      </c>
      <c r="J608" s="13" t="n">
        <v>0</v>
      </c>
      <c r="K608" s="13" t="n">
        <v>0</v>
      </c>
      <c r="L608" s="17" t="n">
        <v>0</v>
      </c>
      <c r="M608" s="18" t="n">
        <f aca="false">IF(H608=0,"",I608/H608)</f>
        <v>0</v>
      </c>
    </row>
    <row r="609" customFormat="false" ht="15" hidden="false" customHeight="false" outlineLevel="0" collapsed="false">
      <c r="A609" s="13" t="s">
        <v>469</v>
      </c>
      <c r="B609" s="13" t="s">
        <v>176</v>
      </c>
      <c r="C609" s="13" t="n">
        <v>0</v>
      </c>
      <c r="D609" s="13" t="n">
        <v>0</v>
      </c>
      <c r="E609" s="13" t="n">
        <v>0</v>
      </c>
      <c r="F609" s="13" t="n">
        <v>0</v>
      </c>
      <c r="G609" s="17" t="n">
        <v>0</v>
      </c>
      <c r="H609" s="13" t="n">
        <v>1</v>
      </c>
      <c r="I609" s="13" t="n">
        <v>0</v>
      </c>
      <c r="J609" s="13" t="n">
        <v>0</v>
      </c>
      <c r="K609" s="13" t="n">
        <v>0</v>
      </c>
      <c r="L609" s="17" t="n">
        <v>0</v>
      </c>
      <c r="M609" s="18" t="n">
        <f aca="false">IF(H609=0,"",I609/H609)</f>
        <v>0</v>
      </c>
    </row>
    <row r="610" customFormat="false" ht="15" hidden="false" customHeight="false" outlineLevel="0" collapsed="false">
      <c r="A610" s="13" t="s">
        <v>135</v>
      </c>
      <c r="B610" s="13" t="s">
        <v>170</v>
      </c>
      <c r="C610" s="13" t="n">
        <v>8</v>
      </c>
      <c r="D610" s="13" t="n">
        <v>7</v>
      </c>
      <c r="E610" s="13" t="n">
        <v>1</v>
      </c>
      <c r="F610" s="13" t="n">
        <v>0</v>
      </c>
      <c r="G610" s="17" t="n">
        <v>0</v>
      </c>
      <c r="H610" s="13" t="n">
        <v>8</v>
      </c>
      <c r="I610" s="13" t="n">
        <v>7</v>
      </c>
      <c r="J610" s="13" t="n">
        <v>1</v>
      </c>
      <c r="K610" s="13" t="n">
        <v>0</v>
      </c>
      <c r="L610" s="17" t="n">
        <v>0</v>
      </c>
      <c r="M610" s="18" t="n">
        <f aca="false">IF(H610=0,"",I610/H610)</f>
        <v>0.875</v>
      </c>
    </row>
    <row r="611" customFormat="false" ht="15" hidden="false" customHeight="false" outlineLevel="0" collapsed="false">
      <c r="A611" s="13" t="s">
        <v>135</v>
      </c>
      <c r="B611" s="13" t="s">
        <v>172</v>
      </c>
      <c r="C611" s="13" t="n">
        <v>27</v>
      </c>
      <c r="D611" s="13" t="n">
        <v>3</v>
      </c>
      <c r="E611" s="13" t="n">
        <v>22</v>
      </c>
      <c r="F611" s="13" t="n">
        <v>0</v>
      </c>
      <c r="G611" s="17" t="n">
        <v>0.0249256</v>
      </c>
      <c r="H611" s="13" t="n">
        <v>48</v>
      </c>
      <c r="I611" s="13" t="n">
        <v>22</v>
      </c>
      <c r="J611" s="13" t="n">
        <v>23</v>
      </c>
      <c r="K611" s="13" t="n">
        <v>0</v>
      </c>
      <c r="L611" s="17" t="n">
        <v>0.0319272</v>
      </c>
      <c r="M611" s="18" t="n">
        <f aca="false">IF(H611=0,"",I611/H611)</f>
        <v>0.458333333333333</v>
      </c>
    </row>
    <row r="612" customFormat="false" ht="15" hidden="false" customHeight="false" outlineLevel="0" collapsed="false">
      <c r="A612" s="13" t="s">
        <v>135</v>
      </c>
      <c r="B612" s="13" t="s">
        <v>173</v>
      </c>
      <c r="C612" s="13" t="n">
        <v>3</v>
      </c>
      <c r="D612" s="13" t="n">
        <v>0</v>
      </c>
      <c r="E612" s="13" t="n">
        <v>3</v>
      </c>
      <c r="F612" s="13" t="n">
        <v>0</v>
      </c>
      <c r="G612" s="17" t="n">
        <v>0</v>
      </c>
      <c r="H612" s="13" t="n">
        <v>3</v>
      </c>
      <c r="I612" s="13" t="n">
        <v>0</v>
      </c>
      <c r="J612" s="13" t="n">
        <v>3</v>
      </c>
      <c r="K612" s="13" t="n">
        <v>0</v>
      </c>
      <c r="L612" s="17" t="n">
        <v>0</v>
      </c>
      <c r="M612" s="18" t="n">
        <f aca="false">IF(H612=0,"",I612/H612)</f>
        <v>0</v>
      </c>
    </row>
    <row r="613" customFormat="false" ht="15" hidden="false" customHeight="false" outlineLevel="0" collapsed="false">
      <c r="A613" s="13" t="s">
        <v>135</v>
      </c>
      <c r="B613" s="13" t="s">
        <v>174</v>
      </c>
      <c r="C613" s="13" t="n">
        <v>0</v>
      </c>
      <c r="D613" s="13" t="n">
        <v>0</v>
      </c>
      <c r="E613" s="13" t="n">
        <v>0</v>
      </c>
      <c r="F613" s="13" t="n">
        <v>0</v>
      </c>
      <c r="G613" s="17" t="n">
        <v>0</v>
      </c>
      <c r="H613" s="13" t="n">
        <v>7</v>
      </c>
      <c r="I613" s="13" t="n">
        <v>5</v>
      </c>
      <c r="J613" s="13" t="n">
        <v>0</v>
      </c>
      <c r="K613" s="13" t="n">
        <v>0</v>
      </c>
      <c r="L613" s="17" t="n">
        <v>0.00332357</v>
      </c>
      <c r="M613" s="18" t="n">
        <f aca="false">IF(H613=0,"",I613/H613)</f>
        <v>0.714285714285714</v>
      </c>
    </row>
    <row r="614" customFormat="false" ht="15" hidden="false" customHeight="false" outlineLevel="0" collapsed="false">
      <c r="A614" s="13" t="s">
        <v>135</v>
      </c>
      <c r="B614" s="13" t="s">
        <v>175</v>
      </c>
      <c r="C614" s="13" t="n">
        <v>0</v>
      </c>
      <c r="D614" s="13" t="n">
        <v>0</v>
      </c>
      <c r="E614" s="13" t="n">
        <v>0</v>
      </c>
      <c r="F614" s="13" t="n">
        <v>0</v>
      </c>
      <c r="G614" s="17" t="n">
        <v>0</v>
      </c>
      <c r="H614" s="13" t="n">
        <v>6</v>
      </c>
      <c r="I614" s="13" t="n">
        <v>0</v>
      </c>
      <c r="J614" s="13" t="n">
        <v>0</v>
      </c>
      <c r="K614" s="13" t="n">
        <v>6</v>
      </c>
      <c r="L614" s="17" t="n">
        <v>0</v>
      </c>
      <c r="M614" s="18" t="n">
        <f aca="false">IF(H614=0,"",I614/H614)</f>
        <v>0</v>
      </c>
    </row>
    <row r="615" customFormat="false" ht="15" hidden="false" customHeight="false" outlineLevel="0" collapsed="false">
      <c r="A615" s="13" t="s">
        <v>135</v>
      </c>
      <c r="B615" s="13" t="s">
        <v>176</v>
      </c>
      <c r="C615" s="13" t="n">
        <v>12</v>
      </c>
      <c r="D615" s="13" t="n">
        <v>0</v>
      </c>
      <c r="E615" s="13" t="n">
        <v>0</v>
      </c>
      <c r="F615" s="13" t="n">
        <v>0</v>
      </c>
      <c r="G615" s="17" t="n">
        <v>0</v>
      </c>
      <c r="H615" s="13" t="n">
        <v>13</v>
      </c>
      <c r="I615" s="13" t="n">
        <v>0</v>
      </c>
      <c r="J615" s="13" t="n">
        <v>0</v>
      </c>
      <c r="K615" s="13" t="n">
        <v>0</v>
      </c>
      <c r="L615" s="17" t="n">
        <v>0</v>
      </c>
      <c r="M615" s="18" t="n">
        <f aca="false">IF(H615=0,"",I615/H615)</f>
        <v>0</v>
      </c>
    </row>
    <row r="616" customFormat="false" ht="15" hidden="false" customHeight="false" outlineLevel="0" collapsed="false">
      <c r="A616" s="13" t="s">
        <v>99</v>
      </c>
      <c r="B616" s="13" t="s">
        <v>169</v>
      </c>
      <c r="C616" s="13" t="n">
        <v>0</v>
      </c>
      <c r="D616" s="13" t="n">
        <v>0</v>
      </c>
      <c r="E616" s="13" t="n">
        <v>0</v>
      </c>
      <c r="F616" s="13" t="n">
        <v>0</v>
      </c>
      <c r="G616" s="17" t="n">
        <v>0</v>
      </c>
      <c r="H616" s="13" t="n">
        <v>12</v>
      </c>
      <c r="I616" s="13" t="n">
        <v>0</v>
      </c>
      <c r="J616" s="13" t="n">
        <v>12</v>
      </c>
      <c r="K616" s="13" t="n">
        <v>24</v>
      </c>
      <c r="L616" s="17" t="n">
        <v>0</v>
      </c>
      <c r="M616" s="18" t="n">
        <f aca="false">IF(H616=0,"",I616/H616)</f>
        <v>0</v>
      </c>
    </row>
    <row r="617" customFormat="false" ht="15" hidden="false" customHeight="false" outlineLevel="0" collapsed="false">
      <c r="A617" s="13" t="s">
        <v>99</v>
      </c>
      <c r="B617" s="13" t="s">
        <v>170</v>
      </c>
      <c r="C617" s="13" t="n">
        <v>0</v>
      </c>
      <c r="D617" s="13" t="n">
        <v>0</v>
      </c>
      <c r="E617" s="13" t="n">
        <v>0</v>
      </c>
      <c r="F617" s="13" t="n">
        <v>0</v>
      </c>
      <c r="G617" s="17" t="n">
        <v>0</v>
      </c>
      <c r="H617" s="13" t="n">
        <v>12</v>
      </c>
      <c r="I617" s="13" t="n">
        <v>0</v>
      </c>
      <c r="J617" s="13" t="n">
        <v>0</v>
      </c>
      <c r="K617" s="13" t="n">
        <v>0</v>
      </c>
      <c r="L617" s="17" t="n">
        <v>0</v>
      </c>
      <c r="M617" s="18" t="n">
        <f aca="false">IF(H617=0,"",I617/H617)</f>
        <v>0</v>
      </c>
    </row>
    <row r="618" customFormat="false" ht="15" hidden="false" customHeight="false" outlineLevel="0" collapsed="false">
      <c r="A618" s="13" t="s">
        <v>99</v>
      </c>
      <c r="B618" s="13" t="s">
        <v>172</v>
      </c>
      <c r="C618" s="13" t="n">
        <v>42</v>
      </c>
      <c r="D618" s="13" t="n">
        <v>0</v>
      </c>
      <c r="E618" s="13" t="n">
        <v>42</v>
      </c>
      <c r="F618" s="13" t="n">
        <v>0</v>
      </c>
      <c r="G618" s="17" t="n">
        <v>0.0357098666666667</v>
      </c>
      <c r="H618" s="13" t="n">
        <v>61</v>
      </c>
      <c r="I618" s="13" t="n">
        <v>10</v>
      </c>
      <c r="J618" s="13" t="n">
        <v>51</v>
      </c>
      <c r="K618" s="13" t="n">
        <v>0</v>
      </c>
      <c r="L618" s="17" t="n">
        <v>0.0470586666666667</v>
      </c>
      <c r="M618" s="18" t="n">
        <f aca="false">IF(H618=0,"",I618/H618)</f>
        <v>0.163934426229508</v>
      </c>
    </row>
    <row r="619" customFormat="false" ht="15" hidden="false" customHeight="false" outlineLevel="0" collapsed="false">
      <c r="A619" s="13" t="s">
        <v>99</v>
      </c>
      <c r="B619" s="13" t="s">
        <v>174</v>
      </c>
      <c r="C619" s="13" t="n">
        <v>0</v>
      </c>
      <c r="D619" s="13" t="n">
        <v>0</v>
      </c>
      <c r="E619" s="13" t="n">
        <v>0</v>
      </c>
      <c r="F619" s="13" t="n">
        <v>0</v>
      </c>
      <c r="G619" s="17" t="n">
        <v>0</v>
      </c>
      <c r="H619" s="13" t="n">
        <v>43</v>
      </c>
      <c r="I619" s="13" t="n">
        <v>35</v>
      </c>
      <c r="J619" s="13" t="n">
        <v>0</v>
      </c>
      <c r="K619" s="13" t="n">
        <v>0</v>
      </c>
      <c r="L619" s="17" t="n">
        <v>0.01975069</v>
      </c>
      <c r="M619" s="18" t="n">
        <f aca="false">IF(H619=0,"",I619/H619)</f>
        <v>0.813953488372093</v>
      </c>
    </row>
    <row r="620" customFormat="false" ht="15" hidden="false" customHeight="false" outlineLevel="0" collapsed="false">
      <c r="A620" s="13" t="s">
        <v>99</v>
      </c>
      <c r="B620" s="13" t="s">
        <v>175</v>
      </c>
      <c r="C620" s="13" t="n">
        <v>0</v>
      </c>
      <c r="D620" s="13" t="n">
        <v>0</v>
      </c>
      <c r="E620" s="13" t="n">
        <v>0</v>
      </c>
      <c r="F620" s="13" t="n">
        <v>0</v>
      </c>
      <c r="G620" s="17" t="n">
        <v>0</v>
      </c>
      <c r="H620" s="13" t="n">
        <v>37</v>
      </c>
      <c r="I620" s="13" t="n">
        <v>0</v>
      </c>
      <c r="J620" s="13" t="n">
        <v>0</v>
      </c>
      <c r="K620" s="13" t="n">
        <v>37</v>
      </c>
      <c r="L620" s="17" t="n">
        <v>0</v>
      </c>
      <c r="M620" s="18" t="n">
        <f aca="false">IF(H620=0,"",I620/H620)</f>
        <v>0</v>
      </c>
    </row>
    <row r="621" customFormat="false" ht="15" hidden="false" customHeight="false" outlineLevel="0" collapsed="false">
      <c r="A621" s="13" t="s">
        <v>99</v>
      </c>
      <c r="B621" s="13" t="s">
        <v>176</v>
      </c>
      <c r="C621" s="13" t="n">
        <v>12</v>
      </c>
      <c r="D621" s="13" t="n">
        <v>0</v>
      </c>
      <c r="E621" s="13" t="n">
        <v>0</v>
      </c>
      <c r="F621" s="13" t="n">
        <v>0</v>
      </c>
      <c r="G621" s="17" t="n">
        <v>0</v>
      </c>
      <c r="H621" s="13" t="n">
        <v>18</v>
      </c>
      <c r="I621" s="13" t="n">
        <v>0</v>
      </c>
      <c r="J621" s="13" t="n">
        <v>0</v>
      </c>
      <c r="K621" s="13" t="n">
        <v>0</v>
      </c>
      <c r="L621" s="17" t="n">
        <v>0</v>
      </c>
      <c r="M621" s="18" t="n">
        <f aca="false">IF(H621=0,"",I621/H621)</f>
        <v>0</v>
      </c>
    </row>
    <row r="622" customFormat="false" ht="15" hidden="false" customHeight="false" outlineLevel="0" collapsed="false">
      <c r="A622" s="13" t="s">
        <v>470</v>
      </c>
      <c r="B622" s="13" t="s">
        <v>176</v>
      </c>
      <c r="C622" s="13" t="n">
        <v>0</v>
      </c>
      <c r="D622" s="13" t="n">
        <v>0</v>
      </c>
      <c r="E622" s="13" t="n">
        <v>0</v>
      </c>
      <c r="F622" s="13" t="n">
        <v>0</v>
      </c>
      <c r="G622" s="17" t="n">
        <v>0</v>
      </c>
      <c r="H622" s="13" t="n">
        <v>1</v>
      </c>
      <c r="I622" s="13" t="n">
        <v>0</v>
      </c>
      <c r="J622" s="13" t="n">
        <v>0</v>
      </c>
      <c r="K622" s="13" t="n">
        <v>0</v>
      </c>
      <c r="L622" s="17" t="n">
        <v>0</v>
      </c>
      <c r="M622" s="18" t="n">
        <f aca="false">IF(H622=0,"",I622/H622)</f>
        <v>0</v>
      </c>
    </row>
    <row r="623" customFormat="false" ht="15" hidden="false" customHeight="false" outlineLevel="0" collapsed="false">
      <c r="A623" s="13" t="s">
        <v>471</v>
      </c>
      <c r="B623" s="13" t="s">
        <v>176</v>
      </c>
      <c r="C623" s="13" t="n">
        <v>0</v>
      </c>
      <c r="D623" s="13" t="n">
        <v>0</v>
      </c>
      <c r="E623" s="13" t="n">
        <v>0</v>
      </c>
      <c r="F623" s="13" t="n">
        <v>0</v>
      </c>
      <c r="G623" s="17" t="n">
        <v>0</v>
      </c>
      <c r="H623" s="13" t="n">
        <v>1</v>
      </c>
      <c r="I623" s="13" t="n">
        <v>0</v>
      </c>
      <c r="J623" s="13" t="n">
        <v>0</v>
      </c>
      <c r="K623" s="13" t="n">
        <v>0</v>
      </c>
      <c r="L623" s="17" t="n">
        <v>0</v>
      </c>
      <c r="M623" s="18" t="n">
        <f aca="false">IF(H623=0,"",I623/H623)</f>
        <v>0</v>
      </c>
    </row>
    <row r="624" customFormat="false" ht="15" hidden="false" customHeight="false" outlineLevel="0" collapsed="false">
      <c r="A624" s="13" t="s">
        <v>472</v>
      </c>
      <c r="B624" s="13" t="s">
        <v>176</v>
      </c>
      <c r="C624" s="13" t="n">
        <v>0</v>
      </c>
      <c r="D624" s="13" t="n">
        <v>0</v>
      </c>
      <c r="E624" s="13" t="n">
        <v>0</v>
      </c>
      <c r="F624" s="13" t="n">
        <v>0</v>
      </c>
      <c r="G624" s="17" t="n">
        <v>0</v>
      </c>
      <c r="H624" s="13" t="n">
        <v>1</v>
      </c>
      <c r="I624" s="13" t="n">
        <v>0</v>
      </c>
      <c r="J624" s="13" t="n">
        <v>0</v>
      </c>
      <c r="K624" s="13" t="n">
        <v>0</v>
      </c>
      <c r="L624" s="17" t="n">
        <v>0</v>
      </c>
      <c r="M624" s="18" t="n">
        <f aca="false">IF(H624=0,"",I624/H624)</f>
        <v>0</v>
      </c>
    </row>
    <row r="625" customFormat="false" ht="15" hidden="false" customHeight="false" outlineLevel="0" collapsed="false">
      <c r="A625" s="13" t="s">
        <v>473</v>
      </c>
      <c r="B625" s="13" t="s">
        <v>176</v>
      </c>
      <c r="C625" s="13" t="n">
        <v>0</v>
      </c>
      <c r="D625" s="13" t="n">
        <v>0</v>
      </c>
      <c r="E625" s="13" t="n">
        <v>0</v>
      </c>
      <c r="F625" s="13" t="n">
        <v>0</v>
      </c>
      <c r="G625" s="17" t="n">
        <v>0</v>
      </c>
      <c r="H625" s="13" t="n">
        <v>1</v>
      </c>
      <c r="I625" s="13" t="n">
        <v>0</v>
      </c>
      <c r="J625" s="13" t="n">
        <v>0</v>
      </c>
      <c r="K625" s="13" t="n">
        <v>0</v>
      </c>
      <c r="L625" s="17" t="n">
        <v>0</v>
      </c>
      <c r="M625" s="18" t="n">
        <f aca="false">IF(H625=0,"",I625/H625)</f>
        <v>0</v>
      </c>
    </row>
    <row r="626" customFormat="false" ht="15" hidden="false" customHeight="false" outlineLevel="0" collapsed="false">
      <c r="A626" s="13" t="s">
        <v>474</v>
      </c>
      <c r="B626" s="13" t="s">
        <v>176</v>
      </c>
      <c r="C626" s="13" t="n">
        <v>0</v>
      </c>
      <c r="D626" s="13" t="n">
        <v>0</v>
      </c>
      <c r="E626" s="13" t="n">
        <v>0</v>
      </c>
      <c r="F626" s="13" t="n">
        <v>0</v>
      </c>
      <c r="G626" s="17" t="n">
        <v>0</v>
      </c>
      <c r="H626" s="13" t="n">
        <v>1</v>
      </c>
      <c r="I626" s="13" t="n">
        <v>0</v>
      </c>
      <c r="J626" s="13" t="n">
        <v>0</v>
      </c>
      <c r="K626" s="13" t="n">
        <v>0</v>
      </c>
      <c r="L626" s="17" t="n">
        <v>0</v>
      </c>
      <c r="M626" s="18" t="n">
        <f aca="false">IF(H626=0,"",I626/H626)</f>
        <v>0</v>
      </c>
    </row>
    <row r="627" customFormat="false" ht="15" hidden="false" customHeight="false" outlineLevel="0" collapsed="false">
      <c r="A627" s="13" t="s">
        <v>475</v>
      </c>
      <c r="B627" s="13" t="s">
        <v>176</v>
      </c>
      <c r="C627" s="13" t="n">
        <v>0</v>
      </c>
      <c r="D627" s="13" t="n">
        <v>0</v>
      </c>
      <c r="E627" s="13" t="n">
        <v>0</v>
      </c>
      <c r="F627" s="13" t="n">
        <v>0</v>
      </c>
      <c r="G627" s="17" t="n">
        <v>0</v>
      </c>
      <c r="H627" s="13" t="n">
        <v>1</v>
      </c>
      <c r="I627" s="13" t="n">
        <v>0</v>
      </c>
      <c r="J627" s="13" t="n">
        <v>0</v>
      </c>
      <c r="K627" s="13" t="n">
        <v>0</v>
      </c>
      <c r="L627" s="17" t="n">
        <v>0</v>
      </c>
      <c r="M627" s="18" t="n">
        <f aca="false">IF(H627=0,"",I627/H627)</f>
        <v>0</v>
      </c>
    </row>
    <row r="628" customFormat="false" ht="15" hidden="false" customHeight="false" outlineLevel="0" collapsed="false">
      <c r="A628" s="13" t="s">
        <v>476</v>
      </c>
      <c r="B628" s="13" t="s">
        <v>176</v>
      </c>
      <c r="C628" s="13" t="n">
        <v>0</v>
      </c>
      <c r="D628" s="13" t="n">
        <v>0</v>
      </c>
      <c r="E628" s="13" t="n">
        <v>0</v>
      </c>
      <c r="F628" s="13" t="n">
        <v>0</v>
      </c>
      <c r="G628" s="17" t="n">
        <v>0</v>
      </c>
      <c r="H628" s="13" t="n">
        <v>1</v>
      </c>
      <c r="I628" s="13" t="n">
        <v>0</v>
      </c>
      <c r="J628" s="13" t="n">
        <v>0</v>
      </c>
      <c r="K628" s="13" t="n">
        <v>0</v>
      </c>
      <c r="L628" s="17" t="n">
        <v>0</v>
      </c>
      <c r="M628" s="18" t="n">
        <f aca="false">IF(H628=0,"",I628/H628)</f>
        <v>0</v>
      </c>
    </row>
    <row r="629" customFormat="false" ht="15" hidden="false" customHeight="false" outlineLevel="0" collapsed="false">
      <c r="A629" s="13" t="s">
        <v>477</v>
      </c>
      <c r="B629" s="13" t="s">
        <v>176</v>
      </c>
      <c r="C629" s="13" t="n">
        <v>0</v>
      </c>
      <c r="D629" s="13" t="n">
        <v>0</v>
      </c>
      <c r="E629" s="13" t="n">
        <v>0</v>
      </c>
      <c r="F629" s="13" t="n">
        <v>0</v>
      </c>
      <c r="G629" s="17" t="n">
        <v>0</v>
      </c>
      <c r="H629" s="13" t="n">
        <v>1</v>
      </c>
      <c r="I629" s="13" t="n">
        <v>0</v>
      </c>
      <c r="J629" s="13" t="n">
        <v>0</v>
      </c>
      <c r="K629" s="13" t="n">
        <v>0</v>
      </c>
      <c r="L629" s="17" t="n">
        <v>0</v>
      </c>
      <c r="M629" s="18" t="n">
        <f aca="false">IF(H629=0,"",I629/H629)</f>
        <v>0</v>
      </c>
    </row>
    <row r="630" customFormat="false" ht="15" hidden="false" customHeight="false" outlineLevel="0" collapsed="false">
      <c r="A630" s="13" t="s">
        <v>478</v>
      </c>
      <c r="B630" s="13" t="s">
        <v>176</v>
      </c>
      <c r="C630" s="13" t="n">
        <v>0</v>
      </c>
      <c r="D630" s="13" t="n">
        <v>0</v>
      </c>
      <c r="E630" s="13" t="n">
        <v>0</v>
      </c>
      <c r="F630" s="13" t="n">
        <v>0</v>
      </c>
      <c r="G630" s="17" t="n">
        <v>0</v>
      </c>
      <c r="H630" s="13" t="n">
        <v>1</v>
      </c>
      <c r="I630" s="13" t="n">
        <v>0</v>
      </c>
      <c r="J630" s="13" t="n">
        <v>0</v>
      </c>
      <c r="K630" s="13" t="n">
        <v>0</v>
      </c>
      <c r="L630" s="17" t="n">
        <v>0</v>
      </c>
      <c r="M630" s="18" t="n">
        <f aca="false">IF(H630=0,"",I630/H630)</f>
        <v>0</v>
      </c>
    </row>
    <row r="631" customFormat="false" ht="15" hidden="false" customHeight="false" outlineLevel="0" collapsed="false">
      <c r="A631" s="13" t="s">
        <v>479</v>
      </c>
      <c r="B631" s="13" t="s">
        <v>176</v>
      </c>
      <c r="C631" s="13" t="n">
        <v>0</v>
      </c>
      <c r="D631" s="13" t="n">
        <v>0</v>
      </c>
      <c r="E631" s="13" t="n">
        <v>0</v>
      </c>
      <c r="F631" s="13" t="n">
        <v>0</v>
      </c>
      <c r="G631" s="17" t="n">
        <v>0</v>
      </c>
      <c r="H631" s="13" t="n">
        <v>1</v>
      </c>
      <c r="I631" s="13" t="n">
        <v>0</v>
      </c>
      <c r="J631" s="13" t="n">
        <v>0</v>
      </c>
      <c r="K631" s="13" t="n">
        <v>0</v>
      </c>
      <c r="L631" s="17" t="n">
        <v>0</v>
      </c>
      <c r="M631" s="18" t="n">
        <f aca="false">IF(H631=0,"",I631/H631)</f>
        <v>0</v>
      </c>
    </row>
    <row r="632" customFormat="false" ht="15" hidden="false" customHeight="false" outlineLevel="0" collapsed="false">
      <c r="A632" s="13" t="s">
        <v>480</v>
      </c>
      <c r="B632" s="13" t="s">
        <v>176</v>
      </c>
      <c r="C632" s="13" t="n">
        <v>0</v>
      </c>
      <c r="D632" s="13" t="n">
        <v>0</v>
      </c>
      <c r="E632" s="13" t="n">
        <v>0</v>
      </c>
      <c r="F632" s="13" t="n">
        <v>0</v>
      </c>
      <c r="G632" s="17" t="n">
        <v>0</v>
      </c>
      <c r="H632" s="13" t="n">
        <v>1</v>
      </c>
      <c r="I632" s="13" t="n">
        <v>0</v>
      </c>
      <c r="J632" s="13" t="n">
        <v>0</v>
      </c>
      <c r="K632" s="13" t="n">
        <v>0</v>
      </c>
      <c r="L632" s="17" t="n">
        <v>0</v>
      </c>
      <c r="M632" s="18" t="n">
        <f aca="false">IF(H632=0,"",I632/H632)</f>
        <v>0</v>
      </c>
    </row>
    <row r="633" customFormat="false" ht="15" hidden="false" customHeight="false" outlineLevel="0" collapsed="false">
      <c r="A633" s="13" t="s">
        <v>481</v>
      </c>
      <c r="B633" s="13" t="s">
        <v>176</v>
      </c>
      <c r="C633" s="13" t="n">
        <v>0</v>
      </c>
      <c r="D633" s="13" t="n">
        <v>0</v>
      </c>
      <c r="E633" s="13" t="n">
        <v>0</v>
      </c>
      <c r="F633" s="13" t="n">
        <v>0</v>
      </c>
      <c r="G633" s="17" t="n">
        <v>0</v>
      </c>
      <c r="H633" s="13" t="n">
        <v>1</v>
      </c>
      <c r="I633" s="13" t="n">
        <v>0</v>
      </c>
      <c r="J633" s="13" t="n">
        <v>0</v>
      </c>
      <c r="K633" s="13" t="n">
        <v>0</v>
      </c>
      <c r="L633" s="17" t="n">
        <v>0</v>
      </c>
      <c r="M633" s="18" t="n">
        <f aca="false">IF(H633=0,"",I633/H633)</f>
        <v>0</v>
      </c>
    </row>
    <row r="634" customFormat="false" ht="15" hidden="false" customHeight="false" outlineLevel="0" collapsed="false">
      <c r="A634" s="13" t="s">
        <v>482</v>
      </c>
      <c r="B634" s="13" t="s">
        <v>176</v>
      </c>
      <c r="C634" s="13" t="n">
        <v>0</v>
      </c>
      <c r="D634" s="13" t="n">
        <v>0</v>
      </c>
      <c r="E634" s="13" t="n">
        <v>0</v>
      </c>
      <c r="F634" s="13" t="n">
        <v>0</v>
      </c>
      <c r="G634" s="17" t="n">
        <v>0</v>
      </c>
      <c r="H634" s="13" t="n">
        <v>1</v>
      </c>
      <c r="I634" s="13" t="n">
        <v>0</v>
      </c>
      <c r="J634" s="13" t="n">
        <v>0</v>
      </c>
      <c r="K634" s="13" t="n">
        <v>0</v>
      </c>
      <c r="L634" s="17" t="n">
        <v>0</v>
      </c>
      <c r="M634" s="18" t="n">
        <f aca="false">IF(H634=0,"",I634/H634)</f>
        <v>0</v>
      </c>
    </row>
    <row r="635" customFormat="false" ht="15" hidden="false" customHeight="false" outlineLevel="0" collapsed="false">
      <c r="A635" s="13" t="s">
        <v>147</v>
      </c>
      <c r="B635" s="13" t="s">
        <v>169</v>
      </c>
      <c r="C635" s="13" t="n">
        <v>0</v>
      </c>
      <c r="D635" s="13" t="n">
        <v>0</v>
      </c>
      <c r="E635" s="13" t="n">
        <v>0</v>
      </c>
      <c r="F635" s="13" t="n">
        <v>0</v>
      </c>
      <c r="G635" s="17" t="n">
        <v>0</v>
      </c>
      <c r="H635" s="13" t="n">
        <v>2</v>
      </c>
      <c r="I635" s="13" t="n">
        <v>0</v>
      </c>
      <c r="J635" s="13" t="n">
        <v>0</v>
      </c>
      <c r="K635" s="13" t="n">
        <v>4</v>
      </c>
      <c r="L635" s="17" t="n">
        <v>0</v>
      </c>
      <c r="M635" s="18" t="n">
        <f aca="false">IF(H635=0,"",I635/H635)</f>
        <v>0</v>
      </c>
    </row>
    <row r="636" customFormat="false" ht="15" hidden="false" customHeight="false" outlineLevel="0" collapsed="false">
      <c r="A636" s="13" t="s">
        <v>147</v>
      </c>
      <c r="B636" s="13" t="s">
        <v>170</v>
      </c>
      <c r="C636" s="13" t="n">
        <v>52</v>
      </c>
      <c r="D636" s="13" t="n">
        <v>52</v>
      </c>
      <c r="E636" s="13" t="n">
        <v>0</v>
      </c>
      <c r="F636" s="13" t="n">
        <v>0</v>
      </c>
      <c r="G636" s="17" t="n">
        <v>0</v>
      </c>
      <c r="H636" s="13" t="n">
        <v>55</v>
      </c>
      <c r="I636" s="13" t="n">
        <v>53</v>
      </c>
      <c r="J636" s="13" t="n">
        <v>2</v>
      </c>
      <c r="K636" s="13" t="n">
        <v>0</v>
      </c>
      <c r="L636" s="17" t="n">
        <v>0</v>
      </c>
      <c r="M636" s="18" t="n">
        <f aca="false">IF(H636=0,"",I636/H636)</f>
        <v>0.963636363636364</v>
      </c>
    </row>
    <row r="637" customFormat="false" ht="15" hidden="false" customHeight="false" outlineLevel="0" collapsed="false">
      <c r="A637" s="13" t="s">
        <v>147</v>
      </c>
      <c r="B637" s="13" t="s">
        <v>172</v>
      </c>
      <c r="C637" s="13" t="n">
        <v>27</v>
      </c>
      <c r="D637" s="13" t="n">
        <v>7</v>
      </c>
      <c r="E637" s="13" t="n">
        <v>19</v>
      </c>
      <c r="F637" s="13" t="n">
        <v>0</v>
      </c>
      <c r="G637" s="17" t="n">
        <v>0.0253701333333333</v>
      </c>
      <c r="H637" s="13" t="n">
        <v>38</v>
      </c>
      <c r="I637" s="13" t="n">
        <v>12</v>
      </c>
      <c r="J637" s="13" t="n">
        <v>21</v>
      </c>
      <c r="K637" s="13" t="n">
        <v>0</v>
      </c>
      <c r="L637" s="17" t="n">
        <v>0.0341646666666667</v>
      </c>
      <c r="M637" s="18" t="n">
        <f aca="false">IF(H637=0,"",I637/H637)</f>
        <v>0.315789473684211</v>
      </c>
    </row>
    <row r="638" customFormat="false" ht="15" hidden="false" customHeight="false" outlineLevel="0" collapsed="false">
      <c r="A638" s="13" t="s">
        <v>147</v>
      </c>
      <c r="B638" s="13" t="s">
        <v>173</v>
      </c>
      <c r="C638" s="13" t="n">
        <v>24</v>
      </c>
      <c r="D638" s="13" t="n">
        <v>5</v>
      </c>
      <c r="E638" s="13" t="n">
        <v>19</v>
      </c>
      <c r="F638" s="13" t="n">
        <v>0</v>
      </c>
      <c r="G638" s="17" t="n">
        <v>0.0102296</v>
      </c>
      <c r="H638" s="13" t="n">
        <v>24</v>
      </c>
      <c r="I638" s="13" t="n">
        <v>5</v>
      </c>
      <c r="J638" s="13" t="n">
        <v>19</v>
      </c>
      <c r="K638" s="13" t="n">
        <v>0</v>
      </c>
      <c r="L638" s="17" t="n">
        <v>0.0102296</v>
      </c>
      <c r="M638" s="18" t="n">
        <f aca="false">IF(H638=0,"",I638/H638)</f>
        <v>0.208333333333333</v>
      </c>
    </row>
    <row r="639" customFormat="false" ht="15" hidden="false" customHeight="false" outlineLevel="0" collapsed="false">
      <c r="A639" s="13" t="s">
        <v>147</v>
      </c>
      <c r="B639" s="13" t="s">
        <v>175</v>
      </c>
      <c r="C639" s="13" t="n">
        <v>0</v>
      </c>
      <c r="D639" s="13" t="n">
        <v>0</v>
      </c>
      <c r="E639" s="13" t="n">
        <v>0</v>
      </c>
      <c r="F639" s="13" t="n">
        <v>0</v>
      </c>
      <c r="G639" s="17" t="n">
        <v>0</v>
      </c>
      <c r="H639" s="13" t="n">
        <v>16</v>
      </c>
      <c r="I639" s="13" t="n">
        <v>0</v>
      </c>
      <c r="J639" s="13" t="n">
        <v>0</v>
      </c>
      <c r="K639" s="13" t="n">
        <v>16</v>
      </c>
      <c r="L639" s="17" t="n">
        <v>0</v>
      </c>
      <c r="M639" s="18" t="n">
        <f aca="false">IF(H639=0,"",I639/H639)</f>
        <v>0</v>
      </c>
    </row>
    <row r="640" customFormat="false" ht="15" hidden="false" customHeight="false" outlineLevel="0" collapsed="false">
      <c r="A640" s="13" t="s">
        <v>147</v>
      </c>
      <c r="B640" s="13" t="s">
        <v>176</v>
      </c>
      <c r="C640" s="13" t="n">
        <v>7</v>
      </c>
      <c r="D640" s="13" t="n">
        <v>0</v>
      </c>
      <c r="E640" s="13" t="n">
        <v>0</v>
      </c>
      <c r="F640" s="13" t="n">
        <v>0</v>
      </c>
      <c r="G640" s="17" t="n">
        <v>0</v>
      </c>
      <c r="H640" s="13" t="n">
        <v>9</v>
      </c>
      <c r="I640" s="13" t="n">
        <v>0</v>
      </c>
      <c r="J640" s="13" t="n">
        <v>0</v>
      </c>
      <c r="K640" s="13" t="n">
        <v>0</v>
      </c>
      <c r="L640" s="17" t="n">
        <v>0</v>
      </c>
      <c r="M640" s="18" t="n">
        <f aca="false">IF(H640=0,"",I640/H640)</f>
        <v>0</v>
      </c>
    </row>
    <row r="641" customFormat="false" ht="15" hidden="false" customHeight="false" outlineLevel="0" collapsed="false">
      <c r="A641" s="13" t="s">
        <v>483</v>
      </c>
      <c r="B641" s="13" t="s">
        <v>176</v>
      </c>
      <c r="C641" s="13" t="n">
        <v>0</v>
      </c>
      <c r="D641" s="13" t="n">
        <v>0</v>
      </c>
      <c r="E641" s="13" t="n">
        <v>0</v>
      </c>
      <c r="F641" s="13" t="n">
        <v>0</v>
      </c>
      <c r="G641" s="17" t="n">
        <v>0</v>
      </c>
      <c r="H641" s="13" t="n">
        <v>1</v>
      </c>
      <c r="I641" s="13" t="n">
        <v>0</v>
      </c>
      <c r="J641" s="13" t="n">
        <v>0</v>
      </c>
      <c r="K641" s="13" t="n">
        <v>0</v>
      </c>
      <c r="L641" s="17" t="n">
        <v>0</v>
      </c>
      <c r="M641" s="18" t="n">
        <f aca="false">IF(H641=0,"",I641/H641)</f>
        <v>0</v>
      </c>
    </row>
    <row r="642" customFormat="false" ht="15" hidden="false" customHeight="false" outlineLevel="0" collapsed="false">
      <c r="A642" s="13" t="s">
        <v>484</v>
      </c>
      <c r="B642" s="13" t="s">
        <v>176</v>
      </c>
      <c r="C642" s="13" t="n">
        <v>0</v>
      </c>
      <c r="D642" s="13" t="n">
        <v>0</v>
      </c>
      <c r="E642" s="13" t="n">
        <v>0</v>
      </c>
      <c r="F642" s="13" t="n">
        <v>0</v>
      </c>
      <c r="G642" s="17" t="n">
        <v>0</v>
      </c>
      <c r="H642" s="13" t="n">
        <v>1</v>
      </c>
      <c r="I642" s="13" t="n">
        <v>0</v>
      </c>
      <c r="J642" s="13" t="n">
        <v>0</v>
      </c>
      <c r="K642" s="13" t="n">
        <v>0</v>
      </c>
      <c r="L642" s="17" t="n">
        <v>0</v>
      </c>
      <c r="M642" s="18" t="n">
        <f aca="false">IF(H642=0,"",I642/H642)</f>
        <v>0</v>
      </c>
    </row>
    <row r="643" customFormat="false" ht="15" hidden="false" customHeight="false" outlineLevel="0" collapsed="false">
      <c r="A643" s="13" t="s">
        <v>485</v>
      </c>
      <c r="B643" s="13" t="s">
        <v>176</v>
      </c>
      <c r="C643" s="13" t="n">
        <v>0</v>
      </c>
      <c r="D643" s="13" t="n">
        <v>0</v>
      </c>
      <c r="E643" s="13" t="n">
        <v>0</v>
      </c>
      <c r="F643" s="13" t="n">
        <v>0</v>
      </c>
      <c r="G643" s="17" t="n">
        <v>0</v>
      </c>
      <c r="H643" s="13" t="n">
        <v>1</v>
      </c>
      <c r="I643" s="13" t="n">
        <v>0</v>
      </c>
      <c r="J643" s="13" t="n">
        <v>0</v>
      </c>
      <c r="K643" s="13" t="n">
        <v>0</v>
      </c>
      <c r="L643" s="17" t="n">
        <v>0</v>
      </c>
      <c r="M643" s="18" t="n">
        <f aca="false">IF(H643=0,"",I643/H643)</f>
        <v>0</v>
      </c>
    </row>
    <row r="644" customFormat="false" ht="15" hidden="false" customHeight="false" outlineLevel="0" collapsed="false">
      <c r="A644" s="13" t="s">
        <v>486</v>
      </c>
      <c r="B644" s="13" t="s">
        <v>176</v>
      </c>
      <c r="C644" s="13" t="n">
        <v>0</v>
      </c>
      <c r="D644" s="13" t="n">
        <v>0</v>
      </c>
      <c r="E644" s="13" t="n">
        <v>0</v>
      </c>
      <c r="F644" s="13" t="n">
        <v>0</v>
      </c>
      <c r="G644" s="17" t="n">
        <v>0</v>
      </c>
      <c r="H644" s="13" t="n">
        <v>1</v>
      </c>
      <c r="I644" s="13" t="n">
        <v>0</v>
      </c>
      <c r="J644" s="13" t="n">
        <v>0</v>
      </c>
      <c r="K644" s="13" t="n">
        <v>0</v>
      </c>
      <c r="L644" s="17" t="n">
        <v>0</v>
      </c>
      <c r="M644" s="18" t="n">
        <f aca="false">IF(H644=0,"",I644/H644)</f>
        <v>0</v>
      </c>
    </row>
    <row r="645" customFormat="false" ht="15" hidden="false" customHeight="false" outlineLevel="0" collapsed="false">
      <c r="A645" s="13" t="s">
        <v>487</v>
      </c>
      <c r="B645" s="13" t="s">
        <v>176</v>
      </c>
      <c r="C645" s="13" t="n">
        <v>0</v>
      </c>
      <c r="D645" s="13" t="n">
        <v>0</v>
      </c>
      <c r="E645" s="13" t="n">
        <v>0</v>
      </c>
      <c r="F645" s="13" t="n">
        <v>0</v>
      </c>
      <c r="G645" s="17" t="n">
        <v>0</v>
      </c>
      <c r="H645" s="13" t="n">
        <v>1</v>
      </c>
      <c r="I645" s="13" t="n">
        <v>0</v>
      </c>
      <c r="J645" s="13" t="n">
        <v>0</v>
      </c>
      <c r="K645" s="13" t="n">
        <v>0</v>
      </c>
      <c r="L645" s="17" t="n">
        <v>0</v>
      </c>
      <c r="M645" s="18" t="n">
        <f aca="false">IF(H645=0,"",I645/H645)</f>
        <v>0</v>
      </c>
    </row>
    <row r="646" customFormat="false" ht="15" hidden="false" customHeight="false" outlineLevel="0" collapsed="false">
      <c r="A646" s="13" t="s">
        <v>488</v>
      </c>
      <c r="B646" s="13" t="s">
        <v>176</v>
      </c>
      <c r="C646" s="13" t="n">
        <v>0</v>
      </c>
      <c r="D646" s="13" t="n">
        <v>0</v>
      </c>
      <c r="E646" s="13" t="n">
        <v>0</v>
      </c>
      <c r="F646" s="13" t="n">
        <v>0</v>
      </c>
      <c r="G646" s="17" t="n">
        <v>0</v>
      </c>
      <c r="H646" s="13" t="n">
        <v>1</v>
      </c>
      <c r="I646" s="13" t="n">
        <v>0</v>
      </c>
      <c r="J646" s="13" t="n">
        <v>0</v>
      </c>
      <c r="K646" s="13" t="n">
        <v>0</v>
      </c>
      <c r="L646" s="17" t="n">
        <v>0</v>
      </c>
      <c r="M646" s="18" t="n">
        <f aca="false">IF(H646=0,"",I646/H646)</f>
        <v>0</v>
      </c>
    </row>
    <row r="647" customFormat="false" ht="15" hidden="false" customHeight="false" outlineLevel="0" collapsed="false">
      <c r="A647" s="13" t="s">
        <v>489</v>
      </c>
      <c r="B647" s="13" t="s">
        <v>176</v>
      </c>
      <c r="C647" s="13" t="n">
        <v>0</v>
      </c>
      <c r="D647" s="13" t="n">
        <v>0</v>
      </c>
      <c r="E647" s="13" t="n">
        <v>0</v>
      </c>
      <c r="F647" s="13" t="n">
        <v>0</v>
      </c>
      <c r="G647" s="17" t="n">
        <v>0</v>
      </c>
      <c r="H647" s="13" t="n">
        <v>1</v>
      </c>
      <c r="I647" s="13" t="n">
        <v>0</v>
      </c>
      <c r="J647" s="13" t="n">
        <v>0</v>
      </c>
      <c r="K647" s="13" t="n">
        <v>0</v>
      </c>
      <c r="L647" s="17" t="n">
        <v>0</v>
      </c>
      <c r="M647" s="18" t="n">
        <f aca="false">IF(H647=0,"",I647/H647)</f>
        <v>0</v>
      </c>
    </row>
    <row r="648" customFormat="false" ht="15" hidden="false" customHeight="false" outlineLevel="0" collapsed="false">
      <c r="A648" s="13" t="s">
        <v>490</v>
      </c>
      <c r="B648" s="13" t="s">
        <v>176</v>
      </c>
      <c r="C648" s="13" t="n">
        <v>0</v>
      </c>
      <c r="D648" s="13" t="n">
        <v>0</v>
      </c>
      <c r="E648" s="13" t="n">
        <v>0</v>
      </c>
      <c r="F648" s="13" t="n">
        <v>0</v>
      </c>
      <c r="G648" s="17" t="n">
        <v>0</v>
      </c>
      <c r="H648" s="13" t="n">
        <v>1</v>
      </c>
      <c r="I648" s="13" t="n">
        <v>0</v>
      </c>
      <c r="J648" s="13" t="n">
        <v>0</v>
      </c>
      <c r="K648" s="13" t="n">
        <v>0</v>
      </c>
      <c r="L648" s="17" t="n">
        <v>0</v>
      </c>
      <c r="M648" s="18" t="n">
        <f aca="false">IF(H648=0,"",I648/H648)</f>
        <v>0</v>
      </c>
    </row>
  </sheetData>
  <autoFilter ref="A14:M6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2026-10-23T20:17:27Z</dcterms:created>
  <dc:creator>openpyxl</dc:creator>
  <dc:description/>
  <dc:language>en-US</dc:language>
  <cp:lastModifiedBy/>
  <dcterms:modified xsi:type="dcterms:W3CDTF">2026-10-23T20:17:27Z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