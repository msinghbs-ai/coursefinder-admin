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 summary" sheetId="2" state="visible" r:id="rId4"/>
    <sheet name="Per provider" sheetId="3" state="visible" r:id="rId5"/>
    <sheet name="Long list" sheetId="4" state="visible" r:id="rId6"/>
    <sheet name="Toolset use" sheetId="5" state="visible" r:id="rId7"/>
  </sheets>
  <definedNames>
    <definedName function="false" hidden="true" localSheetId="3" name="_xlnm._FilterDatabase" vbProcedure="false">'Long list'!$A$1:$J$1197</definedName>
    <definedName function="false" hidden="true" localSheetId="2" name="_xlnm._FilterDatabase" vbProcedure="false">'Per provider'!$A$2:$CV$54</definedName>
    <definedName function="false" hidden="true" localSheetId="4" name="_xlnm._FilterDatabase" vbProcedure="false">'Toolset use'!$A$14:$M$664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<sst xmlns="http://schemas.openxmlformats.org/spreadsheetml/2006/main" count="7828" uniqueCount="491">
  <si>
    <t xml:space="preserve">Canada course data by provider: 2026-10-29</t>
  </si>
  <si>
    <t xml:space="preserve">Start: values held on 2026-10-21, the first day recorded for Canada.</t>
  </si>
  <si>
    <t xml:space="preserve">Previous: the day before (2026-10-28). Today: 2026-10-29. Each day is recorded at about 6:55 am Melbourne time.</t>
  </si>
  <si>
    <t xml:space="preserve">Scope: 52 CA providers with active courses, 3,814 active courses.</t>
  </si>
  <si>
    <t xml:space="preserve">Sheets</t>
  </si>
  <si>
    <t xml:space="preserve">CA summary: each field across Canada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</si>
  <si>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</si>
  <si>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</si>
  <si>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</si>
  <si>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</si>
  <si>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</si>
  <si>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</si>
  <si>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</si>
  <si>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</si>
  <si>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</si>
  <si>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</si>
  <si>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</si>
  <si>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</si>
  <si>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</si>
  <si>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</si>
  <si>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</si>
  <si>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</si>
  <si>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</si>
  <si>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</si>
  <si>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</si>
  <si>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</si>
  <si>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</si>
  <si>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</si>
  <si>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</si>
  <si>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</si>
  <si>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</si>
  <si>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</si>
  <si>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</si>
  <si>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</si>
  <si>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</si>
  <si>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</si>
  <si>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</si>
  <si>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</si>
  <si>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</si>
  <si>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</si>
  <si>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</si>
  <si>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</si>
  <si>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</si>
  <si>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</si>
  <si>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</si>
  <si>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</si>
  <si>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</si>
  <si>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</si>
  <si>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</si>
  <si>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British Columbia (UBC)</t>
  </si>
  <si>
    <t xml:space="preserve">https://www.ubc.ca</t>
  </si>
  <si>
    <t xml:space="preserve">Yes</t>
  </si>
  <si>
    <t xml:space="preserve">No</t>
  </si>
  <si>
    <t xml:space="preserve">University of Alberta</t>
  </si>
  <si>
    <t xml:space="preserve">https://www.ualberta.ca</t>
  </si>
  <si>
    <t xml:space="preserve">Conestoga College</t>
  </si>
  <si>
    <t xml:space="preserve">https://www.conestogac.on.ca</t>
  </si>
  <si>
    <t xml:space="preserve">University of Victoria</t>
  </si>
  <si>
    <t xml:space="preserve">https://www.uvic.ca</t>
  </si>
  <si>
    <t xml:space="preserve">Simon Fraser University (SFU)</t>
  </si>
  <si>
    <t xml:space="preserve">https://www.sfu.ca</t>
  </si>
  <si>
    <t xml:space="preserve">University of Lethbridge</t>
  </si>
  <si>
    <t xml:space="preserve">https://www.ulethbridge.ca</t>
  </si>
  <si>
    <t xml:space="preserve">University of Calgary</t>
  </si>
  <si>
    <t xml:space="preserve">https://www.ucalgary.ca</t>
  </si>
  <si>
    <t xml:space="preserve">Durham College</t>
  </si>
  <si>
    <t xml:space="preserve">https://durhamcollege.ca</t>
  </si>
  <si>
    <t xml:space="preserve">College of the North Atlantic</t>
  </si>
  <si>
    <t xml:space="preserve">https://www.cna.nl.ca</t>
  </si>
  <si>
    <t xml:space="preserve">Sheridan College</t>
  </si>
  <si>
    <t xml:space="preserve">https://www.sheridancollege.ca</t>
  </si>
  <si>
    <t xml:space="preserve">Camosun College</t>
  </si>
  <si>
    <t xml:space="preserve">https://camosun.ca</t>
  </si>
  <si>
    <t xml:space="preserve">University of Manitoba</t>
  </si>
  <si>
    <t xml:space="preserve">https://umanitoba.ca</t>
  </si>
  <si>
    <t xml:space="preserve">Okanagan College</t>
  </si>
  <si>
    <t xml:space="preserve">https://www.okanagancollege.ca</t>
  </si>
  <si>
    <t xml:space="preserve">Thompson Rivers University</t>
  </si>
  <si>
    <t xml:space="preserve">https://www.tru.ca</t>
  </si>
  <si>
    <t xml:space="preserve">University of Northern British Columbia</t>
  </si>
  <si>
    <t xml:space="preserve">https://www.unbc.ca</t>
  </si>
  <si>
    <t xml:space="preserve">Cambrian College of Applied Arts and Technology</t>
  </si>
  <si>
    <t xml:space="preserve">https://cambriancollege.ca/</t>
  </si>
  <si>
    <t xml:space="preserve">La Cité collégiale</t>
  </si>
  <si>
    <t xml:space="preserve">https://www.collegelacite.ca/</t>
  </si>
  <si>
    <t xml:space="preserve">Algonquin College</t>
  </si>
  <si>
    <t xml:space="preserve">https://www.algonquincollege.com/</t>
  </si>
  <si>
    <t xml:space="preserve">Loyalist College</t>
  </si>
  <si>
    <t xml:space="preserve">https://loyalistcollege.com/</t>
  </si>
  <si>
    <t xml:space="preserve">Canadore College</t>
  </si>
  <si>
    <t xml:space="preserve">https://www.canadorecollege.ca/</t>
  </si>
  <si>
    <t xml:space="preserve">Athabasca University</t>
  </si>
  <si>
    <t xml:space="preserve">https://www.athabascau.ca</t>
  </si>
  <si>
    <t xml:space="preserve">George Brown College</t>
  </si>
  <si>
    <t xml:space="preserve">https://www.georgebrown.ca</t>
  </si>
  <si>
    <t xml:space="preserve">MacEwan University</t>
  </si>
  <si>
    <t xml:space="preserve">https://www.macewan.ca/</t>
  </si>
  <si>
    <t xml:space="preserve">University of the Fraser Valley</t>
  </si>
  <si>
    <t xml:space="preserve">https://www.ufv.ca</t>
  </si>
  <si>
    <t xml:space="preserve">Vancouver Island University</t>
  </si>
  <si>
    <t xml:space="preserve">https://www.viu.ca</t>
  </si>
  <si>
    <t xml:space="preserve">Langara College</t>
  </si>
  <si>
    <t xml:space="preserve">https://langara.ca</t>
  </si>
  <si>
    <t xml:space="preserve">College of the Rockies</t>
  </si>
  <si>
    <t xml:space="preserve">https://cotr.bc.ca</t>
  </si>
  <si>
    <t xml:space="preserve">Humber College</t>
  </si>
  <si>
    <t xml:space="preserve">https://www.humberetc.ca</t>
  </si>
  <si>
    <t xml:space="preserve">Mount Royal University</t>
  </si>
  <si>
    <t xml:space="preserve">https://www.mtroyal.ca</t>
  </si>
  <si>
    <t xml:space="preserve">Kwantlen Polytechnic University</t>
  </si>
  <si>
    <t xml:space="preserve">https://www.kpu.ca</t>
  </si>
  <si>
    <t xml:space="preserve">Royal Roads University</t>
  </si>
  <si>
    <t xml:space="preserve">https://www.royalroads.ca</t>
  </si>
  <si>
    <t xml:space="preserve">British Columbia Institute of Technology</t>
  </si>
  <si>
    <t xml:space="preserve">https://www.bcit.ca</t>
  </si>
  <si>
    <t xml:space="preserve">The King’s University</t>
  </si>
  <si>
    <t xml:space="preserve">https://www.kingsu.ca/</t>
  </si>
  <si>
    <t xml:space="preserve">Burman University</t>
  </si>
  <si>
    <t xml:space="preserve">https://www.burmanu.ca</t>
  </si>
  <si>
    <t xml:space="preserve">Confederation College</t>
  </si>
  <si>
    <t xml:space="preserve">https://www.confederationcollege.ca</t>
  </si>
  <si>
    <t xml:space="preserve">Georgian College</t>
  </si>
  <si>
    <t xml:space="preserve">https://www.georgiancollege.ca</t>
  </si>
  <si>
    <t xml:space="preserve">Niagara College Canada</t>
  </si>
  <si>
    <t xml:space="preserve">https://www.niagaracollege.ca/</t>
  </si>
  <si>
    <t xml:space="preserve">Capilano University</t>
  </si>
  <si>
    <t xml:space="preserve">https://www.capilanou.ca</t>
  </si>
  <si>
    <t xml:space="preserve">Selkirk College</t>
  </si>
  <si>
    <t xml:space="preserve">https://selkirk.ca</t>
  </si>
  <si>
    <t xml:space="preserve">Douglas College</t>
  </si>
  <si>
    <t xml:space="preserve">https://www.douglascollege.ca</t>
  </si>
  <si>
    <t xml:space="preserve">Emily Carr University of Art and Design</t>
  </si>
  <si>
    <t xml:space="preserve">https://ecuad.ca/</t>
  </si>
  <si>
    <t xml:space="preserve">Aurora College</t>
  </si>
  <si>
    <t xml:space="preserve">https://www.auroracollege.nt.ca</t>
  </si>
  <si>
    <t xml:space="preserve">Vancouver Community College</t>
  </si>
  <si>
    <t xml:space="preserve">https://www.vcc.ca</t>
  </si>
  <si>
    <t xml:space="preserve">Alberta University of the Arts</t>
  </si>
  <si>
    <t xml:space="preserve">https://www.auarts.ca</t>
  </si>
  <si>
    <t xml:space="preserve">Northwestern Polytechnic</t>
  </si>
  <si>
    <t xml:space="preserve">https://www.nwpolytech.ca</t>
  </si>
  <si>
    <t xml:space="preserve">North Island College</t>
  </si>
  <si>
    <t xml:space="preserve">https://www.nic.bc.ca</t>
  </si>
  <si>
    <t xml:space="preserve">Justice Institute of British Columbia</t>
  </si>
  <si>
    <t xml:space="preserve">https://www.jibc.ca</t>
  </si>
  <si>
    <t xml:space="preserve">Mohawk College</t>
  </si>
  <si>
    <t xml:space="preserve">https://www.mohawkcollege.ca</t>
  </si>
  <si>
    <t xml:space="preserve">Yukon University</t>
  </si>
  <si>
    <t xml:space="preserve">https://www.yukonu.ca</t>
  </si>
  <si>
    <t xml:space="preserve">Coast Mountain College</t>
  </si>
  <si>
    <t xml:space="preserve">https://coastmountaincollege.ca</t>
  </si>
  <si>
    <t xml:space="preserve">College of New Caledonia</t>
  </si>
  <si>
    <t xml:space="preserve">https://cnc.bc.ca</t>
  </si>
  <si>
    <t xml:space="preserve">Olds College</t>
  </si>
  <si>
    <t xml:space="preserve">https://www.oldscollege.ca</t>
  </si>
  <si>
    <t xml:space="preserve">Provider (1 = held)</t>
  </si>
  <si>
    <t xml:space="preserve">Toolset use by Canada providers: 2026-10-28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</si>
  <si>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</si>
  <si>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</si>
  <si>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</si>
  <si>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</si>
  <si>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</si>
  <si>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</si>
  <si>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</si>
  <si>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</si>
  <si>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</si>
  <si>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</si>
  <si>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</si>
  <si>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</si>
  <si>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</si>
  <si>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</si>
  <si>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</si>
  <si>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</si>
  <si>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</si>
  <si>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</si>
  <si>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</si>
  <si>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</si>
  <si>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ABC Access Business College</t>
  </si>
  <si>
    <t xml:space="preserve">Academy of Learning</t>
  </si>
  <si>
    <t xml:space="preserve">Academy of Learning – PEI</t>
  </si>
  <si>
    <t xml:space="preserve">Acadia College</t>
  </si>
  <si>
    <t xml:space="preserve">Acadia University</t>
  </si>
  <si>
    <t xml:space="preserve">Académie des pompiers</t>
  </si>
  <si>
    <t xml:space="preserve">ACE Acumen Academy</t>
  </si>
  <si>
    <t xml:space="preserve">Acsenda School of Management</t>
  </si>
  <si>
    <t xml:space="preserve">Adventure Aviation</t>
  </si>
  <si>
    <t xml:space="preserve">AIM Academy</t>
  </si>
  <si>
    <t xml:space="preserve">Alberta Bible College</t>
  </si>
  <si>
    <t xml:space="preserve">Alberta College of Massage Therapy</t>
  </si>
  <si>
    <t xml:space="preserve">Alexander College</t>
  </si>
  <si>
    <t xml:space="preserve">Algoma University</t>
  </si>
  <si>
    <t xml:space="preserve">Anderson College of Health, Business and Technology</t>
  </si>
  <si>
    <t xml:space="preserve">Apex Language and Career College</t>
  </si>
  <si>
    <t xml:space="preserve">APlus Institute</t>
  </si>
  <si>
    <t xml:space="preserve">ARV Canada College</t>
  </si>
  <si>
    <t xml:space="preserve">Assiniboine Community College</t>
  </si>
  <si>
    <t xml:space="preserve">Atlantic Business College</t>
  </si>
  <si>
    <t xml:space="preserve">Atlantic College of Applied Health Sciences</t>
  </si>
  <si>
    <t xml:space="preserve">Atlantic School of Theology</t>
  </si>
  <si>
    <t xml:space="preserve">Avalon Community College</t>
  </si>
  <si>
    <t xml:space="preserve">Bay River College</t>
  </si>
  <si>
    <t xml:space="preserve">Beauty Maker Institute</t>
  </si>
  <si>
    <t xml:space="preserve">Beta College of Business and Technology</t>
  </si>
  <si>
    <t xml:space="preserve">BITTS International Career College</t>
  </si>
  <si>
    <t xml:space="preserve">Bow Valley College</t>
  </si>
  <si>
    <t xml:space="preserve">Brock University</t>
  </si>
  <si>
    <t xml:space="preserve">Brookes College</t>
  </si>
  <si>
    <t xml:space="preserve">C.C.E.C. Canadian Career Education College Ltd</t>
  </si>
  <si>
    <t xml:space="preserve">Cambrooks College</t>
  </si>
  <si>
    <t xml:space="preserve">Campbell College</t>
  </si>
  <si>
    <t xml:space="preserve">Canada College of Education</t>
  </si>
  <si>
    <t xml:space="preserve">Canada’s National Ballet School</t>
  </si>
  <si>
    <t xml:space="preserve">Canadian Academy of Dental Health &amp; Community Sciences</t>
  </si>
  <si>
    <t xml:space="preserve">Canadian Baptist Theological Seminary and College</t>
  </si>
  <si>
    <t xml:space="preserve">Canadian Business Skills College of Technology</t>
  </si>
  <si>
    <t xml:space="preserve">Canadian College</t>
  </si>
  <si>
    <t xml:space="preserve">Canadian College for Higher Studies</t>
  </si>
  <si>
    <t xml:space="preserve">Canadian College of Acupuncture and Traditional Chinese Medicine</t>
  </si>
  <si>
    <t xml:space="preserve">Canadian College of Educators</t>
  </si>
  <si>
    <t xml:space="preserve">Canadian College of Healthcare and Pharmaceutics</t>
  </si>
  <si>
    <t xml:space="preserve">Canadian College of Technology and Business</t>
  </si>
  <si>
    <t xml:space="preserve">Canadian College of Traditional Chinese Medicine</t>
  </si>
  <si>
    <t xml:space="preserve">Canadian Forces College</t>
  </si>
  <si>
    <t xml:space="preserve">Canadian Health and Business College</t>
  </si>
  <si>
    <t xml:space="preserve">Canadian Imperial College</t>
  </si>
  <si>
    <t xml:space="preserve">Canadian Reformed Theological Seminary</t>
  </si>
  <si>
    <t xml:space="preserve">Canadian School of Natural Nutrition</t>
  </si>
  <si>
    <t xml:space="preserve">Canadian Scitech College</t>
  </si>
  <si>
    <t xml:space="preserve">Canadian Technical and Management College</t>
  </si>
  <si>
    <t xml:space="preserve">Cape Breton Language Centre</t>
  </si>
  <si>
    <t xml:space="preserve">Cape Breton University</t>
  </si>
  <si>
    <t xml:space="preserve">Carleton University</t>
  </si>
  <si>
    <t xml:space="preserve">Centennial College</t>
  </si>
  <si>
    <t xml:space="preserve">Central College</t>
  </si>
  <si>
    <t xml:space="preserve">Central College of Business and Technology</t>
  </si>
  <si>
    <t xml:space="preserve">Centre de formation agricole</t>
  </si>
  <si>
    <t xml:space="preserve">Centre de formation agricole de Mirabel</t>
  </si>
  <si>
    <t xml:space="preserve">Centre de formation des Nouvelles-Technologies</t>
  </si>
  <si>
    <t xml:space="preserve">Centre de formation du transport routier de Saint-Jérôme</t>
  </si>
  <si>
    <t xml:space="preserve">Centre de formation en montage de lignes</t>
  </si>
  <si>
    <t xml:space="preserve">Centre de formation en mécanique de véhicules lourds</t>
  </si>
  <si>
    <t xml:space="preserve">Centre de formation en transport de Charlesbourg</t>
  </si>
  <si>
    <t xml:space="preserve">Centre de formation professionnelle</t>
  </si>
  <si>
    <t xml:space="preserve">Centre de formation professionnelle Calixa-Lavallée</t>
  </si>
  <si>
    <t xml:space="preserve">Centre de formation professionnelle Charlotte-Tassé</t>
  </si>
  <si>
    <t xml:space="preserve">Centre de formation professionnelle Compétences Outaouais</t>
  </si>
  <si>
    <t xml:space="preserve">Centre de formation professionnelle de Coaticook (CRIFA)</t>
  </si>
  <si>
    <t xml:space="preserve">Centre de formation professionnelle de Limoilou</t>
  </si>
  <si>
    <t xml:space="preserve">Centre de formation professionnelle de Lévis</t>
  </si>
  <si>
    <t xml:space="preserve">Centre de formation professionnelle de Mont-Laurier</t>
  </si>
  <si>
    <t xml:space="preserve">Centre de formation professionnelle de Québec</t>
  </si>
  <si>
    <t xml:space="preserve">Centre de formation professionnelle des Moulins</t>
  </si>
  <si>
    <t xml:space="preserve">Centre de formation professionnelle des Riverains</t>
  </si>
  <si>
    <t xml:space="preserve">Centre de formation professionnelle EXPÉ</t>
  </si>
  <si>
    <t xml:space="preserve">Centre de formation professionnelle Gabriel-Rousseau</t>
  </si>
  <si>
    <t xml:space="preserve">Centre de formation professionnelle le Granit</t>
  </si>
  <si>
    <t xml:space="preserve">Centre de formation professionnelle Pierre-Dupuy</t>
  </si>
  <si>
    <t xml:space="preserve">Centre de formation professionnelle Samuel-De Champlain</t>
  </si>
  <si>
    <t xml:space="preserve">Centre de formation professionnelle, l'Émergence</t>
  </si>
  <si>
    <t xml:space="preserve">Centre de services scolaire de Montréal</t>
  </si>
  <si>
    <t xml:space="preserve">Centre for Nursing Studies</t>
  </si>
  <si>
    <t xml:space="preserve">Centre multiservice des Samares</t>
  </si>
  <si>
    <t xml:space="preserve">Centre national de conduite d'engins de chantier</t>
  </si>
  <si>
    <t xml:space="preserve">Centre Polymétier</t>
  </si>
  <si>
    <t xml:space="preserve">Centre régional intégré de formation</t>
  </si>
  <si>
    <t xml:space="preserve">Certcana Systems Institute</t>
  </si>
  <si>
    <t xml:space="preserve">Champlain Regional College</t>
  </si>
  <si>
    <t xml:space="preserve">Chef School</t>
  </si>
  <si>
    <t xml:space="preserve">CITI College of Canadian Careers</t>
  </si>
  <si>
    <t xml:space="preserve">CLLC Inc.</t>
  </si>
  <si>
    <t xml:space="preserve">College of Health Studies</t>
  </si>
  <si>
    <t xml:space="preserve">Collège Avalon</t>
  </si>
  <si>
    <t xml:space="preserve">Collège Dawson</t>
  </si>
  <si>
    <t xml:space="preserve">Collège d’Alma</t>
  </si>
  <si>
    <t xml:space="preserve">Collège Mathieu</t>
  </si>
  <si>
    <t xml:space="preserve">Collège Milestone</t>
  </si>
  <si>
    <t xml:space="preserve">Collège national de science et technologie inc.</t>
  </si>
  <si>
    <t xml:space="preserve">Collège supérieur de Sherbrooke</t>
  </si>
  <si>
    <t xml:space="preserve">Collégial international Sainte-Anne</t>
  </si>
  <si>
    <t xml:space="preserve">Columbia College</t>
  </si>
  <si>
    <t xml:space="preserve">Columbia Paramedic Academy</t>
  </si>
  <si>
    <t xml:space="preserve">Concordia Lutheran Seminary</t>
  </si>
  <si>
    <t xml:space="preserve">Concordia University of Edmonton</t>
  </si>
  <si>
    <t xml:space="preserve">Conservatoire de musique de Gatineau</t>
  </si>
  <si>
    <t xml:space="preserve">Conservatoire de musique de Rimouski</t>
  </si>
  <si>
    <t xml:space="preserve">Conservatoire de musique de Saguenay</t>
  </si>
  <si>
    <t xml:space="preserve">Conservatoire de musique de Val-d'Or</t>
  </si>
  <si>
    <t xml:space="preserve">Corpus Christi College</t>
  </si>
  <si>
    <t xml:space="preserve">Crandall University</t>
  </si>
  <si>
    <t xml:space="preserve">Cégep André-Laurendeau</t>
  </si>
  <si>
    <t xml:space="preserve">Cégep Beauce-Appalaches</t>
  </si>
  <si>
    <t xml:space="preserve">Cégep de Baie-Comeau</t>
  </si>
  <si>
    <t xml:space="preserve">Cégep de Chicoutimi</t>
  </si>
  <si>
    <t xml:space="preserve">Cégep de Jonquière</t>
  </si>
  <si>
    <t xml:space="preserve">Cégep de la Gaspésie et des Îles</t>
  </si>
  <si>
    <t xml:space="preserve">Cégep de La Pocatière</t>
  </si>
  <si>
    <t xml:space="preserve">Cégep de l’Abitibi-Témiscamingue</t>
  </si>
  <si>
    <t xml:space="preserve">Cégep de Matane</t>
  </si>
  <si>
    <t xml:space="preserve">Cégep de Rimouski</t>
  </si>
  <si>
    <t xml:space="preserve">Cégep de Rivière-du-Loup</t>
  </si>
  <si>
    <t xml:space="preserve">Cégep de Rosemont</t>
  </si>
  <si>
    <t xml:space="preserve">Cégep de Saint-Jérôme</t>
  </si>
  <si>
    <t xml:space="preserve">Cégep de Saint-Laurent</t>
  </si>
  <si>
    <t xml:space="preserve">Cégep de Sainte-Foy</t>
  </si>
  <si>
    <t xml:space="preserve">Cégep de Sept-Îles</t>
  </si>
  <si>
    <t xml:space="preserve">Cégep de Sherbrooke</t>
  </si>
  <si>
    <t xml:space="preserve">Cégep de Sorel-Tracy</t>
  </si>
  <si>
    <t xml:space="preserve">Cégep de St-Félicien</t>
  </si>
  <si>
    <t xml:space="preserve">Cégep de Victoriaville</t>
  </si>
  <si>
    <t xml:space="preserve">Cégep du Vieux Montréal</t>
  </si>
  <si>
    <t xml:space="preserve">Cégep Limoilou</t>
  </si>
  <si>
    <t xml:space="preserve">Cégep Marie-Victorin</t>
  </si>
  <si>
    <t xml:space="preserve">Cégep Saint-Jean-sur-Richelieu</t>
  </si>
  <si>
    <t xml:space="preserve">Cégep Édouard Montpetit</t>
  </si>
  <si>
    <t xml:space="preserve">Dalhousie University</t>
  </si>
  <si>
    <t xml:space="preserve">Davis Academy</t>
  </si>
  <si>
    <t xml:space="preserve">DEA Canadian College</t>
  </si>
  <si>
    <t xml:space="preserve">Dorset College</t>
  </si>
  <si>
    <t xml:space="preserve">East-West College of Business and Technology</t>
  </si>
  <si>
    <t xml:space="preserve">Edmonton Flying Club</t>
  </si>
  <si>
    <t xml:space="preserve">Elevate Beauty Institute of Cosmetology</t>
  </si>
  <si>
    <t xml:space="preserve">Elite Hairstyling and Esthetics Training Center</t>
  </si>
  <si>
    <t xml:space="preserve">Eminent College</t>
  </si>
  <si>
    <t xml:space="preserve">Epic College of Technology Inc.</t>
  </si>
  <si>
    <t xml:space="preserve">Equilibrium School</t>
  </si>
  <si>
    <t xml:space="preserve">Ethnos Canada</t>
  </si>
  <si>
    <t xml:space="preserve">Extra Centre de Formation</t>
  </si>
  <si>
    <t xml:space="preserve">Fanshawe College</t>
  </si>
  <si>
    <t xml:space="preserve">Foundation for Montessori Education</t>
  </si>
  <si>
    <t xml:space="preserve">Fraser Coastal International College</t>
  </si>
  <si>
    <t xml:space="preserve">Fraser International College</t>
  </si>
  <si>
    <t xml:space="preserve">Freedom College of Business Healthcare and Technology Inc</t>
  </si>
  <si>
    <t xml:space="preserve">GD College</t>
  </si>
  <si>
    <t xml:space="preserve">Global College of Business &amp; Technology</t>
  </si>
  <si>
    <t xml:space="preserve">Great Lakes Helicopter Corp.</t>
  </si>
  <si>
    <t xml:space="preserve">Great Plains College</t>
  </si>
  <si>
    <t xml:space="preserve">Hamptons College</t>
  </si>
  <si>
    <t xml:space="preserve">Herzing College</t>
  </si>
  <si>
    <t xml:space="preserve">Huron University College</t>
  </si>
  <si>
    <t xml:space="preserve">Institut de formation théologique de Montréal</t>
  </si>
  <si>
    <t xml:space="preserve">Institut de tourisme et d'hôtellerie du Québec</t>
  </si>
  <si>
    <t xml:space="preserve">Institut national de la recherche scientifique</t>
  </si>
  <si>
    <t xml:space="preserve">Institut Teccart</t>
  </si>
  <si>
    <t xml:space="preserve">Institut Élite de Montréal</t>
  </si>
  <si>
    <t xml:space="preserve">Institute of Advanced Learning</t>
  </si>
  <si>
    <t xml:space="preserve">Institute of Machine Tool Technology</t>
  </si>
  <si>
    <t xml:space="preserve">International Business University</t>
  </si>
  <si>
    <t xml:space="preserve">International College of Manitoba</t>
  </si>
  <si>
    <t xml:space="preserve">Island Career Academy</t>
  </si>
  <si>
    <t xml:space="preserve">Jyot’s Aesthetics Academy</t>
  </si>
  <si>
    <t xml:space="preserve">Kanatamat Tshitipenitamunu</t>
  </si>
  <si>
    <t xml:space="preserve">Keyano College</t>
  </si>
  <si>
    <t xml:space="preserve">Knox College</t>
  </si>
  <si>
    <t xml:space="preserve">Lakehead University</t>
  </si>
  <si>
    <t xml:space="preserve">LaSalle College Vancouver</t>
  </si>
  <si>
    <t xml:space="preserve">Laurentian University</t>
  </si>
  <si>
    <t xml:space="preserve">Legends Academy</t>
  </si>
  <si>
    <t xml:space="preserve">Logan College</t>
  </si>
  <si>
    <t xml:space="preserve">Looks Aesthetic Academy</t>
  </si>
  <si>
    <t xml:space="preserve">Lutheran Theological Seminary</t>
  </si>
  <si>
    <t xml:space="preserve">MacMillian Institute of Applied Health Sciences</t>
  </si>
  <si>
    <t xml:space="preserve">Manitoba Institute of Trades and Technology</t>
  </si>
  <si>
    <t xml:space="preserve">Maple Wings Flight Centre</t>
  </si>
  <si>
    <t xml:space="preserve">Marguerite Connolly Training and Consulting</t>
  </si>
  <si>
    <t xml:space="preserve">MC College</t>
  </si>
  <si>
    <t xml:space="preserve">McMaster Divinity College</t>
  </si>
  <si>
    <t xml:space="preserve">Memorial University of Newfoundland</t>
  </si>
  <si>
    <t xml:space="preserve">Metro College of Technology</t>
  </si>
  <si>
    <t xml:space="preserve">Metrocare Health Academy</t>
  </si>
  <si>
    <t xml:space="preserve">Metropolitan Community College</t>
  </si>
  <si>
    <t xml:space="preserve">Millar College of the Bible</t>
  </si>
  <si>
    <t xml:space="preserve">Millennium Aviation</t>
  </si>
  <si>
    <t xml:space="preserve">Mississauga Career College</t>
  </si>
  <si>
    <t xml:space="preserve">Mount Allison University</t>
  </si>
  <si>
    <t xml:space="preserve">Mount Saint Vincent University</t>
  </si>
  <si>
    <t xml:space="preserve">NAIT (Northern Alberta Institute of Technology)</t>
  </si>
  <si>
    <t xml:space="preserve">National Institute of Hairstyling and Advanced Aesthetics</t>
  </si>
  <si>
    <t xml:space="preserve">New Brunswick College of Craft and Design</t>
  </si>
  <si>
    <t xml:space="preserve">New Brunswick Indigenous Career College (NBICC)</t>
  </si>
  <si>
    <t xml:space="preserve">Newcastle College of Business &amp; Technology</t>
  </si>
  <si>
    <t xml:space="preserve">Niagara College Canada at Toronto school of Management</t>
  </si>
  <si>
    <t xml:space="preserve">Niagara University</t>
  </si>
  <si>
    <t xml:space="preserve">North West College</t>
  </si>
  <si>
    <t xml:space="preserve">Northern Lights College</t>
  </si>
  <si>
    <t xml:space="preserve">Nova Scotia Apprenticeship Agency</t>
  </si>
  <si>
    <t xml:space="preserve">OCAD University</t>
  </si>
  <si>
    <t xml:space="preserve">Ontario College of Business &amp; Technology</t>
  </si>
  <si>
    <t xml:space="preserve">Ontario College of Technology</t>
  </si>
  <si>
    <t xml:space="preserve">Ontario Institute of Health and Innovation</t>
  </si>
  <si>
    <t xml:space="preserve">Ontario School of Commerce and Technology</t>
  </si>
  <si>
    <t xml:space="preserve">Ontario Tech University</t>
  </si>
  <si>
    <t xml:space="preserve">Orane International College</t>
  </si>
  <si>
    <t xml:space="preserve">Oshio College of Acupuncture and Herbology</t>
  </si>
  <si>
    <t xml:space="preserve">Our Lady Seat of Wisdom College</t>
  </si>
  <si>
    <t xml:space="preserve">Pacific DanceArts</t>
  </si>
  <si>
    <t xml:space="preserve">Pearson College UWC</t>
  </si>
  <si>
    <t xml:space="preserve">Peel College of Professional Studies</t>
  </si>
  <si>
    <t xml:space="preserve">Pharma-Medical Science College of Canada</t>
  </si>
  <si>
    <t xml:space="preserve">Portage College</t>
  </si>
  <si>
    <t xml:space="preserve">Prime International College of Healthcare and Technology</t>
  </si>
  <si>
    <t xml:space="preserve">Principal Air</t>
  </si>
  <si>
    <t xml:space="preserve">Pures College of Technology</t>
  </si>
  <si>
    <t xml:space="preserve">Queen’s College</t>
  </si>
  <si>
    <t xml:space="preserve">Queen’s University</t>
  </si>
  <si>
    <t xml:space="preserve">Redeemer University</t>
  </si>
  <si>
    <t xml:space="preserve">Reeves College</t>
  </si>
  <si>
    <t xml:space="preserve">Robertson College</t>
  </si>
  <si>
    <t xml:space="preserve">Robin College</t>
  </si>
  <si>
    <t xml:space="preserve">Rocky Mountain College</t>
  </si>
  <si>
    <t xml:space="preserve">Rosebud School of the Arts</t>
  </si>
  <si>
    <t xml:space="preserve">Rosewood College</t>
  </si>
  <si>
    <t xml:space="preserve">Royal Canadian Institute of International Studies</t>
  </si>
  <si>
    <t xml:space="preserve">Royal Metro College</t>
  </si>
  <si>
    <t xml:space="preserve">Royal Military College of Canada</t>
  </si>
  <si>
    <t xml:space="preserve">Saskatchewan Polytechnic</t>
  </si>
  <si>
    <t xml:space="preserve">Sault College</t>
  </si>
  <si>
    <t xml:space="preserve">School of Photographic Arts Ottawa</t>
  </si>
  <si>
    <t xml:space="preserve">Sea Land Air Flight Centre</t>
  </si>
  <si>
    <t xml:space="preserve">Seminary of Christ the King</t>
  </si>
  <si>
    <t xml:space="preserve">Six Nations Polytechnic</t>
  </si>
  <si>
    <t xml:space="preserve">SkyQuest Aviation Ltd.</t>
  </si>
  <si>
    <t xml:space="preserve">Solomon College</t>
  </si>
  <si>
    <t xml:space="preserve">Spectrum Airways</t>
  </si>
  <si>
    <t xml:space="preserve">Springfield College of Healthcare, Management &amp; Technology</t>
  </si>
  <si>
    <t xml:space="preserve">Sprott Shaw College</t>
  </si>
  <si>
    <t xml:space="preserve">St. Andrew’s College</t>
  </si>
  <si>
    <t xml:space="preserve">St. Lawrence College</t>
  </si>
  <si>
    <t xml:space="preserve">St. Thomas University</t>
  </si>
  <si>
    <t xml:space="preserve">Summit Pacific College</t>
  </si>
  <si>
    <t xml:space="preserve">Suncrest College</t>
  </si>
  <si>
    <t xml:space="preserve">The Esthetic Institute Training Center</t>
  </si>
  <si>
    <t xml:space="preserve">The Language Gallery</t>
  </si>
  <si>
    <t xml:space="preserve">The Maritime College</t>
  </si>
  <si>
    <t xml:space="preserve">The School of Toronto Dance Theatre</t>
  </si>
  <si>
    <t xml:space="preserve">Think Tank Training Centre</t>
  </si>
  <si>
    <t xml:space="preserve">Top Toques Institute of Culinary Excellence</t>
  </si>
  <si>
    <t xml:space="preserve">Toronto Art Therapy Institute</t>
  </si>
  <si>
    <t xml:space="preserve">Toronto Economics and Management College</t>
  </si>
  <si>
    <t xml:space="preserve">Toronto Film School</t>
  </si>
  <si>
    <t xml:space="preserve">Toronto Innovation College</t>
  </si>
  <si>
    <t xml:space="preserve">Toronto Metropolitan University (TMU)</t>
  </si>
  <si>
    <t xml:space="preserve">Toronto Metropolitan University International College</t>
  </si>
  <si>
    <t xml:space="preserve">Toronto School of Management</t>
  </si>
  <si>
    <t xml:space="preserve">Travel College Canada</t>
  </si>
  <si>
    <t xml:space="preserve">Trillium College</t>
  </si>
  <si>
    <t xml:space="preserve">Trinity Western University</t>
  </si>
  <si>
    <t xml:space="preserve">Tyndale University</t>
  </si>
  <si>
    <t xml:space="preserve">ULethbridge International College Calgary</t>
  </si>
  <si>
    <t xml:space="preserve">University College of the North</t>
  </si>
  <si>
    <t xml:space="preserve">University of Guelph</t>
  </si>
  <si>
    <t xml:space="preserve">University of King’s College</t>
  </si>
  <si>
    <t xml:space="preserve">University of Prince Edward Island</t>
  </si>
  <si>
    <t xml:space="preserve">University of St. Michael’s College</t>
  </si>
  <si>
    <t xml:space="preserve">University of Toronto</t>
  </si>
  <si>
    <t xml:space="preserve">University of Windsor</t>
  </si>
  <si>
    <t xml:space="preserve">University of Winnipeg</t>
  </si>
  <si>
    <t xml:space="preserve">Université de l'Ontario français</t>
  </si>
  <si>
    <t xml:space="preserve">Université de Moncton</t>
  </si>
  <si>
    <t xml:space="preserve">Université de Montréal</t>
  </si>
  <si>
    <t xml:space="preserve">Université de Sherbrooke</t>
  </si>
  <si>
    <t xml:space="preserve">Université du Québec</t>
  </si>
  <si>
    <t xml:space="preserve">Université du Québec à Chicoutimi</t>
  </si>
  <si>
    <t xml:space="preserve">Université du Québec à Montréal</t>
  </si>
  <si>
    <t xml:space="preserve">Université du Québec à Rimouski</t>
  </si>
  <si>
    <t xml:space="preserve">Université du Québec à Trois-Rivières</t>
  </si>
  <si>
    <t xml:space="preserve">Université d’Ottawa/University of Ottawa</t>
  </si>
  <si>
    <t xml:space="preserve">Université Sainte-Anne</t>
  </si>
  <si>
    <t xml:space="preserve">Upper Madison College of Advanced Language Learning and Skill Development</t>
  </si>
  <si>
    <t xml:space="preserve">Vancouver Art Therapy Institute</t>
  </si>
  <si>
    <t xml:space="preserve">Vancouver College of Massage Therapy</t>
  </si>
  <si>
    <t xml:space="preserve">Victoria Academy of Ballet</t>
  </si>
  <si>
    <t xml:space="preserve">Waterloo Wellington Flight Centre</t>
  </si>
  <si>
    <t xml:space="preserve">Western Community College</t>
  </si>
  <si>
    <t xml:space="preserve">Western University</t>
  </si>
  <si>
    <t xml:space="preserve">Westminster College</t>
  </si>
  <si>
    <t xml:space="preserve">Wilfrid Laurier International College</t>
  </si>
  <si>
    <t xml:space="preserve">Willowbank School of Restoration Arts</t>
  </si>
  <si>
    <t xml:space="preserve">Windsor Career College</t>
  </si>
  <si>
    <t xml:space="preserve">Word of Life Bible Institute</t>
  </si>
  <si>
    <t xml:space="preserve">Wycliffe College</t>
  </si>
  <si>
    <t xml:space="preserve">York College of Applied Studies</t>
  </si>
  <si>
    <t xml:space="preserve">York Construction Academy</t>
  </si>
  <si>
    <t xml:space="preserve">York Entrepreneurship Development Institute (YEDI)</t>
  </si>
  <si>
    <t xml:space="preserve">École de danse contemporaine de Montréal</t>
  </si>
  <si>
    <t xml:space="preserve">École de foresterie de Duchesnay</t>
  </si>
  <si>
    <t xml:space="preserve">École de technologie supérieure</t>
  </si>
  <si>
    <t xml:space="preserve">École hôtelière de la Montérégie</t>
  </si>
  <si>
    <t xml:space="preserve">École nationale de théâtre du Canada</t>
  </si>
  <si>
    <t xml:space="preserve">École professionnelle de Saint-Hyacinthe</t>
  </si>
  <si>
    <t xml:space="preserve">École supérieure de ballet du Québec</t>
  </si>
  <si>
    <t xml:space="preserve">École supérieure internationale de Montréal</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</si>
</sst>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35.0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12</v>
      </c>
      <c r="B1" s="3" t="s">
        <v>13</v>
      </c>
      <c r="C1" s="3" t="s">
        <v>14</v>
      </c>
      <c r="D1" s="3" t="s">
        <v>15</v>
      </c>
      <c r="E1" s="3" t="s">
        <v>16</v>
      </c>
      <c r="F1" s="3" t="s">
        <v>17</v>
      </c>
      <c r="G1" s="3" t="s">
        <v>18</v>
      </c>
      <c r="H1" s="3" t="s">
        <v>19</v>
      </c>
      <c r="I1" s="3" t="s">
        <v>20</v>
      </c>
      <c r="J1" s="3" t="s">
        <v>21</v>
      </c>
    </row>
    <row r="2" customFormat="false" ht="15" hidden="false" customHeight="false" outlineLevel="0" collapsed="false">
      <c r="A2" s="4" t="s">
        <v>22</v>
      </c>
      <c r="B2" s="4" t="s">
        <v>23</v>
      </c>
      <c r="C2" s="5" t="n">
        <f aca="false">SUM('Per provider'!C3:C54)</f>
        <v>3814</v>
      </c>
      <c r="D2" s="5" t="n">
        <f aca="false">SUM('Per provider'!D3:D54)</f>
        <v>2705</v>
      </c>
      <c r="E2" s="5" t="n">
        <f aca="false">SUM('Per provider'!E3:E54)</f>
        <v>2664</v>
      </c>
      <c r="F2" s="6" t="n">
        <f aca="false">SUM('Per provider'!F3:F54)</f>
        <v>2664</v>
      </c>
      <c r="G2" s="7" t="n">
        <f aca="false">F2-E2</f>
        <v>0</v>
      </c>
      <c r="H2" s="7" t="n">
        <f aca="false">F2-D2</f>
        <v>-41</v>
      </c>
      <c r="I2" s="8" t="n">
        <f aca="false">IF(C2=0,0,D2/C2)</f>
        <v>0.709229155742003</v>
      </c>
      <c r="J2" s="8" t="n">
        <f aca="false">IF(C2=0,0,F2/C2)</f>
        <v>0.698479286837965</v>
      </c>
    </row>
    <row r="3" customFormat="false" ht="15" hidden="false" customHeight="false" outlineLevel="0" collapsed="false">
      <c r="A3" s="4" t="s">
        <v>24</v>
      </c>
      <c r="B3" s="4" t="s">
        <v>23</v>
      </c>
      <c r="C3" s="5" t="n">
        <f aca="false">SUM('Per provider'!C3:C54)</f>
        <v>3814</v>
      </c>
      <c r="D3" s="5" t="n">
        <f aca="false">SUM('Per provider'!I3:I54)</f>
        <v>2701</v>
      </c>
      <c r="E3" s="5" t="n">
        <f aca="false">SUM('Per provider'!J3:J54)</f>
        <v>3814</v>
      </c>
      <c r="F3" s="6" t="n">
        <f aca="false">SUM('Per provider'!K3:K54)</f>
        <v>3814</v>
      </c>
      <c r="G3" s="7" t="n">
        <f aca="false">F3-E3</f>
        <v>0</v>
      </c>
      <c r="H3" s="7" t="n">
        <f aca="false">F3-D3</f>
        <v>1113</v>
      </c>
      <c r="I3" s="8" t="n">
        <f aca="false">IF(C3=0,0,D3/C3)</f>
        <v>0.708180388044048</v>
      </c>
      <c r="J3" s="8" t="n">
        <f aca="false">IF(C3=0,0,F3/C3)</f>
        <v>1</v>
      </c>
    </row>
    <row r="4" customFormat="false" ht="15" hidden="false" customHeight="false" outlineLevel="0" collapsed="false">
      <c r="A4" s="4" t="s">
        <v>25</v>
      </c>
      <c r="B4" s="4" t="s">
        <v>23</v>
      </c>
      <c r="C4" s="5" t="n">
        <f aca="false">SUM('Per provider'!C3:C54)</f>
        <v>3814</v>
      </c>
      <c r="D4" s="5" t="n">
        <f aca="false">SUM('Per provider'!N3:N54)</f>
        <v>4624</v>
      </c>
      <c r="E4" s="5" t="n">
        <f aca="false">SUM('Per provider'!O3:O54)</f>
        <v>3774</v>
      </c>
      <c r="F4" s="6" t="n">
        <f aca="false">SUM('Per provider'!P3:P54)</f>
        <v>3774</v>
      </c>
      <c r="G4" s="7" t="n">
        <f aca="false">F4-E4</f>
        <v>0</v>
      </c>
      <c r="H4" s="7" t="n">
        <f aca="false">F4-D4</f>
        <v>-850</v>
      </c>
      <c r="I4" s="8" t="n">
        <f aca="false">IF(C4=0,0,D4/C4)</f>
        <v>1.21237545883587</v>
      </c>
      <c r="J4" s="8" t="n">
        <f aca="false">IF(C4=0,0,F4/C4)</f>
        <v>0.989512323020451</v>
      </c>
    </row>
    <row r="5" customFormat="false" ht="15" hidden="false" customHeight="false" outlineLevel="0" collapsed="false">
      <c r="A5" s="4" t="s">
        <v>26</v>
      </c>
      <c r="B5" s="4" t="s">
        <v>23</v>
      </c>
      <c r="C5" s="5" t="n">
        <f aca="false">SUM('Per provider'!C3:C54)</f>
        <v>3814</v>
      </c>
      <c r="D5" s="5" t="n">
        <f aca="false">SUM('Per provider'!S3:S54)</f>
        <v>1527</v>
      </c>
      <c r="E5" s="5" t="n">
        <f aca="false">SUM('Per provider'!T3:T54)</f>
        <v>1324</v>
      </c>
      <c r="F5" s="6" t="n">
        <f aca="false">SUM('Per provider'!U3:U54)</f>
        <v>1324</v>
      </c>
      <c r="G5" s="7" t="n">
        <f aca="false">F5-E5</f>
        <v>0</v>
      </c>
      <c r="H5" s="7" t="n">
        <f aca="false">F5-D5</f>
        <v>-203</v>
      </c>
      <c r="I5" s="8" t="n">
        <f aca="false">IF(C5=0,0,D5/C5)</f>
        <v>0.400367068694284</v>
      </c>
      <c r="J5" s="8" t="n">
        <f aca="false">IF(C5=0,0,F5/C5)</f>
        <v>0.347142108023073</v>
      </c>
    </row>
    <row r="6" customFormat="false" ht="15" hidden="false" customHeight="false" outlineLevel="0" collapsed="false">
      <c r="A6" s="4" t="s">
        <v>27</v>
      </c>
      <c r="B6" s="4" t="s">
        <v>23</v>
      </c>
      <c r="C6" s="5" t="n">
        <f aca="false">SUM('Per provider'!C3:C54)</f>
        <v>3814</v>
      </c>
      <c r="D6" s="5" t="n">
        <f aca="false">SUM('Per provider'!X3:X54)</f>
        <v>2939</v>
      </c>
      <c r="E6" s="5" t="n">
        <f aca="false">SUM('Per provider'!Y3:Y54)</f>
        <v>2298</v>
      </c>
      <c r="F6" s="6" t="n">
        <f aca="false">SUM('Per provider'!Z3:Z54)</f>
        <v>2298</v>
      </c>
      <c r="G6" s="7" t="n">
        <f aca="false">F6-E6</f>
        <v>0</v>
      </c>
      <c r="H6" s="7" t="n">
        <f aca="false">F6-D6</f>
        <v>-641</v>
      </c>
      <c r="I6" s="8" t="n">
        <f aca="false">IF(C6=0,0,D6/C6)</f>
        <v>0.770582066072365</v>
      </c>
      <c r="J6" s="8" t="n">
        <f aca="false">IF(C6=0,0,F6/C6)</f>
        <v>0.602517042475092</v>
      </c>
    </row>
    <row r="7" customFormat="false" ht="15" hidden="false" customHeight="false" outlineLevel="0" collapsed="false">
      <c r="A7" s="4" t="s">
        <v>28</v>
      </c>
      <c r="B7" s="4" t="s">
        <v>23</v>
      </c>
      <c r="C7" s="5" t="n">
        <f aca="false">SUM('Per provider'!C3:C54)</f>
        <v>3814</v>
      </c>
      <c r="D7" s="5" t="n">
        <f aca="false">SUM('Per provider'!AC3:AC54)</f>
        <v>2403</v>
      </c>
      <c r="E7" s="5" t="n">
        <f aca="false">SUM('Per provider'!AD3:AD54)</f>
        <v>2087</v>
      </c>
      <c r="F7" s="6" t="n">
        <f aca="false">SUM('Per provider'!AE3:AE54)</f>
        <v>2088</v>
      </c>
      <c r="G7" s="7" t="n">
        <f aca="false">F7-E7</f>
        <v>1</v>
      </c>
      <c r="H7" s="7" t="n">
        <f aca="false">F7-D7</f>
        <v>-315</v>
      </c>
      <c r="I7" s="8" t="n">
        <f aca="false">IF(C7=0,0,D7/C7)</f>
        <v>0.630047194546408</v>
      </c>
      <c r="J7" s="8" t="n">
        <f aca="false">IF(C7=0,0,F7/C7)</f>
        <v>0.547456738332459</v>
      </c>
    </row>
    <row r="8" customFormat="false" ht="15" hidden="false" customHeight="false" outlineLevel="0" collapsed="false">
      <c r="A8" s="4" t="s">
        <v>29</v>
      </c>
      <c r="B8" s="4" t="s">
        <v>23</v>
      </c>
      <c r="C8" s="5" t="n">
        <f aca="false">SUM('Per provider'!C3:C54)</f>
        <v>3814</v>
      </c>
      <c r="D8" s="5" t="n">
        <f aca="false">SUM('Per provider'!AH3:AH54)</f>
        <v>1874</v>
      </c>
      <c r="E8" s="5" t="n">
        <f aca="false">SUM('Per provider'!AI3:AI54)</f>
        <v>1531</v>
      </c>
      <c r="F8" s="6" t="n">
        <f aca="false">SUM('Per provider'!AJ3:AJ54)</f>
        <v>1532</v>
      </c>
      <c r="G8" s="7" t="n">
        <f aca="false">F8-E8</f>
        <v>1</v>
      </c>
      <c r="H8" s="7" t="n">
        <f aca="false">F8-D8</f>
        <v>-342</v>
      </c>
      <c r="I8" s="8" t="n">
        <f aca="false">IF(C8=0,0,D8/C8)</f>
        <v>0.491347666491872</v>
      </c>
      <c r="J8" s="8" t="n">
        <f aca="false">IF(C8=0,0,F8/C8)</f>
        <v>0.401678028316728</v>
      </c>
    </row>
    <row r="9" customFormat="false" ht="15" hidden="false" customHeight="false" outlineLevel="0" collapsed="false">
      <c r="A9" s="4" t="s">
        <v>30</v>
      </c>
      <c r="B9" s="4" t="s">
        <v>23</v>
      </c>
      <c r="C9" s="5" t="n">
        <f aca="false">SUM('Per provider'!C3:C54)</f>
        <v>3814</v>
      </c>
      <c r="D9" s="5" t="n">
        <f aca="false">SUM('Per provider'!AM3:AM54)</f>
        <v>4723</v>
      </c>
      <c r="E9" s="5" t="n">
        <f aca="false">SUM('Per provider'!AN3:AN54)</f>
        <v>3814</v>
      </c>
      <c r="F9" s="6" t="n">
        <f aca="false">SUM('Per provider'!AO3:AO54)</f>
        <v>3814</v>
      </c>
      <c r="G9" s="7" t="n">
        <f aca="false">F9-E9</f>
        <v>0</v>
      </c>
      <c r="H9" s="7" t="n">
        <f aca="false">F9-D9</f>
        <v>-909</v>
      </c>
      <c r="I9" s="8" t="n">
        <f aca="false">IF(C9=0,0,D9/C9)</f>
        <v>1.23833245936025</v>
      </c>
      <c r="J9" s="8" t="n">
        <f aca="false">IF(C9=0,0,F9/C9)</f>
        <v>1</v>
      </c>
    </row>
    <row r="10" customFormat="false" ht="15" hidden="false" customHeight="false" outlineLevel="0" collapsed="false">
      <c r="A10" s="4" t="s">
        <v>31</v>
      </c>
      <c r="B10" s="4" t="s">
        <v>23</v>
      </c>
      <c r="C10" s="5" t="n">
        <f aca="false">SUM('Per provider'!C3:C54)</f>
        <v>3814</v>
      </c>
      <c r="D10" s="5" t="n">
        <f aca="false">SUM('Per provider'!AR3:AR54)</f>
        <v>419</v>
      </c>
      <c r="E10" s="5" t="n">
        <f aca="false">SUM('Per provider'!AS3:AS54)</f>
        <v>680</v>
      </c>
      <c r="F10" s="6" t="n">
        <f aca="false">SUM('Per provider'!AT3:AT54)</f>
        <v>680</v>
      </c>
      <c r="G10" s="7" t="n">
        <f aca="false">F10-E10</f>
        <v>0</v>
      </c>
      <c r="H10" s="7" t="n">
        <f aca="false">F10-D10</f>
        <v>261</v>
      </c>
      <c r="I10" s="8" t="n">
        <f aca="false">IF(C10=0,0,D10/C10)</f>
        <v>0.109858416360776</v>
      </c>
      <c r="J10" s="8" t="n">
        <f aca="false">IF(C10=0,0,F10/C10)</f>
        <v>0.178290508652334</v>
      </c>
    </row>
    <row r="11" customFormat="false" ht="15" hidden="false" customHeight="false" outlineLevel="0" collapsed="false">
      <c r="A11" s="4" t="s">
        <v>32</v>
      </c>
      <c r="B11" s="4" t="s">
        <v>23</v>
      </c>
      <c r="C11" s="5" t="n">
        <f aca="false">SUM('Per provider'!C3:C54)</f>
        <v>3814</v>
      </c>
      <c r="D11" s="5" t="n">
        <f aca="false">SUM('Per provider'!AW3:AW54)</f>
        <v>1049</v>
      </c>
      <c r="E11" s="5" t="n">
        <f aca="false">SUM('Per provider'!AX3:AX54)</f>
        <v>1613</v>
      </c>
      <c r="F11" s="6" t="n">
        <f aca="false">SUM('Per provider'!AY3:AY54)</f>
        <v>1613</v>
      </c>
      <c r="G11" s="7" t="n">
        <f aca="false">F11-E11</f>
        <v>0</v>
      </c>
      <c r="H11" s="7" t="n">
        <f aca="false">F11-D11</f>
        <v>564</v>
      </c>
      <c r="I11" s="8" t="n">
        <f aca="false">IF(C11=0,0,D11/C11)</f>
        <v>0.275039328788673</v>
      </c>
      <c r="J11" s="8" t="n">
        <f aca="false">IF(C11=0,0,F11/C11)</f>
        <v>0.422915574200315</v>
      </c>
    </row>
    <row r="12" customFormat="false" ht="15" hidden="false" customHeight="false" outlineLevel="0" collapsed="false">
      <c r="A12" s="4" t="s">
        <v>33</v>
      </c>
      <c r="B12" s="4" t="s">
        <v>23</v>
      </c>
      <c r="C12" s="5" t="n">
        <f aca="false">SUM('Per provider'!C3:C54)</f>
        <v>3814</v>
      </c>
      <c r="D12" s="5" t="n">
        <f aca="false">SUM('Per provider'!BB3:BB54)</f>
        <v>0</v>
      </c>
      <c r="E12" s="5" t="n">
        <f aca="false">SUM('Per provider'!BC3:BC54)</f>
        <v>0</v>
      </c>
      <c r="F12" s="6" t="n">
        <f aca="false">SUM('Per provider'!BD3:BD54)</f>
        <v>0</v>
      </c>
      <c r="G12" s="7" t="n">
        <f aca="false">F12-E12</f>
        <v>0</v>
      </c>
      <c r="H12" s="7" t="n">
        <f aca="false">F12-D12</f>
        <v>0</v>
      </c>
      <c r="I12" s="8" t="n">
        <f aca="false">IF(C12=0,0,D12/C12)</f>
        <v>0</v>
      </c>
      <c r="J12" s="8" t="n">
        <f aca="false">IF(C12=0,0,F12/C12)</f>
        <v>0</v>
      </c>
    </row>
    <row r="13" customFormat="false" ht="15" hidden="false" customHeight="false" outlineLevel="0" collapsed="false">
      <c r="A13" s="4" t="s">
        <v>34</v>
      </c>
      <c r="B13" s="4" t="s">
        <v>23</v>
      </c>
      <c r="C13" s="5" t="n">
        <f aca="false">SUM('Per provider'!C3:C54)</f>
        <v>3814</v>
      </c>
      <c r="D13" s="5" t="n">
        <f aca="false">SUM('Per provider'!BG3:BG54)</f>
        <v>1789</v>
      </c>
      <c r="E13" s="5" t="n">
        <f aca="false">SUM('Per provider'!BH3:BH54)</f>
        <v>2010</v>
      </c>
      <c r="F13" s="6" t="n">
        <f aca="false">SUM('Per provider'!BI3:BI54)</f>
        <v>2010</v>
      </c>
      <c r="G13" s="7" t="n">
        <f aca="false">F13-E13</f>
        <v>0</v>
      </c>
      <c r="H13" s="7" t="n">
        <f aca="false">F13-D13</f>
        <v>221</v>
      </c>
      <c r="I13" s="8" t="n">
        <f aca="false">IF(C13=0,0,D13/C13)</f>
        <v>0.46906135291033</v>
      </c>
      <c r="J13" s="8" t="n">
        <f aca="false">IF(C13=0,0,F13/C13)</f>
        <v>0.527005768222339</v>
      </c>
    </row>
    <row r="14" customFormat="false" ht="15" hidden="false" customHeight="false" outlineLevel="0" collapsed="false">
      <c r="A14" s="4" t="s">
        <v>35</v>
      </c>
      <c r="B14" s="4" t="s">
        <v>23</v>
      </c>
      <c r="C14" s="5" t="n">
        <f aca="false">SUM('Per provider'!C3:C54)</f>
        <v>3814</v>
      </c>
      <c r="D14" s="5" t="n">
        <f aca="false">SUM('Per provider'!BL3:BL54)</f>
        <v>0</v>
      </c>
      <c r="E14" s="5" t="n">
        <f aca="false">SUM('Per provider'!BM3:BM54)</f>
        <v>0</v>
      </c>
      <c r="F14" s="6" t="n">
        <f aca="false">SUM('Per provider'!BN3:BN54)</f>
        <v>0</v>
      </c>
      <c r="G14" s="7" t="n">
        <f aca="false">F14-E14</f>
        <v>0</v>
      </c>
      <c r="H14" s="7" t="n">
        <f aca="false">F14-D14</f>
        <v>0</v>
      </c>
      <c r="I14" s="8" t="n">
        <f aca="false">IF(C14=0,0,D14/C14)</f>
        <v>0</v>
      </c>
      <c r="J14" s="8" t="n">
        <f aca="false">IF(C14=0,0,F14/C14)</f>
        <v>0</v>
      </c>
    </row>
    <row r="15" customFormat="false" ht="15" hidden="false" customHeight="false" outlineLevel="0" collapsed="false">
      <c r="A15" s="4" t="s">
        <v>36</v>
      </c>
      <c r="B15" s="4" t="s">
        <v>23</v>
      </c>
      <c r="C15" s="5" t="n">
        <f aca="false">SUM('Per provider'!C3:C54)</f>
        <v>3814</v>
      </c>
      <c r="D15" s="5" t="n">
        <f aca="false">SUM('Per provider'!BQ3:BQ54)</f>
        <v>0</v>
      </c>
      <c r="E15" s="5" t="n">
        <f aca="false">SUM('Per provider'!BR3:BR54)</f>
        <v>0</v>
      </c>
      <c r="F15" s="6" t="n">
        <f aca="false">SUM('Per provider'!BS3:BS54)</f>
        <v>0</v>
      </c>
      <c r="G15" s="7" t="n">
        <f aca="false">F15-E15</f>
        <v>0</v>
      </c>
      <c r="H15" s="7" t="n">
        <f aca="false">F15-D15</f>
        <v>0</v>
      </c>
      <c r="I15" s="8" t="n">
        <f aca="false">IF(C15=0,0,D15/C15)</f>
        <v>0</v>
      </c>
      <c r="J15" s="8" t="n">
        <f aca="false">IF(C15=0,0,F15/C15)</f>
        <v>0</v>
      </c>
    </row>
    <row r="16" customFormat="false" ht="15" hidden="false" customHeight="false" outlineLevel="0" collapsed="false">
      <c r="A16" s="4" t="s">
        <v>37</v>
      </c>
      <c r="B16" s="4" t="s">
        <v>38</v>
      </c>
      <c r="C16" s="5" t="n">
        <f aca="false">COUNTA('Per provider'!A3:A54)</f>
        <v>52</v>
      </c>
      <c r="D16" s="5" t="n">
        <f aca="false">COUNTIF('Per provider'!BV3:BV54,"Yes")</f>
        <v>52</v>
      </c>
      <c r="E16" s="5" t="n">
        <f aca="false">COUNTIF('Per provider'!BW3:BW54,"Yes")</f>
        <v>52</v>
      </c>
      <c r="F16" s="6" t="n">
        <f aca="false">COUNTIF('Per provider'!BX3:BX54,"Yes")</f>
        <v>52</v>
      </c>
      <c r="G16" s="7" t="n">
        <f aca="false">F16-E16</f>
        <v>0</v>
      </c>
      <c r="H16" s="7" t="n">
        <f aca="false">F16-D16</f>
        <v>0</v>
      </c>
      <c r="I16" s="8" t="n">
        <f aca="false">IF(C16=0,0,D16/C16)</f>
        <v>1</v>
      </c>
      <c r="J16" s="8" t="n">
        <f aca="false">IF(C16=0,0,F16/C16)</f>
        <v>1</v>
      </c>
    </row>
    <row r="17" customFormat="false" ht="15" hidden="false" customHeight="false" outlineLevel="0" collapsed="false">
      <c r="A17" s="4" t="s">
        <v>39</v>
      </c>
      <c r="B17" s="4" t="s">
        <v>38</v>
      </c>
      <c r="C17" s="5" t="n">
        <f aca="false">COUNTA('Per provider'!A3:A54)</f>
        <v>52</v>
      </c>
      <c r="D17" s="5" t="n">
        <f aca="false">COUNTIF('Per provider'!BY3:BY54,"Yes")</f>
        <v>17</v>
      </c>
      <c r="E17" s="5" t="n">
        <f aca="false">COUNTIF('Per provider'!BZ3:BZ54,"Yes")</f>
        <v>17</v>
      </c>
      <c r="F17" s="6" t="n">
        <f aca="false">COUNTIF('Per provider'!CA3:CA54,"Yes")</f>
        <v>17</v>
      </c>
      <c r="G17" s="7" t="n">
        <f aca="false">F17-E17</f>
        <v>0</v>
      </c>
      <c r="H17" s="7" t="n">
        <f aca="false">F17-D17</f>
        <v>0</v>
      </c>
      <c r="I17" s="8" t="n">
        <f aca="false">IF(C17=0,0,D17/C17)</f>
        <v>0.326923076923077</v>
      </c>
      <c r="J17" s="8" t="n">
        <f aca="false">IF(C17=0,0,F17/C17)</f>
        <v>0.326923076923077</v>
      </c>
    </row>
    <row r="18" customFormat="false" ht="15" hidden="false" customHeight="false" outlineLevel="0" collapsed="false">
      <c r="A18" s="4" t="s">
        <v>40</v>
      </c>
      <c r="B18" s="4" t="s">
        <v>38</v>
      </c>
      <c r="C18" s="5" t="n">
        <f aca="false">COUNTA('Per provider'!A3:A54)</f>
        <v>52</v>
      </c>
      <c r="D18" s="5" t="n">
        <f aca="false">COUNTIF('Per provider'!CB3:CB54,"Yes")</f>
        <v>41</v>
      </c>
      <c r="E18" s="5" t="n">
        <f aca="false">COUNTIF('Per provider'!CC3:CC54,"Yes")</f>
        <v>45</v>
      </c>
      <c r="F18" s="6" t="n">
        <f aca="false">COUNTIF('Per provider'!CD3:CD54,"Yes")</f>
        <v>45</v>
      </c>
      <c r="G18" s="7" t="n">
        <f aca="false">F18-E18</f>
        <v>0</v>
      </c>
      <c r="H18" s="7" t="n">
        <f aca="false">F18-D18</f>
        <v>4</v>
      </c>
      <c r="I18" s="8" t="n">
        <f aca="false">IF(C18=0,0,D18/C18)</f>
        <v>0.788461538461538</v>
      </c>
      <c r="J18" s="8" t="n">
        <f aca="false">IF(C18=0,0,F18/C18)</f>
        <v>0.865384615384615</v>
      </c>
    </row>
    <row r="19" customFormat="false" ht="15" hidden="false" customHeight="false" outlineLevel="0" collapsed="false">
      <c r="A19" s="4" t="s">
        <v>41</v>
      </c>
      <c r="B19" s="4" t="s">
        <v>38</v>
      </c>
      <c r="C19" s="5" t="n">
        <f aca="false">COUNTA('Per provider'!A3:A54)</f>
        <v>52</v>
      </c>
      <c r="D19" s="5" t="n">
        <f aca="false">COUNTIF('Per provider'!CE3:CE54,"Yes")</f>
        <v>0</v>
      </c>
      <c r="E19" s="5" t="n">
        <f aca="false">COUNTIF('Per provider'!CF3:CF54,"Yes")</f>
        <v>0</v>
      </c>
      <c r="F19" s="6" t="n">
        <f aca="false">COUNTIF('Per provider'!CG3:CG54,"Yes")</f>
        <v>0</v>
      </c>
      <c r="G19" s="7" t="n">
        <f aca="false">F19-E19</f>
        <v>0</v>
      </c>
      <c r="H19" s="7" t="n">
        <f aca="false">F19-D19</f>
        <v>0</v>
      </c>
      <c r="I19" s="8" t="n">
        <f aca="false">IF(C19=0,0,D19/C19)</f>
        <v>0</v>
      </c>
      <c r="J19" s="8" t="n">
        <f aca="false">IF(C19=0,0,F19/C19)</f>
        <v>0</v>
      </c>
    </row>
    <row r="20" customFormat="false" ht="15" hidden="false" customHeight="false" outlineLevel="0" collapsed="false">
      <c r="A20" s="4" t="s">
        <v>42</v>
      </c>
      <c r="B20" s="4" t="s">
        <v>38</v>
      </c>
      <c r="C20" s="5" t="n">
        <f aca="false">COUNTA('Per provider'!A3:A54)</f>
        <v>52</v>
      </c>
      <c r="D20" s="5" t="n">
        <f aca="false">COUNTIF('Per provider'!CH3:CH54,"Yes")</f>
        <v>52</v>
      </c>
      <c r="E20" s="5" t="n">
        <f aca="false">COUNTIF('Per provider'!CI3:CI54,"Yes")</f>
        <v>52</v>
      </c>
      <c r="F20" s="6" t="n">
        <f aca="false">COUNTIF('Per provider'!CJ3:CJ54,"Yes")</f>
        <v>52</v>
      </c>
      <c r="G20" s="7" t="n">
        <f aca="false">F20-E20</f>
        <v>0</v>
      </c>
      <c r="H20" s="7" t="n">
        <f aca="false">F20-D20</f>
        <v>0</v>
      </c>
      <c r="I20" s="8" t="n">
        <f aca="false">IF(C20=0,0,D20/C20)</f>
        <v>1</v>
      </c>
      <c r="J20" s="8" t="n">
        <f aca="false">IF(C20=0,0,F20/C20)</f>
        <v>1</v>
      </c>
    </row>
    <row r="21" customFormat="false" ht="15" hidden="false" customHeight="false" outlineLevel="0" collapsed="false">
      <c r="A21" s="4" t="s">
        <v>43</v>
      </c>
      <c r="B21" s="4" t="s">
        <v>38</v>
      </c>
      <c r="C21" s="5" t="n">
        <f aca="false">COUNTA('Per provider'!A3:A54)</f>
        <v>52</v>
      </c>
      <c r="D21" s="5" t="n">
        <f aca="false">COUNTIF('Per provider'!CK3:CK54,"Yes")</f>
        <v>45</v>
      </c>
      <c r="E21" s="5" t="n">
        <f aca="false">COUNTIF('Per provider'!CL3:CL54,"Yes")</f>
        <v>45</v>
      </c>
      <c r="F21" s="6" t="n">
        <f aca="false">COUNTIF('Per provider'!CM3:CM54,"Yes")</f>
        <v>45</v>
      </c>
      <c r="G21" s="7" t="n">
        <f aca="false">F21-E21</f>
        <v>0</v>
      </c>
      <c r="H21" s="7" t="n">
        <f aca="false">F21-D21</f>
        <v>0</v>
      </c>
      <c r="I21" s="8" t="n">
        <f aca="false">IF(C21=0,0,D21/C21)</f>
        <v>0.865384615384615</v>
      </c>
      <c r="J21" s="8" t="n">
        <f aca="false">IF(C21=0,0,F21/C21)</f>
        <v>0.865384615384615</v>
      </c>
    </row>
    <row r="22" customFormat="false" ht="15" hidden="false" customHeight="false" outlineLevel="0" collapsed="false">
      <c r="A22" s="4" t="s">
        <v>44</v>
      </c>
      <c r="B22" s="4" t="s">
        <v>38</v>
      </c>
      <c r="C22" s="5" t="n">
        <f aca="false">COUNTA('Per provider'!A3:A54)</f>
        <v>52</v>
      </c>
      <c r="D22" s="5" t="n">
        <f aca="false">COUNTIF('Per provider'!CN3:CN54,"Yes")</f>
        <v>41</v>
      </c>
      <c r="E22" s="5" t="n">
        <f aca="false">COUNTIF('Per provider'!CO3:CO54,"Yes")</f>
        <v>41</v>
      </c>
      <c r="F22" s="6" t="n">
        <f aca="false">COUNTIF('Per provider'!CP3:CP54,"Yes")</f>
        <v>41</v>
      </c>
      <c r="G22" s="7" t="n">
        <f aca="false">F22-E22</f>
        <v>0</v>
      </c>
      <c r="H22" s="7" t="n">
        <f aca="false">F22-D22</f>
        <v>0</v>
      </c>
      <c r="I22" s="8" t="n">
        <f aca="false">IF(C22=0,0,D22/C22)</f>
        <v>0.788461538461538</v>
      </c>
      <c r="J22" s="8" t="n">
        <f aca="false">IF(C22=0,0,F22/C22)</f>
        <v>0.788461538461538</v>
      </c>
    </row>
    <row r="23" customFormat="false" ht="15" hidden="false" customHeight="false" outlineLevel="0" collapsed="false">
      <c r="A23" s="4" t="s">
        <v>45</v>
      </c>
      <c r="B23" s="4" t="s">
        <v>38</v>
      </c>
      <c r="C23" s="5" t="n">
        <f aca="false">COUNTA('Per provider'!A3:A54)</f>
        <v>52</v>
      </c>
      <c r="D23" s="5" t="n">
        <f aca="false">COUNTIF('Per provider'!CQ3:CQ54,"Yes")</f>
        <v>11</v>
      </c>
      <c r="E23" s="5" t="n">
        <f aca="false">COUNTIF('Per provider'!CR3:CR54,"Yes")</f>
        <v>13</v>
      </c>
      <c r="F23" s="6" t="n">
        <f aca="false">COUNTIF('Per provider'!CS3:CS54,"Yes")</f>
        <v>13</v>
      </c>
      <c r="G23" s="7" t="n">
        <f aca="false">F23-E23</f>
        <v>0</v>
      </c>
      <c r="H23" s="7" t="n">
        <f aca="false">F23-D23</f>
        <v>2</v>
      </c>
      <c r="I23" s="8" t="n">
        <f aca="false">IF(C23=0,0,D23/C23)</f>
        <v>0.211538461538462</v>
      </c>
      <c r="J23" s="8" t="n">
        <f aca="false">IF(C23=0,0,F23/C23)</f>
        <v>0.25</v>
      </c>
    </row>
    <row r="24" customFormat="false" ht="15" hidden="false" customHeight="false" outlineLevel="0" collapsed="false">
      <c r="A24" s="4" t="s">
        <v>46</v>
      </c>
      <c r="B24" s="4" t="s">
        <v>38</v>
      </c>
      <c r="C24" s="5" t="n">
        <f aca="false">COUNTA('Per provider'!A3:A54)</f>
        <v>52</v>
      </c>
      <c r="D24" s="5" t="n">
        <f aca="false">COUNTIF('Per provider'!CT3:CT54,"Yes")</f>
        <v>0</v>
      </c>
      <c r="E24" s="5" t="n">
        <f aca="false">COUNTIF('Per provider'!CU3:CU54,"Yes")</f>
        <v>0</v>
      </c>
      <c r="F24" s="6" t="n">
        <f aca="false">COUNTIF('Per provider'!CV3:CV54,"Yes")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38</v>
      </c>
      <c r="B1" s="3" t="s">
        <v>37</v>
      </c>
      <c r="C1" s="3" t="s">
        <v>48</v>
      </c>
      <c r="D1" s="3" t="s">
        <v>22</v>
      </c>
      <c r="E1" s="3"/>
      <c r="F1" s="3"/>
      <c r="G1" s="3"/>
      <c r="H1" s="3"/>
      <c r="I1" s="3" t="s">
        <v>24</v>
      </c>
      <c r="J1" s="3"/>
      <c r="K1" s="3"/>
      <c r="L1" s="3"/>
      <c r="M1" s="3"/>
      <c r="N1" s="3" t="s">
        <v>25</v>
      </c>
      <c r="O1" s="3"/>
      <c r="P1" s="3"/>
      <c r="Q1" s="3"/>
      <c r="R1" s="3"/>
      <c r="S1" s="3" t="s">
        <v>26</v>
      </c>
      <c r="T1" s="3"/>
      <c r="U1" s="3"/>
      <c r="V1" s="3"/>
      <c r="W1" s="3"/>
      <c r="X1" s="3" t="s">
        <v>27</v>
      </c>
      <c r="Y1" s="3"/>
      <c r="Z1" s="3"/>
      <c r="AA1" s="3"/>
      <c r="AB1" s="3"/>
      <c r="AC1" s="3" t="s">
        <v>28</v>
      </c>
      <c r="AD1" s="3"/>
      <c r="AE1" s="3"/>
      <c r="AF1" s="3"/>
      <c r="AG1" s="3"/>
      <c r="AH1" s="3" t="s">
        <v>29</v>
      </c>
      <c r="AI1" s="3"/>
      <c r="AJ1" s="3"/>
      <c r="AK1" s="3"/>
      <c r="AL1" s="3"/>
      <c r="AM1" s="3" t="s">
        <v>30</v>
      </c>
      <c r="AN1" s="3"/>
      <c r="AO1" s="3"/>
      <c r="AP1" s="3"/>
      <c r="AQ1" s="3"/>
      <c r="AR1" s="3" t="s">
        <v>31</v>
      </c>
      <c r="AS1" s="3"/>
      <c r="AT1" s="3"/>
      <c r="AU1" s="3"/>
      <c r="AV1" s="3"/>
      <c r="AW1" s="3" t="s">
        <v>32</v>
      </c>
      <c r="AX1" s="3"/>
      <c r="AY1" s="3"/>
      <c r="AZ1" s="3"/>
      <c r="BA1" s="3"/>
      <c r="BB1" s="3" t="s">
        <v>33</v>
      </c>
      <c r="BC1" s="3"/>
      <c r="BD1" s="3"/>
      <c r="BE1" s="3"/>
      <c r="BF1" s="3"/>
      <c r="BG1" s="3" t="s">
        <v>34</v>
      </c>
      <c r="BH1" s="3"/>
      <c r="BI1" s="3"/>
      <c r="BJ1" s="3"/>
      <c r="BK1" s="3"/>
      <c r="BL1" s="3" t="s">
        <v>35</v>
      </c>
      <c r="BM1" s="3"/>
      <c r="BN1" s="3"/>
      <c r="BO1" s="3"/>
      <c r="BP1" s="3"/>
      <c r="BQ1" s="3" t="s">
        <v>36</v>
      </c>
      <c r="BR1" s="3"/>
      <c r="BS1" s="3"/>
      <c r="BT1" s="3"/>
      <c r="BU1" s="3"/>
      <c r="BV1" s="3" t="s">
        <v>37</v>
      </c>
      <c r="BW1" s="3"/>
      <c r="BX1" s="3"/>
      <c r="BY1" s="3" t="s">
        <v>39</v>
      </c>
      <c r="BZ1" s="3"/>
      <c r="CA1" s="3"/>
      <c r="CB1" s="3" t="s">
        <v>40</v>
      </c>
      <c r="CC1" s="3"/>
      <c r="CD1" s="3"/>
      <c r="CE1" s="3" t="s">
        <v>41</v>
      </c>
      <c r="CF1" s="3"/>
      <c r="CG1" s="3"/>
      <c r="CH1" s="3" t="s">
        <v>42</v>
      </c>
      <c r="CI1" s="3"/>
      <c r="CJ1" s="3"/>
      <c r="CK1" s="3" t="s">
        <v>43</v>
      </c>
      <c r="CL1" s="3"/>
      <c r="CM1" s="3"/>
      <c r="CN1" s="3" t="s">
        <v>44</v>
      </c>
      <c r="CO1" s="3"/>
      <c r="CP1" s="3"/>
      <c r="CQ1" s="3" t="s">
        <v>45</v>
      </c>
      <c r="CR1" s="3"/>
      <c r="CS1" s="3"/>
      <c r="CT1" s="3" t="s">
        <v>46</v>
      </c>
      <c r="CU1" s="3"/>
      <c r="CV1" s="3"/>
    </row>
    <row r="2" customFormat="false" ht="35.05" hidden="false" customHeight="false" outlineLevel="0" collapsed="false">
      <c r="A2" s="3"/>
      <c r="B2" s="3"/>
      <c r="C2" s="3"/>
      <c r="D2" s="3" t="s">
        <v>15</v>
      </c>
      <c r="E2" s="3" t="s">
        <v>16</v>
      </c>
      <c r="F2" s="3" t="s">
        <v>17</v>
      </c>
      <c r="G2" s="3" t="s">
        <v>18</v>
      </c>
      <c r="H2" s="3" t="s">
        <v>19</v>
      </c>
      <c r="I2" s="3" t="s">
        <v>15</v>
      </c>
      <c r="J2" s="3" t="s">
        <v>16</v>
      </c>
      <c r="K2" s="3" t="s">
        <v>17</v>
      </c>
      <c r="L2" s="3" t="s">
        <v>18</v>
      </c>
      <c r="M2" s="3" t="s">
        <v>19</v>
      </c>
      <c r="N2" s="3" t="s">
        <v>15</v>
      </c>
      <c r="O2" s="3" t="s">
        <v>16</v>
      </c>
      <c r="P2" s="3" t="s">
        <v>17</v>
      </c>
      <c r="Q2" s="3" t="s">
        <v>18</v>
      </c>
      <c r="R2" s="3" t="s">
        <v>19</v>
      </c>
      <c r="S2" s="3" t="s">
        <v>15</v>
      </c>
      <c r="T2" s="3" t="s">
        <v>16</v>
      </c>
      <c r="U2" s="3" t="s">
        <v>17</v>
      </c>
      <c r="V2" s="3" t="s">
        <v>18</v>
      </c>
      <c r="W2" s="3" t="s">
        <v>19</v>
      </c>
      <c r="X2" s="3" t="s">
        <v>15</v>
      </c>
      <c r="Y2" s="3" t="s">
        <v>16</v>
      </c>
      <c r="Z2" s="3" t="s">
        <v>17</v>
      </c>
      <c r="AA2" s="3" t="s">
        <v>18</v>
      </c>
      <c r="AB2" s="3" t="s">
        <v>19</v>
      </c>
      <c r="AC2" s="3" t="s">
        <v>15</v>
      </c>
      <c r="AD2" s="3" t="s">
        <v>16</v>
      </c>
      <c r="AE2" s="3" t="s">
        <v>17</v>
      </c>
      <c r="AF2" s="3" t="s">
        <v>18</v>
      </c>
      <c r="AG2" s="3" t="s">
        <v>19</v>
      </c>
      <c r="AH2" s="3" t="s">
        <v>15</v>
      </c>
      <c r="AI2" s="3" t="s">
        <v>16</v>
      </c>
      <c r="AJ2" s="3" t="s">
        <v>17</v>
      </c>
      <c r="AK2" s="3" t="s">
        <v>18</v>
      </c>
      <c r="AL2" s="3" t="s">
        <v>19</v>
      </c>
      <c r="AM2" s="3" t="s">
        <v>15</v>
      </c>
      <c r="AN2" s="3" t="s">
        <v>16</v>
      </c>
      <c r="AO2" s="3" t="s">
        <v>17</v>
      </c>
      <c r="AP2" s="3" t="s">
        <v>18</v>
      </c>
      <c r="AQ2" s="3" t="s">
        <v>19</v>
      </c>
      <c r="AR2" s="3" t="s">
        <v>15</v>
      </c>
      <c r="AS2" s="3" t="s">
        <v>16</v>
      </c>
      <c r="AT2" s="3" t="s">
        <v>17</v>
      </c>
      <c r="AU2" s="3" t="s">
        <v>18</v>
      </c>
      <c r="AV2" s="3" t="s">
        <v>19</v>
      </c>
      <c r="AW2" s="3" t="s">
        <v>15</v>
      </c>
      <c r="AX2" s="3" t="s">
        <v>16</v>
      </c>
      <c r="AY2" s="3" t="s">
        <v>17</v>
      </c>
      <c r="AZ2" s="3" t="s">
        <v>18</v>
      </c>
      <c r="BA2" s="3" t="s">
        <v>19</v>
      </c>
      <c r="BB2" s="3" t="s">
        <v>15</v>
      </c>
      <c r="BC2" s="3" t="s">
        <v>16</v>
      </c>
      <c r="BD2" s="3" t="s">
        <v>17</v>
      </c>
      <c r="BE2" s="3" t="s">
        <v>18</v>
      </c>
      <c r="BF2" s="3" t="s">
        <v>19</v>
      </c>
      <c r="BG2" s="3" t="s">
        <v>15</v>
      </c>
      <c r="BH2" s="3" t="s">
        <v>16</v>
      </c>
      <c r="BI2" s="3" t="s">
        <v>17</v>
      </c>
      <c r="BJ2" s="3" t="s">
        <v>18</v>
      </c>
      <c r="BK2" s="3" t="s">
        <v>19</v>
      </c>
      <c r="BL2" s="3" t="s">
        <v>15</v>
      </c>
      <c r="BM2" s="3" t="s">
        <v>16</v>
      </c>
      <c r="BN2" s="3" t="s">
        <v>17</v>
      </c>
      <c r="BO2" s="3" t="s">
        <v>18</v>
      </c>
      <c r="BP2" s="3" t="s">
        <v>19</v>
      </c>
      <c r="BQ2" s="3" t="s">
        <v>15</v>
      </c>
      <c r="BR2" s="3" t="s">
        <v>16</v>
      </c>
      <c r="BS2" s="3" t="s">
        <v>17</v>
      </c>
      <c r="BT2" s="3" t="s">
        <v>18</v>
      </c>
      <c r="BU2" s="3" t="s">
        <v>19</v>
      </c>
      <c r="BV2" s="3" t="s">
        <v>15</v>
      </c>
      <c r="BW2" s="3" t="s">
        <v>16</v>
      </c>
      <c r="BX2" s="3" t="s">
        <v>17</v>
      </c>
      <c r="BY2" s="3" t="s">
        <v>15</v>
      </c>
      <c r="BZ2" s="3" t="s">
        <v>16</v>
      </c>
      <c r="CA2" s="3" t="s">
        <v>17</v>
      </c>
      <c r="CB2" s="3" t="s">
        <v>15</v>
      </c>
      <c r="CC2" s="3" t="s">
        <v>16</v>
      </c>
      <c r="CD2" s="3" t="s">
        <v>17</v>
      </c>
      <c r="CE2" s="3" t="s">
        <v>15</v>
      </c>
      <c r="CF2" s="3" t="s">
        <v>16</v>
      </c>
      <c r="CG2" s="3" t="s">
        <v>17</v>
      </c>
      <c r="CH2" s="3" t="s">
        <v>15</v>
      </c>
      <c r="CI2" s="3" t="s">
        <v>16</v>
      </c>
      <c r="CJ2" s="3" t="s">
        <v>17</v>
      </c>
      <c r="CK2" s="3" t="s">
        <v>15</v>
      </c>
      <c r="CL2" s="3" t="s">
        <v>16</v>
      </c>
      <c r="CM2" s="3" t="s">
        <v>17</v>
      </c>
      <c r="CN2" s="3" t="s">
        <v>15</v>
      </c>
      <c r="CO2" s="3" t="s">
        <v>16</v>
      </c>
      <c r="CP2" s="3" t="s">
        <v>17</v>
      </c>
      <c r="CQ2" s="3" t="s">
        <v>15</v>
      </c>
      <c r="CR2" s="3" t="s">
        <v>16</v>
      </c>
      <c r="CS2" s="3" t="s">
        <v>17</v>
      </c>
      <c r="CT2" s="3" t="s">
        <v>15</v>
      </c>
      <c r="CU2" s="3" t="s">
        <v>16</v>
      </c>
      <c r="CV2" s="3" t="s">
        <v>17</v>
      </c>
    </row>
    <row r="3" customFormat="false" ht="15" hidden="false" customHeight="false" outlineLevel="0" collapsed="false">
      <c r="A3" s="4" t="s">
        <v>49</v>
      </c>
      <c r="B3" s="4" t="s">
        <v>50</v>
      </c>
      <c r="C3" s="10" t="n">
        <v>575</v>
      </c>
      <c r="D3" s="10" t="n">
        <v>342</v>
      </c>
      <c r="E3" s="10" t="n">
        <v>343</v>
      </c>
      <c r="F3" s="11" t="n">
        <v>343</v>
      </c>
      <c r="G3" s="12" t="n">
        <f aca="false">F3-E3</f>
        <v>0</v>
      </c>
      <c r="H3" s="12" t="n">
        <f aca="false">F3-D3</f>
        <v>1</v>
      </c>
      <c r="I3" s="10" t="n">
        <v>575</v>
      </c>
      <c r="J3" s="10" t="n">
        <v>575</v>
      </c>
      <c r="K3" s="11" t="n">
        <v>575</v>
      </c>
      <c r="L3" s="12" t="n">
        <f aca="false">K3-J3</f>
        <v>0</v>
      </c>
      <c r="M3" s="12" t="n">
        <f aca="false">K3-I3</f>
        <v>0</v>
      </c>
      <c r="N3" s="10" t="n">
        <v>569</v>
      </c>
      <c r="O3" s="10" t="n">
        <v>570</v>
      </c>
      <c r="P3" s="11" t="n">
        <v>570</v>
      </c>
      <c r="Q3" s="12" t="n">
        <f aca="false">P3-O3</f>
        <v>0</v>
      </c>
      <c r="R3" s="12" t="n">
        <f aca="false">P3-N3</f>
        <v>1</v>
      </c>
      <c r="S3" s="10" t="n">
        <v>270</v>
      </c>
      <c r="T3" s="10" t="n">
        <v>189</v>
      </c>
      <c r="U3" s="11" t="n">
        <v>189</v>
      </c>
      <c r="V3" s="12" t="n">
        <f aca="false">U3-T3</f>
        <v>0</v>
      </c>
      <c r="W3" s="12" t="n">
        <f aca="false">U3-S3</f>
        <v>-81</v>
      </c>
      <c r="X3" s="10" t="n">
        <v>441</v>
      </c>
      <c r="Y3" s="10" t="n">
        <v>316</v>
      </c>
      <c r="Z3" s="11" t="n">
        <v>316</v>
      </c>
      <c r="AA3" s="12" t="n">
        <f aca="false">Z3-Y3</f>
        <v>0</v>
      </c>
      <c r="AB3" s="12" t="n">
        <f aca="false">Z3-X3</f>
        <v>-125</v>
      </c>
      <c r="AC3" s="10" t="n">
        <v>465</v>
      </c>
      <c r="AD3" s="10" t="n">
        <v>314</v>
      </c>
      <c r="AE3" s="11" t="n">
        <v>314</v>
      </c>
      <c r="AF3" s="12" t="n">
        <f aca="false">AE3-AD3</f>
        <v>0</v>
      </c>
      <c r="AG3" s="12" t="n">
        <f aca="false">AE3-AC3</f>
        <v>-151</v>
      </c>
      <c r="AH3" s="10" t="n">
        <v>465</v>
      </c>
      <c r="AI3" s="10" t="n">
        <v>314</v>
      </c>
      <c r="AJ3" s="11" t="n">
        <v>314</v>
      </c>
      <c r="AK3" s="12" t="n">
        <f aca="false">AJ3-AI3</f>
        <v>0</v>
      </c>
      <c r="AL3" s="12" t="n">
        <f aca="false">AJ3-AH3</f>
        <v>-151</v>
      </c>
      <c r="AM3" s="10" t="n">
        <v>575</v>
      </c>
      <c r="AN3" s="10" t="n">
        <v>575</v>
      </c>
      <c r="AO3" s="11" t="n">
        <v>575</v>
      </c>
      <c r="AP3" s="12" t="n">
        <f aca="false">AO3-AN3</f>
        <v>0</v>
      </c>
      <c r="AQ3" s="12" t="n">
        <f aca="false">AO3-AM3</f>
        <v>0</v>
      </c>
      <c r="AR3" s="10" t="n">
        <v>275</v>
      </c>
      <c r="AS3" s="10" t="n">
        <v>275</v>
      </c>
      <c r="AT3" s="11" t="n">
        <v>275</v>
      </c>
      <c r="AU3" s="12" t="n">
        <f aca="false">AT3-AS3</f>
        <v>0</v>
      </c>
      <c r="AV3" s="12" t="n">
        <f aca="false">AT3-AR3</f>
        <v>0</v>
      </c>
      <c r="AW3" s="10" t="n">
        <v>250</v>
      </c>
      <c r="AX3" s="10" t="n">
        <v>252</v>
      </c>
      <c r="AY3" s="11" t="n">
        <v>252</v>
      </c>
      <c r="AZ3" s="12" t="n">
        <f aca="false">AY3-AX3</f>
        <v>0</v>
      </c>
      <c r="BA3" s="12" t="n">
        <f aca="false">AY3-AW3</f>
        <v>2</v>
      </c>
      <c r="BB3" s="10" t="n">
        <v>0</v>
      </c>
      <c r="BC3" s="10" t="n">
        <v>0</v>
      </c>
      <c r="BD3" s="11" t="n">
        <v>0</v>
      </c>
      <c r="BE3" s="12" t="n">
        <f aca="false">BD3-BC3</f>
        <v>0</v>
      </c>
      <c r="BF3" s="12" t="n">
        <f aca="false">BD3-BB3</f>
        <v>0</v>
      </c>
      <c r="BG3" s="10" t="n">
        <v>539</v>
      </c>
      <c r="BH3" s="10" t="n">
        <v>539</v>
      </c>
      <c r="BI3" s="11" t="n">
        <v>539</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51</v>
      </c>
      <c r="BW3" s="10" t="s">
        <v>51</v>
      </c>
      <c r="BX3" s="10" t="s">
        <v>51</v>
      </c>
      <c r="BY3" s="10" t="s">
        <v>51</v>
      </c>
      <c r="BZ3" s="10" t="s">
        <v>51</v>
      </c>
      <c r="CA3" s="10" t="s">
        <v>51</v>
      </c>
      <c r="CB3" s="10" t="s">
        <v>51</v>
      </c>
      <c r="CC3" s="10" t="s">
        <v>51</v>
      </c>
      <c r="CD3" s="10" t="s">
        <v>51</v>
      </c>
      <c r="CE3" s="10" t="s">
        <v>52</v>
      </c>
      <c r="CF3" s="10" t="s">
        <v>52</v>
      </c>
      <c r="CG3" s="10" t="s">
        <v>52</v>
      </c>
      <c r="CH3" s="10" t="s">
        <v>51</v>
      </c>
      <c r="CI3" s="10" t="s">
        <v>51</v>
      </c>
      <c r="CJ3" s="10" t="s">
        <v>51</v>
      </c>
      <c r="CK3" s="10" t="s">
        <v>51</v>
      </c>
      <c r="CL3" s="10" t="s">
        <v>51</v>
      </c>
      <c r="CM3" s="10" t="s">
        <v>51</v>
      </c>
      <c r="CN3" s="10" t="s">
        <v>52</v>
      </c>
      <c r="CO3" s="10" t="s">
        <v>52</v>
      </c>
      <c r="CP3" s="10" t="s">
        <v>52</v>
      </c>
      <c r="CQ3" s="10" t="s">
        <v>51</v>
      </c>
      <c r="CR3" s="10" t="s">
        <v>51</v>
      </c>
      <c r="CS3" s="10" t="s">
        <v>51</v>
      </c>
      <c r="CT3" s="10" t="s">
        <v>52</v>
      </c>
      <c r="CU3" s="10" t="s">
        <v>52</v>
      </c>
      <c r="CV3" s="10" t="s">
        <v>52</v>
      </c>
    </row>
    <row r="4" customFormat="false" ht="15" hidden="false" customHeight="false" outlineLevel="0" collapsed="false">
      <c r="A4" s="4" t="s">
        <v>53</v>
      </c>
      <c r="B4" s="4" t="s">
        <v>54</v>
      </c>
      <c r="C4" s="10" t="n">
        <v>379</v>
      </c>
      <c r="D4" s="10" t="n">
        <v>222</v>
      </c>
      <c r="E4" s="10" t="n">
        <v>222</v>
      </c>
      <c r="F4" s="11" t="n">
        <v>222</v>
      </c>
      <c r="G4" s="12" t="n">
        <f aca="false">F4-E4</f>
        <v>0</v>
      </c>
      <c r="H4" s="12" t="n">
        <f aca="false">F4-D4</f>
        <v>0</v>
      </c>
      <c r="I4" s="10" t="n">
        <v>379</v>
      </c>
      <c r="J4" s="10" t="n">
        <v>379</v>
      </c>
      <c r="K4" s="11" t="n">
        <v>379</v>
      </c>
      <c r="L4" s="12" t="n">
        <f aca="false">K4-J4</f>
        <v>0</v>
      </c>
      <c r="M4" s="12" t="n">
        <f aca="false">K4-I4</f>
        <v>0</v>
      </c>
      <c r="N4" s="10" t="n">
        <v>371</v>
      </c>
      <c r="O4" s="10" t="n">
        <v>372</v>
      </c>
      <c r="P4" s="11" t="n">
        <v>372</v>
      </c>
      <c r="Q4" s="12" t="n">
        <f aca="false">P4-O4</f>
        <v>0</v>
      </c>
      <c r="R4" s="12" t="n">
        <f aca="false">P4-N4</f>
        <v>1</v>
      </c>
      <c r="S4" s="10" t="n">
        <v>17</v>
      </c>
      <c r="T4" s="10" t="n">
        <v>9</v>
      </c>
      <c r="U4" s="11" t="n">
        <v>9</v>
      </c>
      <c r="V4" s="12" t="n">
        <f aca="false">U4-T4</f>
        <v>0</v>
      </c>
      <c r="W4" s="12" t="n">
        <f aca="false">U4-S4</f>
        <v>-8</v>
      </c>
      <c r="X4" s="10" t="n">
        <v>134</v>
      </c>
      <c r="Y4" s="10" t="n">
        <v>91</v>
      </c>
      <c r="Z4" s="11" t="n">
        <v>91</v>
      </c>
      <c r="AA4" s="12" t="n">
        <f aca="false">Z4-Y4</f>
        <v>0</v>
      </c>
      <c r="AB4" s="12" t="n">
        <f aca="false">Z4-X4</f>
        <v>-43</v>
      </c>
      <c r="AC4" s="10" t="n">
        <v>172</v>
      </c>
      <c r="AD4" s="10" t="n">
        <v>130</v>
      </c>
      <c r="AE4" s="11" t="n">
        <v>130</v>
      </c>
      <c r="AF4" s="12" t="n">
        <f aca="false">AE4-AD4</f>
        <v>0</v>
      </c>
      <c r="AG4" s="12" t="n">
        <f aca="false">AE4-AC4</f>
        <v>-42</v>
      </c>
      <c r="AH4" s="10" t="n">
        <v>172</v>
      </c>
      <c r="AI4" s="10" t="n">
        <v>130</v>
      </c>
      <c r="AJ4" s="11" t="n">
        <v>130</v>
      </c>
      <c r="AK4" s="12" t="n">
        <f aca="false">AJ4-AI4</f>
        <v>0</v>
      </c>
      <c r="AL4" s="12" t="n">
        <f aca="false">AJ4-AH4</f>
        <v>-42</v>
      </c>
      <c r="AM4" s="10" t="n">
        <v>379</v>
      </c>
      <c r="AN4" s="10" t="n">
        <v>379</v>
      </c>
      <c r="AO4" s="11" t="n">
        <v>379</v>
      </c>
      <c r="AP4" s="12" t="n">
        <f aca="false">AO4-AN4</f>
        <v>0</v>
      </c>
      <c r="AQ4" s="12" t="n">
        <f aca="false">AO4-AM4</f>
        <v>0</v>
      </c>
      <c r="AR4" s="10" t="n">
        <v>0</v>
      </c>
      <c r="AS4" s="10" t="n">
        <v>0</v>
      </c>
      <c r="AT4" s="11" t="n">
        <v>0</v>
      </c>
      <c r="AU4" s="12" t="n">
        <f aca="false">AT4-AS4</f>
        <v>0</v>
      </c>
      <c r="AV4" s="12" t="n">
        <f aca="false">AT4-AR4</f>
        <v>0</v>
      </c>
      <c r="AW4" s="10" t="n">
        <v>1</v>
      </c>
      <c r="AX4" s="10" t="n">
        <v>1</v>
      </c>
      <c r="AY4" s="11" t="n">
        <v>1</v>
      </c>
      <c r="AZ4" s="12" t="n">
        <f aca="false">AY4-AX4</f>
        <v>0</v>
      </c>
      <c r="BA4" s="12" t="n">
        <f aca="false">AY4-AW4</f>
        <v>0</v>
      </c>
      <c r="BB4" s="10" t="n">
        <v>0</v>
      </c>
      <c r="BC4" s="10" t="n">
        <v>0</v>
      </c>
      <c r="BD4" s="11" t="n">
        <v>0</v>
      </c>
      <c r="BE4" s="12" t="n">
        <f aca="false">BD4-BC4</f>
        <v>0</v>
      </c>
      <c r="BF4" s="12" t="n">
        <f aca="false">BD4-BB4</f>
        <v>0</v>
      </c>
      <c r="BG4" s="10" t="n">
        <v>337</v>
      </c>
      <c r="BH4" s="10" t="n">
        <v>337</v>
      </c>
      <c r="BI4" s="11" t="n">
        <v>337</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51</v>
      </c>
      <c r="BW4" s="10" t="s">
        <v>51</v>
      </c>
      <c r="BX4" s="10" t="s">
        <v>51</v>
      </c>
      <c r="BY4" s="10" t="s">
        <v>52</v>
      </c>
      <c r="BZ4" s="10" t="s">
        <v>52</v>
      </c>
      <c r="CA4" s="10" t="s">
        <v>52</v>
      </c>
      <c r="CB4" s="10" t="s">
        <v>51</v>
      </c>
      <c r="CC4" s="10" t="s">
        <v>51</v>
      </c>
      <c r="CD4" s="10" t="s">
        <v>51</v>
      </c>
      <c r="CE4" s="10" t="s">
        <v>52</v>
      </c>
      <c r="CF4" s="10" t="s">
        <v>52</v>
      </c>
      <c r="CG4" s="10" t="s">
        <v>52</v>
      </c>
      <c r="CH4" s="10" t="s">
        <v>51</v>
      </c>
      <c r="CI4" s="10" t="s">
        <v>51</v>
      </c>
      <c r="CJ4" s="10" t="s">
        <v>51</v>
      </c>
      <c r="CK4" s="10" t="s">
        <v>51</v>
      </c>
      <c r="CL4" s="10" t="s">
        <v>51</v>
      </c>
      <c r="CM4" s="10" t="s">
        <v>51</v>
      </c>
      <c r="CN4" s="10" t="s">
        <v>51</v>
      </c>
      <c r="CO4" s="10" t="s">
        <v>51</v>
      </c>
      <c r="CP4" s="10" t="s">
        <v>51</v>
      </c>
      <c r="CQ4" s="10" t="s">
        <v>52</v>
      </c>
      <c r="CR4" s="10" t="s">
        <v>52</v>
      </c>
      <c r="CS4" s="10" t="s">
        <v>52</v>
      </c>
      <c r="CT4" s="10" t="s">
        <v>52</v>
      </c>
      <c r="CU4" s="10" t="s">
        <v>52</v>
      </c>
      <c r="CV4" s="10" t="s">
        <v>52</v>
      </c>
    </row>
    <row r="5" customFormat="false" ht="15" hidden="false" customHeight="false" outlineLevel="0" collapsed="false">
      <c r="A5" s="4" t="s">
        <v>55</v>
      </c>
      <c r="B5" s="4" t="s">
        <v>56</v>
      </c>
      <c r="C5" s="10" t="n">
        <v>270</v>
      </c>
      <c r="D5" s="10" t="n">
        <v>270</v>
      </c>
      <c r="E5" s="10" t="n">
        <v>264</v>
      </c>
      <c r="F5" s="11" t="n">
        <v>264</v>
      </c>
      <c r="G5" s="12" t="n">
        <f aca="false">F5-E5</f>
        <v>0</v>
      </c>
      <c r="H5" s="12" t="n">
        <f aca="false">F5-D5</f>
        <v>-6</v>
      </c>
      <c r="I5" s="10" t="n">
        <v>34</v>
      </c>
      <c r="J5" s="10" t="n">
        <v>270</v>
      </c>
      <c r="K5" s="11" t="n">
        <v>270</v>
      </c>
      <c r="L5" s="12" t="n">
        <f aca="false">K5-J5</f>
        <v>0</v>
      </c>
      <c r="M5" s="12" t="n">
        <f aca="false">K5-I5</f>
        <v>236</v>
      </c>
      <c r="N5" s="10" t="n">
        <v>312</v>
      </c>
      <c r="O5" s="10" t="n">
        <v>270</v>
      </c>
      <c r="P5" s="11" t="n">
        <v>270</v>
      </c>
      <c r="Q5" s="12" t="n">
        <f aca="false">P5-O5</f>
        <v>0</v>
      </c>
      <c r="R5" s="12" t="n">
        <f aca="false">P5-N5</f>
        <v>-42</v>
      </c>
      <c r="S5" s="10" t="n">
        <v>157</v>
      </c>
      <c r="T5" s="10" t="n">
        <v>186</v>
      </c>
      <c r="U5" s="11" t="n">
        <v>186</v>
      </c>
      <c r="V5" s="12" t="n">
        <f aca="false">U5-T5</f>
        <v>0</v>
      </c>
      <c r="W5" s="12" t="n">
        <f aca="false">U5-S5</f>
        <v>29</v>
      </c>
      <c r="X5" s="10" t="n">
        <v>275</v>
      </c>
      <c r="Y5" s="10" t="n">
        <v>262</v>
      </c>
      <c r="Z5" s="11" t="n">
        <v>262</v>
      </c>
      <c r="AA5" s="12" t="n">
        <f aca="false">Z5-Y5</f>
        <v>0</v>
      </c>
      <c r="AB5" s="12" t="n">
        <f aca="false">Z5-X5</f>
        <v>-13</v>
      </c>
      <c r="AC5" s="10" t="n">
        <v>131</v>
      </c>
      <c r="AD5" s="10" t="n">
        <v>124</v>
      </c>
      <c r="AE5" s="11" t="n">
        <v>124</v>
      </c>
      <c r="AF5" s="12" t="n">
        <f aca="false">AE5-AD5</f>
        <v>0</v>
      </c>
      <c r="AG5" s="12" t="n">
        <f aca="false">AE5-AC5</f>
        <v>-7</v>
      </c>
      <c r="AH5" s="10" t="n">
        <v>131</v>
      </c>
      <c r="AI5" s="10" t="n">
        <v>124</v>
      </c>
      <c r="AJ5" s="11" t="n">
        <v>124</v>
      </c>
      <c r="AK5" s="12" t="n">
        <f aca="false">AJ5-AI5</f>
        <v>0</v>
      </c>
      <c r="AL5" s="12" t="n">
        <f aca="false">AJ5-AH5</f>
        <v>-7</v>
      </c>
      <c r="AM5" s="10" t="n">
        <v>315</v>
      </c>
      <c r="AN5" s="10" t="n">
        <v>270</v>
      </c>
      <c r="AO5" s="11" t="n">
        <v>270</v>
      </c>
      <c r="AP5" s="12" t="n">
        <f aca="false">AO5-AN5</f>
        <v>0</v>
      </c>
      <c r="AQ5" s="12" t="n">
        <f aca="false">AO5-AM5</f>
        <v>-45</v>
      </c>
      <c r="AR5" s="10" t="n">
        <v>0</v>
      </c>
      <c r="AS5" s="10" t="n">
        <v>16</v>
      </c>
      <c r="AT5" s="11" t="n">
        <v>16</v>
      </c>
      <c r="AU5" s="12" t="n">
        <f aca="false">AT5-AS5</f>
        <v>0</v>
      </c>
      <c r="AV5" s="12" t="n">
        <f aca="false">AT5-AR5</f>
        <v>16</v>
      </c>
      <c r="AW5" s="10" t="n">
        <v>0</v>
      </c>
      <c r="AX5" s="10" t="n">
        <v>132</v>
      </c>
      <c r="AY5" s="11" t="n">
        <v>132</v>
      </c>
      <c r="AZ5" s="12" t="n">
        <f aca="false">AY5-AX5</f>
        <v>0</v>
      </c>
      <c r="BA5" s="12" t="n">
        <f aca="false">AY5-AW5</f>
        <v>132</v>
      </c>
      <c r="BB5" s="10" t="n">
        <v>0</v>
      </c>
      <c r="BC5" s="10" t="n">
        <v>0</v>
      </c>
      <c r="BD5" s="11" t="n">
        <v>0</v>
      </c>
      <c r="BE5" s="12" t="n">
        <f aca="false">BD5-BC5</f>
        <v>0</v>
      </c>
      <c r="BF5" s="12" t="n">
        <f aca="false">BD5-BB5</f>
        <v>0</v>
      </c>
      <c r="BG5" s="10" t="n">
        <v>0</v>
      </c>
      <c r="BH5" s="10" t="n">
        <v>0</v>
      </c>
      <c r="BI5" s="11" t="n">
        <v>0</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51</v>
      </c>
      <c r="BW5" s="10" t="s">
        <v>51</v>
      </c>
      <c r="BX5" s="10" t="s">
        <v>51</v>
      </c>
      <c r="BY5" s="10" t="s">
        <v>51</v>
      </c>
      <c r="BZ5" s="10" t="s">
        <v>51</v>
      </c>
      <c r="CA5" s="10" t="s">
        <v>51</v>
      </c>
      <c r="CB5" s="10" t="s">
        <v>51</v>
      </c>
      <c r="CC5" s="10" t="s">
        <v>51</v>
      </c>
      <c r="CD5" s="10" t="s">
        <v>51</v>
      </c>
      <c r="CE5" s="10" t="s">
        <v>52</v>
      </c>
      <c r="CF5" s="10" t="s">
        <v>52</v>
      </c>
      <c r="CG5" s="10" t="s">
        <v>52</v>
      </c>
      <c r="CH5" s="10" t="s">
        <v>51</v>
      </c>
      <c r="CI5" s="10" t="s">
        <v>51</v>
      </c>
      <c r="CJ5" s="10" t="s">
        <v>51</v>
      </c>
      <c r="CK5" s="10" t="s">
        <v>51</v>
      </c>
      <c r="CL5" s="10" t="s">
        <v>51</v>
      </c>
      <c r="CM5" s="10" t="s">
        <v>51</v>
      </c>
      <c r="CN5" s="10" t="s">
        <v>51</v>
      </c>
      <c r="CO5" s="10" t="s">
        <v>51</v>
      </c>
      <c r="CP5" s="10" t="s">
        <v>51</v>
      </c>
      <c r="CQ5" s="10" t="s">
        <v>52</v>
      </c>
      <c r="CR5" s="10" t="s">
        <v>52</v>
      </c>
      <c r="CS5" s="10" t="s">
        <v>52</v>
      </c>
      <c r="CT5" s="10" t="s">
        <v>52</v>
      </c>
      <c r="CU5" s="10" t="s">
        <v>52</v>
      </c>
      <c r="CV5" s="10" t="s">
        <v>52</v>
      </c>
    </row>
    <row r="6" customFormat="false" ht="15" hidden="false" customHeight="false" outlineLevel="0" collapsed="false">
      <c r="A6" s="4" t="s">
        <v>57</v>
      </c>
      <c r="B6" s="4" t="s">
        <v>58</v>
      </c>
      <c r="C6" s="10" t="n">
        <v>234</v>
      </c>
      <c r="D6" s="10" t="n">
        <v>139</v>
      </c>
      <c r="E6" s="10" t="n">
        <v>140</v>
      </c>
      <c r="F6" s="11" t="n">
        <v>140</v>
      </c>
      <c r="G6" s="12" t="n">
        <f aca="false">F6-E6</f>
        <v>0</v>
      </c>
      <c r="H6" s="12" t="n">
        <f aca="false">F6-D6</f>
        <v>1</v>
      </c>
      <c r="I6" s="10" t="n">
        <v>234</v>
      </c>
      <c r="J6" s="10" t="n">
        <v>234</v>
      </c>
      <c r="K6" s="11" t="n">
        <v>234</v>
      </c>
      <c r="L6" s="12" t="n">
        <f aca="false">K6-J6</f>
        <v>0</v>
      </c>
      <c r="M6" s="12" t="n">
        <f aca="false">K6-I6</f>
        <v>0</v>
      </c>
      <c r="N6" s="10" t="n">
        <v>227</v>
      </c>
      <c r="O6" s="10" t="n">
        <v>227</v>
      </c>
      <c r="P6" s="11" t="n">
        <v>227</v>
      </c>
      <c r="Q6" s="12" t="n">
        <f aca="false">P6-O6</f>
        <v>0</v>
      </c>
      <c r="R6" s="12" t="n">
        <f aca="false">P6-N6</f>
        <v>0</v>
      </c>
      <c r="S6" s="10" t="n">
        <v>112</v>
      </c>
      <c r="T6" s="10" t="n">
        <v>101</v>
      </c>
      <c r="U6" s="11" t="n">
        <v>101</v>
      </c>
      <c r="V6" s="12" t="n">
        <f aca="false">U6-T6</f>
        <v>0</v>
      </c>
      <c r="W6" s="12" t="n">
        <f aca="false">U6-S6</f>
        <v>-11</v>
      </c>
      <c r="X6" s="10" t="n">
        <v>132</v>
      </c>
      <c r="Y6" s="10" t="n">
        <v>116</v>
      </c>
      <c r="Z6" s="11" t="n">
        <v>116</v>
      </c>
      <c r="AA6" s="12" t="n">
        <f aca="false">Z6-Y6</f>
        <v>0</v>
      </c>
      <c r="AB6" s="12" t="n">
        <f aca="false">Z6-X6</f>
        <v>-16</v>
      </c>
      <c r="AC6" s="10" t="n">
        <v>105</v>
      </c>
      <c r="AD6" s="10" t="n">
        <v>98</v>
      </c>
      <c r="AE6" s="11" t="n">
        <v>98</v>
      </c>
      <c r="AF6" s="12" t="n">
        <f aca="false">AE6-AD6</f>
        <v>0</v>
      </c>
      <c r="AG6" s="12" t="n">
        <f aca="false">AE6-AC6</f>
        <v>-7</v>
      </c>
      <c r="AH6" s="10" t="n">
        <v>105</v>
      </c>
      <c r="AI6" s="10" t="n">
        <v>98</v>
      </c>
      <c r="AJ6" s="11" t="n">
        <v>98</v>
      </c>
      <c r="AK6" s="12" t="n">
        <f aca="false">AJ6-AI6</f>
        <v>0</v>
      </c>
      <c r="AL6" s="12" t="n">
        <f aca="false">AJ6-AH6</f>
        <v>-7</v>
      </c>
      <c r="AM6" s="10" t="n">
        <v>234</v>
      </c>
      <c r="AN6" s="10" t="n">
        <v>234</v>
      </c>
      <c r="AO6" s="11" t="n">
        <v>234</v>
      </c>
      <c r="AP6" s="12" t="n">
        <f aca="false">AO6-AN6</f>
        <v>0</v>
      </c>
      <c r="AQ6" s="12" t="n">
        <f aca="false">AO6-AM6</f>
        <v>0</v>
      </c>
      <c r="AR6" s="10" t="n">
        <v>1</v>
      </c>
      <c r="AS6" s="10" t="n">
        <v>2</v>
      </c>
      <c r="AT6" s="11" t="n">
        <v>2</v>
      </c>
      <c r="AU6" s="12" t="n">
        <f aca="false">AT6-AS6</f>
        <v>0</v>
      </c>
      <c r="AV6" s="12" t="n">
        <f aca="false">AT6-AR6</f>
        <v>1</v>
      </c>
      <c r="AW6" s="10" t="n">
        <v>95</v>
      </c>
      <c r="AX6" s="10" t="n">
        <v>96</v>
      </c>
      <c r="AY6" s="11" t="n">
        <v>96</v>
      </c>
      <c r="AZ6" s="12" t="n">
        <f aca="false">AY6-AX6</f>
        <v>0</v>
      </c>
      <c r="BA6" s="12" t="n">
        <f aca="false">AY6-AW6</f>
        <v>1</v>
      </c>
      <c r="BB6" s="10" t="n">
        <v>0</v>
      </c>
      <c r="BC6" s="10" t="n">
        <v>0</v>
      </c>
      <c r="BD6" s="11" t="n">
        <v>0</v>
      </c>
      <c r="BE6" s="12" t="n">
        <f aca="false">BD6-BC6</f>
        <v>0</v>
      </c>
      <c r="BF6" s="12" t="n">
        <f aca="false">BD6-BB6</f>
        <v>0</v>
      </c>
      <c r="BG6" s="10" t="n">
        <v>193</v>
      </c>
      <c r="BH6" s="10" t="n">
        <v>193</v>
      </c>
      <c r="BI6" s="11" t="n">
        <v>193</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51</v>
      </c>
      <c r="BW6" s="10" t="s">
        <v>51</v>
      </c>
      <c r="BX6" s="10" t="s">
        <v>51</v>
      </c>
      <c r="BY6" s="10" t="s">
        <v>51</v>
      </c>
      <c r="BZ6" s="10" t="s">
        <v>51</v>
      </c>
      <c r="CA6" s="10" t="s">
        <v>51</v>
      </c>
      <c r="CB6" s="10" t="s">
        <v>51</v>
      </c>
      <c r="CC6" s="10" t="s">
        <v>51</v>
      </c>
      <c r="CD6" s="10" t="s">
        <v>51</v>
      </c>
      <c r="CE6" s="10" t="s">
        <v>52</v>
      </c>
      <c r="CF6" s="10" t="s">
        <v>52</v>
      </c>
      <c r="CG6" s="10" t="s">
        <v>52</v>
      </c>
      <c r="CH6" s="10" t="s">
        <v>51</v>
      </c>
      <c r="CI6" s="10" t="s">
        <v>51</v>
      </c>
      <c r="CJ6" s="10" t="s">
        <v>51</v>
      </c>
      <c r="CK6" s="10" t="s">
        <v>51</v>
      </c>
      <c r="CL6" s="10" t="s">
        <v>51</v>
      </c>
      <c r="CM6" s="10" t="s">
        <v>51</v>
      </c>
      <c r="CN6" s="10" t="s">
        <v>51</v>
      </c>
      <c r="CO6" s="10" t="s">
        <v>51</v>
      </c>
      <c r="CP6" s="10" t="s">
        <v>51</v>
      </c>
      <c r="CQ6" s="10" t="s">
        <v>52</v>
      </c>
      <c r="CR6" s="10" t="s">
        <v>51</v>
      </c>
      <c r="CS6" s="10" t="s">
        <v>51</v>
      </c>
      <c r="CT6" s="10" t="s">
        <v>52</v>
      </c>
      <c r="CU6" s="10" t="s">
        <v>52</v>
      </c>
      <c r="CV6" s="10" t="s">
        <v>52</v>
      </c>
    </row>
    <row r="7" customFormat="false" ht="15" hidden="false" customHeight="false" outlineLevel="0" collapsed="false">
      <c r="A7" s="4" t="s">
        <v>59</v>
      </c>
      <c r="B7" s="4" t="s">
        <v>60</v>
      </c>
      <c r="C7" s="10" t="n">
        <v>208</v>
      </c>
      <c r="D7" s="10" t="n">
        <v>153</v>
      </c>
      <c r="E7" s="10" t="n">
        <v>153</v>
      </c>
      <c r="F7" s="11" t="n">
        <v>153</v>
      </c>
      <c r="G7" s="12" t="n">
        <f aca="false">F7-E7</f>
        <v>0</v>
      </c>
      <c r="H7" s="12" t="n">
        <f aca="false">F7-D7</f>
        <v>0</v>
      </c>
      <c r="I7" s="10" t="n">
        <v>208</v>
      </c>
      <c r="J7" s="10" t="n">
        <v>208</v>
      </c>
      <c r="K7" s="11" t="n">
        <v>208</v>
      </c>
      <c r="L7" s="12" t="n">
        <f aca="false">K7-J7</f>
        <v>0</v>
      </c>
      <c r="M7" s="12" t="n">
        <f aca="false">K7-I7</f>
        <v>0</v>
      </c>
      <c r="N7" s="10" t="n">
        <v>208</v>
      </c>
      <c r="O7" s="10" t="n">
        <v>208</v>
      </c>
      <c r="P7" s="11" t="n">
        <v>208</v>
      </c>
      <c r="Q7" s="12" t="n">
        <f aca="false">P7-O7</f>
        <v>0</v>
      </c>
      <c r="R7" s="12" t="n">
        <f aca="false">P7-N7</f>
        <v>0</v>
      </c>
      <c r="S7" s="10" t="n">
        <v>53</v>
      </c>
      <c r="T7" s="10" t="n">
        <v>43</v>
      </c>
      <c r="U7" s="11" t="n">
        <v>43</v>
      </c>
      <c r="V7" s="12" t="n">
        <f aca="false">U7-T7</f>
        <v>0</v>
      </c>
      <c r="W7" s="12" t="n">
        <f aca="false">U7-S7</f>
        <v>-10</v>
      </c>
      <c r="X7" s="10" t="n">
        <v>103</v>
      </c>
      <c r="Y7" s="10" t="n">
        <v>77</v>
      </c>
      <c r="Z7" s="11" t="n">
        <v>77</v>
      </c>
      <c r="AA7" s="12" t="n">
        <f aca="false">Z7-Y7</f>
        <v>0</v>
      </c>
      <c r="AB7" s="12" t="n">
        <f aca="false">Z7-X7</f>
        <v>-26</v>
      </c>
      <c r="AC7" s="10" t="n">
        <v>75</v>
      </c>
      <c r="AD7" s="10" t="n">
        <v>72</v>
      </c>
      <c r="AE7" s="11" t="n">
        <v>72</v>
      </c>
      <c r="AF7" s="12" t="n">
        <f aca="false">AE7-AD7</f>
        <v>0</v>
      </c>
      <c r="AG7" s="12" t="n">
        <f aca="false">AE7-AC7</f>
        <v>-3</v>
      </c>
      <c r="AH7" s="10" t="n">
        <v>75</v>
      </c>
      <c r="AI7" s="10" t="n">
        <v>72</v>
      </c>
      <c r="AJ7" s="11" t="n">
        <v>72</v>
      </c>
      <c r="AK7" s="12" t="n">
        <f aca="false">AJ7-AI7</f>
        <v>0</v>
      </c>
      <c r="AL7" s="12" t="n">
        <f aca="false">AJ7-AH7</f>
        <v>-3</v>
      </c>
      <c r="AM7" s="10" t="n">
        <v>208</v>
      </c>
      <c r="AN7" s="10" t="n">
        <v>208</v>
      </c>
      <c r="AO7" s="11" t="n">
        <v>208</v>
      </c>
      <c r="AP7" s="12" t="n">
        <f aca="false">AO7-AN7</f>
        <v>0</v>
      </c>
      <c r="AQ7" s="12" t="n">
        <f aca="false">AO7-AM7</f>
        <v>0</v>
      </c>
      <c r="AR7" s="10" t="n">
        <v>0</v>
      </c>
      <c r="AS7" s="10" t="n">
        <v>4</v>
      </c>
      <c r="AT7" s="11" t="n">
        <v>4</v>
      </c>
      <c r="AU7" s="12" t="n">
        <f aca="false">AT7-AS7</f>
        <v>0</v>
      </c>
      <c r="AV7" s="12" t="n">
        <f aca="false">AT7-AR7</f>
        <v>4</v>
      </c>
      <c r="AW7" s="10" t="n">
        <v>40</v>
      </c>
      <c r="AX7" s="10" t="n">
        <v>68</v>
      </c>
      <c r="AY7" s="11" t="n">
        <v>68</v>
      </c>
      <c r="AZ7" s="12" t="n">
        <f aca="false">AY7-AX7</f>
        <v>0</v>
      </c>
      <c r="BA7" s="12" t="n">
        <f aca="false">AY7-AW7</f>
        <v>28</v>
      </c>
      <c r="BB7" s="10" t="n">
        <v>0</v>
      </c>
      <c r="BC7" s="10" t="n">
        <v>0</v>
      </c>
      <c r="BD7" s="11" t="n">
        <v>0</v>
      </c>
      <c r="BE7" s="12" t="n">
        <f aca="false">BD7-BC7</f>
        <v>0</v>
      </c>
      <c r="BF7" s="12" t="n">
        <f aca="false">BD7-BB7</f>
        <v>0</v>
      </c>
      <c r="BG7" s="10" t="n">
        <v>0</v>
      </c>
      <c r="BH7" s="10" t="n">
        <v>74</v>
      </c>
      <c r="BI7" s="11" t="n">
        <v>74</v>
      </c>
      <c r="BJ7" s="12" t="n">
        <f aca="false">BI7-BH7</f>
        <v>0</v>
      </c>
      <c r="BK7" s="12" t="n">
        <f aca="false">BI7-BG7</f>
        <v>74</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51</v>
      </c>
      <c r="BW7" s="10" t="s">
        <v>51</v>
      </c>
      <c r="BX7" s="10" t="s">
        <v>51</v>
      </c>
      <c r="BY7" s="10" t="s">
        <v>52</v>
      </c>
      <c r="BZ7" s="10" t="s">
        <v>52</v>
      </c>
      <c r="CA7" s="10" t="s">
        <v>52</v>
      </c>
      <c r="CB7" s="10" t="s">
        <v>51</v>
      </c>
      <c r="CC7" s="10" t="s">
        <v>51</v>
      </c>
      <c r="CD7" s="10" t="s">
        <v>51</v>
      </c>
      <c r="CE7" s="10" t="s">
        <v>52</v>
      </c>
      <c r="CF7" s="10" t="s">
        <v>52</v>
      </c>
      <c r="CG7" s="10" t="s">
        <v>52</v>
      </c>
      <c r="CH7" s="10" t="s">
        <v>51</v>
      </c>
      <c r="CI7" s="10" t="s">
        <v>51</v>
      </c>
      <c r="CJ7" s="10" t="s">
        <v>51</v>
      </c>
      <c r="CK7" s="10" t="s">
        <v>51</v>
      </c>
      <c r="CL7" s="10" t="s">
        <v>51</v>
      </c>
      <c r="CM7" s="10" t="s">
        <v>51</v>
      </c>
      <c r="CN7" s="10" t="s">
        <v>51</v>
      </c>
      <c r="CO7" s="10" t="s">
        <v>51</v>
      </c>
      <c r="CP7" s="10" t="s">
        <v>51</v>
      </c>
      <c r="CQ7" s="10" t="s">
        <v>51</v>
      </c>
      <c r="CR7" s="10" t="s">
        <v>51</v>
      </c>
      <c r="CS7" s="10" t="s">
        <v>51</v>
      </c>
      <c r="CT7" s="10" t="s">
        <v>52</v>
      </c>
      <c r="CU7" s="10" t="s">
        <v>52</v>
      </c>
      <c r="CV7" s="10" t="s">
        <v>52</v>
      </c>
    </row>
    <row r="8" customFormat="false" ht="15" hidden="false" customHeight="false" outlineLevel="0" collapsed="false">
      <c r="A8" s="4" t="s">
        <v>61</v>
      </c>
      <c r="B8" s="4" t="s">
        <v>62</v>
      </c>
      <c r="C8" s="10" t="n">
        <v>199</v>
      </c>
      <c r="D8" s="10" t="n">
        <v>164</v>
      </c>
      <c r="E8" s="10" t="n">
        <v>164</v>
      </c>
      <c r="F8" s="11" t="n">
        <v>164</v>
      </c>
      <c r="G8" s="12" t="n">
        <f aca="false">F8-E8</f>
        <v>0</v>
      </c>
      <c r="H8" s="12" t="n">
        <f aca="false">F8-D8</f>
        <v>0</v>
      </c>
      <c r="I8" s="10" t="n">
        <v>199</v>
      </c>
      <c r="J8" s="10" t="n">
        <v>199</v>
      </c>
      <c r="K8" s="11" t="n">
        <v>199</v>
      </c>
      <c r="L8" s="12" t="n">
        <f aca="false">K8-J8</f>
        <v>0</v>
      </c>
      <c r="M8" s="12" t="n">
        <f aca="false">K8-I8</f>
        <v>0</v>
      </c>
      <c r="N8" s="10" t="n">
        <v>196</v>
      </c>
      <c r="O8" s="10" t="n">
        <v>196</v>
      </c>
      <c r="P8" s="11" t="n">
        <v>196</v>
      </c>
      <c r="Q8" s="12" t="n">
        <f aca="false">P8-O8</f>
        <v>0</v>
      </c>
      <c r="R8" s="12" t="n">
        <f aca="false">P8-N8</f>
        <v>0</v>
      </c>
      <c r="S8" s="10" t="n">
        <v>76</v>
      </c>
      <c r="T8" s="10" t="n">
        <v>88</v>
      </c>
      <c r="U8" s="11" t="n">
        <v>88</v>
      </c>
      <c r="V8" s="12" t="n">
        <f aca="false">U8-T8</f>
        <v>0</v>
      </c>
      <c r="W8" s="12" t="n">
        <f aca="false">U8-S8</f>
        <v>12</v>
      </c>
      <c r="X8" s="10" t="n">
        <v>160</v>
      </c>
      <c r="Y8" s="10" t="n">
        <v>174</v>
      </c>
      <c r="Z8" s="11" t="n">
        <v>174</v>
      </c>
      <c r="AA8" s="12" t="n">
        <f aca="false">Z8-Y8</f>
        <v>0</v>
      </c>
      <c r="AB8" s="12" t="n">
        <f aca="false">Z8-X8</f>
        <v>14</v>
      </c>
      <c r="AC8" s="10" t="n">
        <v>159</v>
      </c>
      <c r="AD8" s="10" t="n">
        <v>173</v>
      </c>
      <c r="AE8" s="11" t="n">
        <v>173</v>
      </c>
      <c r="AF8" s="12" t="n">
        <f aca="false">AE8-AD8</f>
        <v>0</v>
      </c>
      <c r="AG8" s="12" t="n">
        <f aca="false">AE8-AC8</f>
        <v>14</v>
      </c>
      <c r="AH8" s="10" t="n">
        <v>159</v>
      </c>
      <c r="AI8" s="10" t="n">
        <v>173</v>
      </c>
      <c r="AJ8" s="11" t="n">
        <v>173</v>
      </c>
      <c r="AK8" s="12" t="n">
        <f aca="false">AJ8-AI8</f>
        <v>0</v>
      </c>
      <c r="AL8" s="12" t="n">
        <f aca="false">AJ8-AH8</f>
        <v>14</v>
      </c>
      <c r="AM8" s="10" t="n">
        <v>199</v>
      </c>
      <c r="AN8" s="10" t="n">
        <v>199</v>
      </c>
      <c r="AO8" s="11" t="n">
        <v>199</v>
      </c>
      <c r="AP8" s="12" t="n">
        <f aca="false">AO8-AN8</f>
        <v>0</v>
      </c>
      <c r="AQ8" s="12" t="n">
        <f aca="false">AO8-AM8</f>
        <v>0</v>
      </c>
      <c r="AR8" s="10" t="n">
        <v>0</v>
      </c>
      <c r="AS8" s="10" t="n">
        <v>0</v>
      </c>
      <c r="AT8" s="11" t="n">
        <v>0</v>
      </c>
      <c r="AU8" s="12" t="n">
        <f aca="false">AT8-AS8</f>
        <v>0</v>
      </c>
      <c r="AV8" s="12" t="n">
        <f aca="false">AT8-AR8</f>
        <v>0</v>
      </c>
      <c r="AW8" s="10" t="n">
        <v>155</v>
      </c>
      <c r="AX8" s="10" t="n">
        <v>169</v>
      </c>
      <c r="AY8" s="11" t="n">
        <v>169</v>
      </c>
      <c r="AZ8" s="12" t="n">
        <f aca="false">AY8-AX8</f>
        <v>0</v>
      </c>
      <c r="BA8" s="12" t="n">
        <f aca="false">AY8-AW8</f>
        <v>14</v>
      </c>
      <c r="BB8" s="10" t="n">
        <v>0</v>
      </c>
      <c r="BC8" s="10" t="n">
        <v>0</v>
      </c>
      <c r="BD8" s="11" t="n">
        <v>0</v>
      </c>
      <c r="BE8" s="12" t="n">
        <f aca="false">BD8-BC8</f>
        <v>0</v>
      </c>
      <c r="BF8" s="12" t="n">
        <f aca="false">BD8-BB8</f>
        <v>0</v>
      </c>
      <c r="BG8" s="10" t="n">
        <v>184</v>
      </c>
      <c r="BH8" s="10" t="n">
        <v>184</v>
      </c>
      <c r="BI8" s="11" t="n">
        <v>184</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51</v>
      </c>
      <c r="BW8" s="10" t="s">
        <v>51</v>
      </c>
      <c r="BX8" s="10" t="s">
        <v>51</v>
      </c>
      <c r="BY8" s="10" t="s">
        <v>51</v>
      </c>
      <c r="BZ8" s="10" t="s">
        <v>51</v>
      </c>
      <c r="CA8" s="10" t="s">
        <v>51</v>
      </c>
      <c r="CB8" s="10" t="s">
        <v>51</v>
      </c>
      <c r="CC8" s="10" t="s">
        <v>51</v>
      </c>
      <c r="CD8" s="10" t="s">
        <v>51</v>
      </c>
      <c r="CE8" s="10" t="s">
        <v>52</v>
      </c>
      <c r="CF8" s="10" t="s">
        <v>52</v>
      </c>
      <c r="CG8" s="10" t="s">
        <v>52</v>
      </c>
      <c r="CH8" s="10" t="s">
        <v>51</v>
      </c>
      <c r="CI8" s="10" t="s">
        <v>51</v>
      </c>
      <c r="CJ8" s="10" t="s">
        <v>51</v>
      </c>
      <c r="CK8" s="10" t="s">
        <v>51</v>
      </c>
      <c r="CL8" s="10" t="s">
        <v>51</v>
      </c>
      <c r="CM8" s="10" t="s">
        <v>51</v>
      </c>
      <c r="CN8" s="10" t="s">
        <v>51</v>
      </c>
      <c r="CO8" s="10" t="s">
        <v>51</v>
      </c>
      <c r="CP8" s="10" t="s">
        <v>51</v>
      </c>
      <c r="CQ8" s="10" t="s">
        <v>51</v>
      </c>
      <c r="CR8" s="10" t="s">
        <v>51</v>
      </c>
      <c r="CS8" s="10" t="s">
        <v>51</v>
      </c>
      <c r="CT8" s="10" t="s">
        <v>52</v>
      </c>
      <c r="CU8" s="10" t="s">
        <v>52</v>
      </c>
      <c r="CV8" s="10" t="s">
        <v>52</v>
      </c>
    </row>
    <row r="9" customFormat="false" ht="15" hidden="false" customHeight="false" outlineLevel="0" collapsed="false">
      <c r="A9" s="4" t="s">
        <v>63</v>
      </c>
      <c r="B9" s="4" t="s">
        <v>64</v>
      </c>
      <c r="C9" s="10" t="n">
        <v>179</v>
      </c>
      <c r="D9" s="10" t="n">
        <v>33</v>
      </c>
      <c r="E9" s="10" t="n">
        <v>33</v>
      </c>
      <c r="F9" s="11" t="n">
        <v>33</v>
      </c>
      <c r="G9" s="12" t="n">
        <f aca="false">F9-E9</f>
        <v>0</v>
      </c>
      <c r="H9" s="12" t="n">
        <f aca="false">F9-D9</f>
        <v>0</v>
      </c>
      <c r="I9" s="10" t="n">
        <v>179</v>
      </c>
      <c r="J9" s="10" t="n">
        <v>179</v>
      </c>
      <c r="K9" s="11" t="n">
        <v>179</v>
      </c>
      <c r="L9" s="12" t="n">
        <f aca="false">K9-J9</f>
        <v>0</v>
      </c>
      <c r="M9" s="12" t="n">
        <f aca="false">K9-I9</f>
        <v>0</v>
      </c>
      <c r="N9" s="10" t="n">
        <v>178</v>
      </c>
      <c r="O9" s="10" t="n">
        <v>179</v>
      </c>
      <c r="P9" s="11" t="n">
        <v>179</v>
      </c>
      <c r="Q9" s="12" t="n">
        <f aca="false">P9-O9</f>
        <v>0</v>
      </c>
      <c r="R9" s="12" t="n">
        <f aca="false">P9-N9</f>
        <v>1</v>
      </c>
      <c r="S9" s="10" t="n">
        <v>25</v>
      </c>
      <c r="T9" s="10" t="n">
        <v>3</v>
      </c>
      <c r="U9" s="11" t="n">
        <v>3</v>
      </c>
      <c r="V9" s="12" t="n">
        <f aca="false">U9-T9</f>
        <v>0</v>
      </c>
      <c r="W9" s="12" t="n">
        <f aca="false">U9-S9</f>
        <v>-22</v>
      </c>
      <c r="X9" s="10" t="n">
        <v>65</v>
      </c>
      <c r="Y9" s="10" t="n">
        <v>11</v>
      </c>
      <c r="Z9" s="11" t="n">
        <v>11</v>
      </c>
      <c r="AA9" s="12" t="n">
        <f aca="false">Z9-Y9</f>
        <v>0</v>
      </c>
      <c r="AB9" s="12" t="n">
        <f aca="false">Z9-X9</f>
        <v>-54</v>
      </c>
      <c r="AC9" s="10" t="n">
        <v>73</v>
      </c>
      <c r="AD9" s="10" t="n">
        <v>13</v>
      </c>
      <c r="AE9" s="11" t="n">
        <v>13</v>
      </c>
      <c r="AF9" s="12" t="n">
        <f aca="false">AE9-AD9</f>
        <v>0</v>
      </c>
      <c r="AG9" s="12" t="n">
        <f aca="false">AE9-AC9</f>
        <v>-60</v>
      </c>
      <c r="AH9" s="10" t="n">
        <v>73</v>
      </c>
      <c r="AI9" s="10" t="n">
        <v>13</v>
      </c>
      <c r="AJ9" s="11" t="n">
        <v>13</v>
      </c>
      <c r="AK9" s="12" t="n">
        <f aca="false">AJ9-AI9</f>
        <v>0</v>
      </c>
      <c r="AL9" s="12" t="n">
        <f aca="false">AJ9-AH9</f>
        <v>-60</v>
      </c>
      <c r="AM9" s="10" t="n">
        <v>179</v>
      </c>
      <c r="AN9" s="10" t="n">
        <v>179</v>
      </c>
      <c r="AO9" s="11" t="n">
        <v>179</v>
      </c>
      <c r="AP9" s="12" t="n">
        <f aca="false">AO9-AN9</f>
        <v>0</v>
      </c>
      <c r="AQ9" s="12" t="n">
        <f aca="false">AO9-AM9</f>
        <v>0</v>
      </c>
      <c r="AR9" s="10" t="n">
        <v>0</v>
      </c>
      <c r="AS9" s="10" t="n">
        <v>1</v>
      </c>
      <c r="AT9" s="11" t="n">
        <v>1</v>
      </c>
      <c r="AU9" s="12" t="n">
        <f aca="false">AT9-AS9</f>
        <v>0</v>
      </c>
      <c r="AV9" s="12" t="n">
        <f aca="false">AT9-AR9</f>
        <v>1</v>
      </c>
      <c r="AW9" s="10" t="n">
        <v>3</v>
      </c>
      <c r="AX9" s="10" t="n">
        <v>5</v>
      </c>
      <c r="AY9" s="11" t="n">
        <v>5</v>
      </c>
      <c r="AZ9" s="12" t="n">
        <f aca="false">AY9-AX9</f>
        <v>0</v>
      </c>
      <c r="BA9" s="12" t="n">
        <f aca="false">AY9-AW9</f>
        <v>2</v>
      </c>
      <c r="BB9" s="10" t="n">
        <v>0</v>
      </c>
      <c r="BC9" s="10" t="n">
        <v>0</v>
      </c>
      <c r="BD9" s="11" t="n">
        <v>0</v>
      </c>
      <c r="BE9" s="12" t="n">
        <f aca="false">BD9-BC9</f>
        <v>0</v>
      </c>
      <c r="BF9" s="12" t="n">
        <f aca="false">BD9-BB9</f>
        <v>0</v>
      </c>
      <c r="BG9" s="10" t="n">
        <v>60</v>
      </c>
      <c r="BH9" s="10" t="n">
        <v>60</v>
      </c>
      <c r="BI9" s="11" t="n">
        <v>60</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51</v>
      </c>
      <c r="BW9" s="10" t="s">
        <v>51</v>
      </c>
      <c r="BX9" s="10" t="s">
        <v>51</v>
      </c>
      <c r="BY9" s="10" t="s">
        <v>52</v>
      </c>
      <c r="BZ9" s="10" t="s">
        <v>52</v>
      </c>
      <c r="CA9" s="10" t="s">
        <v>52</v>
      </c>
      <c r="CB9" s="10" t="s">
        <v>51</v>
      </c>
      <c r="CC9" s="10" t="s">
        <v>51</v>
      </c>
      <c r="CD9" s="10" t="s">
        <v>51</v>
      </c>
      <c r="CE9" s="10" t="s">
        <v>52</v>
      </c>
      <c r="CF9" s="10" t="s">
        <v>52</v>
      </c>
      <c r="CG9" s="10" t="s">
        <v>52</v>
      </c>
      <c r="CH9" s="10" t="s">
        <v>51</v>
      </c>
      <c r="CI9" s="10" t="s">
        <v>51</v>
      </c>
      <c r="CJ9" s="10" t="s">
        <v>51</v>
      </c>
      <c r="CK9" s="10" t="s">
        <v>51</v>
      </c>
      <c r="CL9" s="10" t="s">
        <v>51</v>
      </c>
      <c r="CM9" s="10" t="s">
        <v>51</v>
      </c>
      <c r="CN9" s="10" t="s">
        <v>51</v>
      </c>
      <c r="CO9" s="10" t="s">
        <v>51</v>
      </c>
      <c r="CP9" s="10" t="s">
        <v>51</v>
      </c>
      <c r="CQ9" s="10" t="s">
        <v>51</v>
      </c>
      <c r="CR9" s="10" t="s">
        <v>51</v>
      </c>
      <c r="CS9" s="10" t="s">
        <v>51</v>
      </c>
      <c r="CT9" s="10" t="s">
        <v>52</v>
      </c>
      <c r="CU9" s="10" t="s">
        <v>52</v>
      </c>
      <c r="CV9" s="10" t="s">
        <v>52</v>
      </c>
    </row>
    <row r="10" customFormat="false" ht="15" hidden="false" customHeight="false" outlineLevel="0" collapsed="false">
      <c r="A10" s="4" t="s">
        <v>65</v>
      </c>
      <c r="B10" s="4" t="s">
        <v>66</v>
      </c>
      <c r="C10" s="10" t="n">
        <v>144</v>
      </c>
      <c r="D10" s="10" t="n">
        <v>142</v>
      </c>
      <c r="E10" s="10" t="n">
        <v>138</v>
      </c>
      <c r="F10" s="11" t="n">
        <v>138</v>
      </c>
      <c r="G10" s="12" t="n">
        <f aca="false">F10-E10</f>
        <v>0</v>
      </c>
      <c r="H10" s="12" t="n">
        <f aca="false">F10-D10</f>
        <v>-4</v>
      </c>
      <c r="I10" s="10" t="n">
        <v>36</v>
      </c>
      <c r="J10" s="10" t="n">
        <v>144</v>
      </c>
      <c r="K10" s="11" t="n">
        <v>144</v>
      </c>
      <c r="L10" s="12" t="n">
        <f aca="false">K10-J10</f>
        <v>0</v>
      </c>
      <c r="M10" s="12" t="n">
        <f aca="false">K10-I10</f>
        <v>108</v>
      </c>
      <c r="N10" s="10" t="n">
        <v>156</v>
      </c>
      <c r="O10" s="10" t="n">
        <v>144</v>
      </c>
      <c r="P10" s="11" t="n">
        <v>144</v>
      </c>
      <c r="Q10" s="12" t="n">
        <f aca="false">P10-O10</f>
        <v>0</v>
      </c>
      <c r="R10" s="12" t="n">
        <f aca="false">P10-N10</f>
        <v>-12</v>
      </c>
      <c r="S10" s="10" t="n">
        <v>12</v>
      </c>
      <c r="T10" s="10" t="n">
        <v>12</v>
      </c>
      <c r="U10" s="11" t="n">
        <v>12</v>
      </c>
      <c r="V10" s="12" t="n">
        <f aca="false">U10-T10</f>
        <v>0</v>
      </c>
      <c r="W10" s="12" t="n">
        <f aca="false">U10-S10</f>
        <v>0</v>
      </c>
      <c r="X10" s="10" t="n">
        <v>150</v>
      </c>
      <c r="Y10" s="10" t="n">
        <v>137</v>
      </c>
      <c r="Z10" s="11" t="n">
        <v>137</v>
      </c>
      <c r="AA10" s="12" t="n">
        <f aca="false">Z10-Y10</f>
        <v>0</v>
      </c>
      <c r="AB10" s="12" t="n">
        <f aca="false">Z10-X10</f>
        <v>-13</v>
      </c>
      <c r="AC10" s="10" t="n">
        <v>81</v>
      </c>
      <c r="AD10" s="10" t="n">
        <v>108</v>
      </c>
      <c r="AE10" s="11" t="n">
        <v>108</v>
      </c>
      <c r="AF10" s="12" t="n">
        <f aca="false">AE10-AD10</f>
        <v>0</v>
      </c>
      <c r="AG10" s="12" t="n">
        <f aca="false">AE10-AC10</f>
        <v>27</v>
      </c>
      <c r="AH10" s="10" t="n">
        <v>2</v>
      </c>
      <c r="AI10" s="10" t="n">
        <v>38</v>
      </c>
      <c r="AJ10" s="11" t="n">
        <v>38</v>
      </c>
      <c r="AK10" s="12" t="n">
        <f aca="false">AJ10-AI10</f>
        <v>0</v>
      </c>
      <c r="AL10" s="12" t="n">
        <f aca="false">AJ10-AH10</f>
        <v>36</v>
      </c>
      <c r="AM10" s="10" t="n">
        <v>158</v>
      </c>
      <c r="AN10" s="10" t="n">
        <v>144</v>
      </c>
      <c r="AO10" s="11" t="n">
        <v>144</v>
      </c>
      <c r="AP10" s="12" t="n">
        <f aca="false">AO10-AN10</f>
        <v>0</v>
      </c>
      <c r="AQ10" s="12" t="n">
        <f aca="false">AO10-AM10</f>
        <v>-14</v>
      </c>
      <c r="AR10" s="10" t="n">
        <v>0</v>
      </c>
      <c r="AS10" s="10" t="n">
        <v>0</v>
      </c>
      <c r="AT10" s="11" t="n">
        <v>0</v>
      </c>
      <c r="AU10" s="12" t="n">
        <f aca="false">AT10-AS10</f>
        <v>0</v>
      </c>
      <c r="AV10" s="12" t="n">
        <f aca="false">AT10-AR10</f>
        <v>0</v>
      </c>
      <c r="AW10" s="10" t="n">
        <v>136</v>
      </c>
      <c r="AX10" s="10" t="n">
        <v>137</v>
      </c>
      <c r="AY10" s="11" t="n">
        <v>137</v>
      </c>
      <c r="AZ10" s="12" t="n">
        <f aca="false">AY10-AX10</f>
        <v>0</v>
      </c>
      <c r="BA10" s="12" t="n">
        <f aca="false">AY10-AW10</f>
        <v>1</v>
      </c>
      <c r="BB10" s="10" t="n">
        <v>0</v>
      </c>
      <c r="BC10" s="10" t="n">
        <v>0</v>
      </c>
      <c r="BD10" s="11" t="n">
        <v>0</v>
      </c>
      <c r="BE10" s="12" t="n">
        <f aca="false">BD10-BC10</f>
        <v>0</v>
      </c>
      <c r="BF10" s="12" t="n">
        <f aca="false">BD10-BB10</f>
        <v>0</v>
      </c>
      <c r="BG10" s="10" t="n">
        <v>30</v>
      </c>
      <c r="BH10" s="10" t="n">
        <v>32</v>
      </c>
      <c r="BI10" s="11" t="n">
        <v>32</v>
      </c>
      <c r="BJ10" s="12" t="n">
        <f aca="false">BI10-BH10</f>
        <v>0</v>
      </c>
      <c r="BK10" s="12" t="n">
        <f aca="false">BI10-BG10</f>
        <v>2</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51</v>
      </c>
      <c r="BW10" s="10" t="s">
        <v>51</v>
      </c>
      <c r="BX10" s="10" t="s">
        <v>51</v>
      </c>
      <c r="BY10" s="10" t="s">
        <v>52</v>
      </c>
      <c r="BZ10" s="10" t="s">
        <v>52</v>
      </c>
      <c r="CA10" s="10" t="s">
        <v>52</v>
      </c>
      <c r="CB10" s="10" t="s">
        <v>51</v>
      </c>
      <c r="CC10" s="10" t="s">
        <v>51</v>
      </c>
      <c r="CD10" s="10" t="s">
        <v>51</v>
      </c>
      <c r="CE10" s="10" t="s">
        <v>52</v>
      </c>
      <c r="CF10" s="10" t="s">
        <v>52</v>
      </c>
      <c r="CG10" s="10" t="s">
        <v>52</v>
      </c>
      <c r="CH10" s="10" t="s">
        <v>51</v>
      </c>
      <c r="CI10" s="10" t="s">
        <v>51</v>
      </c>
      <c r="CJ10" s="10" t="s">
        <v>51</v>
      </c>
      <c r="CK10" s="10" t="s">
        <v>51</v>
      </c>
      <c r="CL10" s="10" t="s">
        <v>51</v>
      </c>
      <c r="CM10" s="10" t="s">
        <v>51</v>
      </c>
      <c r="CN10" s="10" t="s">
        <v>51</v>
      </c>
      <c r="CO10" s="10" t="s">
        <v>51</v>
      </c>
      <c r="CP10" s="10" t="s">
        <v>51</v>
      </c>
      <c r="CQ10" s="10" t="s">
        <v>52</v>
      </c>
      <c r="CR10" s="10" t="s">
        <v>52</v>
      </c>
      <c r="CS10" s="10" t="s">
        <v>52</v>
      </c>
      <c r="CT10" s="10" t="s">
        <v>52</v>
      </c>
      <c r="CU10" s="10" t="s">
        <v>52</v>
      </c>
      <c r="CV10" s="10" t="s">
        <v>52</v>
      </c>
    </row>
    <row r="11" customFormat="false" ht="15" hidden="false" customHeight="false" outlineLevel="0" collapsed="false">
      <c r="A11" s="4" t="s">
        <v>67</v>
      </c>
      <c r="B11" s="4" t="s">
        <v>68</v>
      </c>
      <c r="C11" s="10" t="n">
        <v>105</v>
      </c>
      <c r="D11" s="10" t="n">
        <v>59</v>
      </c>
      <c r="E11" s="10" t="n">
        <v>51</v>
      </c>
      <c r="F11" s="11" t="n">
        <v>51</v>
      </c>
      <c r="G11" s="12" t="n">
        <f aca="false">F11-E11</f>
        <v>0</v>
      </c>
      <c r="H11" s="12" t="n">
        <f aca="false">F11-D11</f>
        <v>-8</v>
      </c>
      <c r="I11" s="10" t="n">
        <v>8</v>
      </c>
      <c r="J11" s="10" t="n">
        <v>105</v>
      </c>
      <c r="K11" s="11" t="n">
        <v>105</v>
      </c>
      <c r="L11" s="12" t="n">
        <f aca="false">K11-J11</f>
        <v>0</v>
      </c>
      <c r="M11" s="12" t="n">
        <f aca="false">K11-I11</f>
        <v>97</v>
      </c>
      <c r="N11" s="10" t="n">
        <v>114</v>
      </c>
      <c r="O11" s="10" t="n">
        <v>103</v>
      </c>
      <c r="P11" s="11" t="n">
        <v>103</v>
      </c>
      <c r="Q11" s="12" t="n">
        <f aca="false">P11-O11</f>
        <v>0</v>
      </c>
      <c r="R11" s="12" t="n">
        <f aca="false">P11-N11</f>
        <v>-11</v>
      </c>
      <c r="S11" s="10" t="n">
        <v>32</v>
      </c>
      <c r="T11" s="10" t="n">
        <v>27</v>
      </c>
      <c r="U11" s="11" t="n">
        <v>27</v>
      </c>
      <c r="V11" s="12" t="n">
        <f aca="false">U11-T11</f>
        <v>0</v>
      </c>
      <c r="W11" s="12" t="n">
        <f aca="false">U11-S11</f>
        <v>-5</v>
      </c>
      <c r="X11" s="10" t="n">
        <v>117</v>
      </c>
      <c r="Y11" s="10" t="n">
        <v>105</v>
      </c>
      <c r="Z11" s="11" t="n">
        <v>105</v>
      </c>
      <c r="AA11" s="12" t="n">
        <f aca="false">Z11-Y11</f>
        <v>0</v>
      </c>
      <c r="AB11" s="12" t="n">
        <f aca="false">Z11-X11</f>
        <v>-12</v>
      </c>
      <c r="AC11" s="10" t="n">
        <v>0</v>
      </c>
      <c r="AD11" s="10" t="n">
        <v>87</v>
      </c>
      <c r="AE11" s="11" t="n">
        <v>87</v>
      </c>
      <c r="AF11" s="12" t="n">
        <f aca="false">AE11-AD11</f>
        <v>0</v>
      </c>
      <c r="AG11" s="12" t="n">
        <f aca="false">AE11-AC11</f>
        <v>87</v>
      </c>
      <c r="AH11" s="10" t="n">
        <v>0</v>
      </c>
      <c r="AI11" s="10" t="n">
        <v>0</v>
      </c>
      <c r="AJ11" s="11" t="n">
        <v>0</v>
      </c>
      <c r="AK11" s="12" t="n">
        <f aca="false">AJ11-AI11</f>
        <v>0</v>
      </c>
      <c r="AL11" s="12" t="n">
        <f aca="false">AJ11-AH11</f>
        <v>0</v>
      </c>
      <c r="AM11" s="10" t="n">
        <v>117</v>
      </c>
      <c r="AN11" s="10" t="n">
        <v>105</v>
      </c>
      <c r="AO11" s="11" t="n">
        <v>105</v>
      </c>
      <c r="AP11" s="12" t="n">
        <f aca="false">AO11-AN11</f>
        <v>0</v>
      </c>
      <c r="AQ11" s="12" t="n">
        <f aca="false">AO11-AM11</f>
        <v>-12</v>
      </c>
      <c r="AR11" s="10" t="n">
        <v>0</v>
      </c>
      <c r="AS11" s="10" t="n">
        <v>35</v>
      </c>
      <c r="AT11" s="11" t="n">
        <v>35</v>
      </c>
      <c r="AU11" s="12" t="n">
        <f aca="false">AT11-AS11</f>
        <v>0</v>
      </c>
      <c r="AV11" s="12" t="n">
        <f aca="false">AT11-AR11</f>
        <v>35</v>
      </c>
      <c r="AW11" s="10" t="n">
        <v>0</v>
      </c>
      <c r="AX11" s="10" t="n">
        <v>49</v>
      </c>
      <c r="AY11" s="11" t="n">
        <v>49</v>
      </c>
      <c r="AZ11" s="12" t="n">
        <f aca="false">AY11-AX11</f>
        <v>0</v>
      </c>
      <c r="BA11" s="12" t="n">
        <f aca="false">AY11-AW11</f>
        <v>49</v>
      </c>
      <c r="BB11" s="10" t="n">
        <v>0</v>
      </c>
      <c r="BC11" s="10" t="n">
        <v>0</v>
      </c>
      <c r="BD11" s="11" t="n">
        <v>0</v>
      </c>
      <c r="BE11" s="12" t="n">
        <f aca="false">BD11-BC11</f>
        <v>0</v>
      </c>
      <c r="BF11" s="12" t="n">
        <f aca="false">BD11-BB11</f>
        <v>0</v>
      </c>
      <c r="BG11" s="10" t="n">
        <v>7</v>
      </c>
      <c r="BH11" s="10" t="n">
        <v>7</v>
      </c>
      <c r="BI11" s="11" t="n">
        <v>7</v>
      </c>
      <c r="BJ11" s="12" t="n">
        <f aca="false">BI11-BH11</f>
        <v>0</v>
      </c>
      <c r="BK11" s="12" t="n">
        <f aca="false">BI11-BG11</f>
        <v>0</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51</v>
      </c>
      <c r="BW11" s="10" t="s">
        <v>51</v>
      </c>
      <c r="BX11" s="10" t="s">
        <v>51</v>
      </c>
      <c r="BY11" s="10" t="s">
        <v>52</v>
      </c>
      <c r="BZ11" s="10" t="s">
        <v>52</v>
      </c>
      <c r="CA11" s="10" t="s">
        <v>52</v>
      </c>
      <c r="CB11" s="10" t="s">
        <v>52</v>
      </c>
      <c r="CC11" s="10" t="s">
        <v>51</v>
      </c>
      <c r="CD11" s="10" t="s">
        <v>51</v>
      </c>
      <c r="CE11" s="10" t="s">
        <v>52</v>
      </c>
      <c r="CF11" s="10" t="s">
        <v>52</v>
      </c>
      <c r="CG11" s="10" t="s">
        <v>52</v>
      </c>
      <c r="CH11" s="10" t="s">
        <v>51</v>
      </c>
      <c r="CI11" s="10" t="s">
        <v>51</v>
      </c>
      <c r="CJ11" s="10" t="s">
        <v>51</v>
      </c>
      <c r="CK11" s="10" t="s">
        <v>51</v>
      </c>
      <c r="CL11" s="10" t="s">
        <v>51</v>
      </c>
      <c r="CM11" s="10" t="s">
        <v>51</v>
      </c>
      <c r="CN11" s="10" t="s">
        <v>51</v>
      </c>
      <c r="CO11" s="10" t="s">
        <v>51</v>
      </c>
      <c r="CP11" s="10" t="s">
        <v>51</v>
      </c>
      <c r="CQ11" s="10" t="s">
        <v>52</v>
      </c>
      <c r="CR11" s="10" t="s">
        <v>52</v>
      </c>
      <c r="CS11" s="10" t="s">
        <v>52</v>
      </c>
      <c r="CT11" s="10" t="s">
        <v>52</v>
      </c>
      <c r="CU11" s="10" t="s">
        <v>52</v>
      </c>
      <c r="CV11" s="10" t="s">
        <v>52</v>
      </c>
    </row>
    <row r="12" customFormat="false" ht="15" hidden="false" customHeight="false" outlineLevel="0" collapsed="false">
      <c r="A12" s="4" t="s">
        <v>69</v>
      </c>
      <c r="B12" s="4" t="s">
        <v>70</v>
      </c>
      <c r="C12" s="10" t="n">
        <v>105</v>
      </c>
      <c r="D12" s="10" t="n">
        <v>78</v>
      </c>
      <c r="E12" s="10" t="n">
        <v>77</v>
      </c>
      <c r="F12" s="11" t="n">
        <v>77</v>
      </c>
      <c r="G12" s="12" t="n">
        <f aca="false">F12-E12</f>
        <v>0</v>
      </c>
      <c r="H12" s="12" t="n">
        <f aca="false">F12-D12</f>
        <v>-1</v>
      </c>
      <c r="I12" s="10" t="n">
        <v>31</v>
      </c>
      <c r="J12" s="10" t="n">
        <v>105</v>
      </c>
      <c r="K12" s="11" t="n">
        <v>105</v>
      </c>
      <c r="L12" s="12" t="n">
        <f aca="false">K12-J12</f>
        <v>0</v>
      </c>
      <c r="M12" s="12" t="n">
        <f aca="false">K12-I12</f>
        <v>74</v>
      </c>
      <c r="N12" s="10" t="n">
        <v>110</v>
      </c>
      <c r="O12" s="10" t="n">
        <v>105</v>
      </c>
      <c r="P12" s="11" t="n">
        <v>105</v>
      </c>
      <c r="Q12" s="12" t="n">
        <f aca="false">P12-O12</f>
        <v>0</v>
      </c>
      <c r="R12" s="12" t="n">
        <f aca="false">P12-N12</f>
        <v>-5</v>
      </c>
      <c r="S12" s="10" t="n">
        <v>87</v>
      </c>
      <c r="T12" s="10" t="n">
        <v>64</v>
      </c>
      <c r="U12" s="11" t="n">
        <v>64</v>
      </c>
      <c r="V12" s="12" t="n">
        <f aca="false">U12-T12</f>
        <v>0</v>
      </c>
      <c r="W12" s="12" t="n">
        <f aca="false">U12-S12</f>
        <v>-23</v>
      </c>
      <c r="X12" s="10" t="n">
        <v>99</v>
      </c>
      <c r="Y12" s="10" t="n">
        <v>76</v>
      </c>
      <c r="Z12" s="11" t="n">
        <v>76</v>
      </c>
      <c r="AA12" s="12" t="n">
        <f aca="false">Z12-Y12</f>
        <v>0</v>
      </c>
      <c r="AB12" s="12" t="n">
        <f aca="false">Z12-X12</f>
        <v>-23</v>
      </c>
      <c r="AC12" s="10" t="n">
        <v>100</v>
      </c>
      <c r="AD12" s="10" t="n">
        <v>73</v>
      </c>
      <c r="AE12" s="11" t="n">
        <v>73</v>
      </c>
      <c r="AF12" s="12" t="n">
        <f aca="false">AE12-AD12</f>
        <v>0</v>
      </c>
      <c r="AG12" s="12" t="n">
        <f aca="false">AE12-AC12</f>
        <v>-27</v>
      </c>
      <c r="AH12" s="10" t="n">
        <v>100</v>
      </c>
      <c r="AI12" s="10" t="n">
        <v>73</v>
      </c>
      <c r="AJ12" s="11" t="n">
        <v>73</v>
      </c>
      <c r="AK12" s="12" t="n">
        <f aca="false">AJ12-AI12</f>
        <v>0</v>
      </c>
      <c r="AL12" s="12" t="n">
        <f aca="false">AJ12-AH12</f>
        <v>-27</v>
      </c>
      <c r="AM12" s="10" t="n">
        <v>114</v>
      </c>
      <c r="AN12" s="10" t="n">
        <v>105</v>
      </c>
      <c r="AO12" s="11" t="n">
        <v>105</v>
      </c>
      <c r="AP12" s="12" t="n">
        <f aca="false">AO12-AN12</f>
        <v>0</v>
      </c>
      <c r="AQ12" s="12" t="n">
        <f aca="false">AO12-AM12</f>
        <v>-9</v>
      </c>
      <c r="AR12" s="10" t="n">
        <v>0</v>
      </c>
      <c r="AS12" s="10" t="n">
        <v>4</v>
      </c>
      <c r="AT12" s="11" t="n">
        <v>4</v>
      </c>
      <c r="AU12" s="12" t="n">
        <f aca="false">AT12-AS12</f>
        <v>0</v>
      </c>
      <c r="AV12" s="12" t="n">
        <f aca="false">AT12-AR12</f>
        <v>4</v>
      </c>
      <c r="AW12" s="10" t="n">
        <v>72</v>
      </c>
      <c r="AX12" s="10" t="n">
        <v>72</v>
      </c>
      <c r="AY12" s="11" t="n">
        <v>72</v>
      </c>
      <c r="AZ12" s="12" t="n">
        <f aca="false">AY12-AX12</f>
        <v>0</v>
      </c>
      <c r="BA12" s="12" t="n">
        <f aca="false">AY12-AW12</f>
        <v>0</v>
      </c>
      <c r="BB12" s="10" t="n">
        <v>0</v>
      </c>
      <c r="BC12" s="10" t="n">
        <v>0</v>
      </c>
      <c r="BD12" s="11" t="n">
        <v>0</v>
      </c>
      <c r="BE12" s="12" t="n">
        <f aca="false">BD12-BC12</f>
        <v>0</v>
      </c>
      <c r="BF12" s="12" t="n">
        <f aca="false">BD12-BB12</f>
        <v>0</v>
      </c>
      <c r="BG12" s="10" t="n">
        <v>1</v>
      </c>
      <c r="BH12" s="10" t="n">
        <v>1</v>
      </c>
      <c r="BI12" s="11" t="n">
        <v>1</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51</v>
      </c>
      <c r="BW12" s="10" t="s">
        <v>51</v>
      </c>
      <c r="BX12" s="10" t="s">
        <v>51</v>
      </c>
      <c r="BY12" s="10" t="s">
        <v>52</v>
      </c>
      <c r="BZ12" s="10" t="s">
        <v>52</v>
      </c>
      <c r="CA12" s="10" t="s">
        <v>52</v>
      </c>
      <c r="CB12" s="10" t="s">
        <v>51</v>
      </c>
      <c r="CC12" s="10" t="s">
        <v>51</v>
      </c>
      <c r="CD12" s="10" t="s">
        <v>51</v>
      </c>
      <c r="CE12" s="10" t="s">
        <v>52</v>
      </c>
      <c r="CF12" s="10" t="s">
        <v>52</v>
      </c>
      <c r="CG12" s="10" t="s">
        <v>52</v>
      </c>
      <c r="CH12" s="10" t="s">
        <v>51</v>
      </c>
      <c r="CI12" s="10" t="s">
        <v>51</v>
      </c>
      <c r="CJ12" s="10" t="s">
        <v>51</v>
      </c>
      <c r="CK12" s="10" t="s">
        <v>51</v>
      </c>
      <c r="CL12" s="10" t="s">
        <v>51</v>
      </c>
      <c r="CM12" s="10" t="s">
        <v>51</v>
      </c>
      <c r="CN12" s="10" t="s">
        <v>51</v>
      </c>
      <c r="CO12" s="10" t="s">
        <v>51</v>
      </c>
      <c r="CP12" s="10" t="s">
        <v>51</v>
      </c>
      <c r="CQ12" s="10" t="s">
        <v>52</v>
      </c>
      <c r="CR12" s="10" t="s">
        <v>52</v>
      </c>
      <c r="CS12" s="10" t="s">
        <v>52</v>
      </c>
      <c r="CT12" s="10" t="s">
        <v>52</v>
      </c>
      <c r="CU12" s="10" t="s">
        <v>52</v>
      </c>
      <c r="CV12" s="10" t="s">
        <v>52</v>
      </c>
    </row>
    <row r="13" customFormat="false" ht="15" hidden="false" customHeight="false" outlineLevel="0" collapsed="false">
      <c r="A13" s="4" t="s">
        <v>71</v>
      </c>
      <c r="B13" s="4" t="s">
        <v>72</v>
      </c>
      <c r="C13" s="10" t="n">
        <v>91</v>
      </c>
      <c r="D13" s="10" t="n">
        <v>8</v>
      </c>
      <c r="E13" s="10" t="n">
        <v>91</v>
      </c>
      <c r="F13" s="11" t="n">
        <v>91</v>
      </c>
      <c r="G13" s="12" t="n">
        <f aca="false">F13-E13</f>
        <v>0</v>
      </c>
      <c r="H13" s="12" t="n">
        <f aca="false">F13-D13</f>
        <v>83</v>
      </c>
      <c r="I13" s="10" t="n">
        <v>8</v>
      </c>
      <c r="J13" s="10" t="n">
        <v>91</v>
      </c>
      <c r="K13" s="11" t="n">
        <v>91</v>
      </c>
      <c r="L13" s="12" t="n">
        <f aca="false">K13-J13</f>
        <v>0</v>
      </c>
      <c r="M13" s="12" t="n">
        <f aca="false">K13-I13</f>
        <v>83</v>
      </c>
      <c r="N13" s="10" t="n">
        <v>8</v>
      </c>
      <c r="O13" s="10" t="n">
        <v>90</v>
      </c>
      <c r="P13" s="11" t="n">
        <v>90</v>
      </c>
      <c r="Q13" s="12" t="n">
        <f aca="false">P13-O13</f>
        <v>0</v>
      </c>
      <c r="R13" s="12" t="n">
        <f aca="false">P13-N13</f>
        <v>82</v>
      </c>
      <c r="S13" s="10" t="n">
        <v>8</v>
      </c>
      <c r="T13" s="10" t="n">
        <v>85</v>
      </c>
      <c r="U13" s="11" t="n">
        <v>85</v>
      </c>
      <c r="V13" s="12" t="n">
        <f aca="false">U13-T13</f>
        <v>0</v>
      </c>
      <c r="W13" s="12" t="n">
        <f aca="false">U13-S13</f>
        <v>77</v>
      </c>
      <c r="X13" s="10" t="n">
        <v>7</v>
      </c>
      <c r="Y13" s="10" t="n">
        <v>90</v>
      </c>
      <c r="Z13" s="11" t="n">
        <v>90</v>
      </c>
      <c r="AA13" s="12" t="n">
        <f aca="false">Z13-Y13</f>
        <v>0</v>
      </c>
      <c r="AB13" s="12" t="n">
        <f aca="false">Z13-X13</f>
        <v>83</v>
      </c>
      <c r="AC13" s="10" t="n">
        <v>8</v>
      </c>
      <c r="AD13" s="10" t="n">
        <v>86</v>
      </c>
      <c r="AE13" s="11" t="n">
        <v>86</v>
      </c>
      <c r="AF13" s="12" t="n">
        <f aca="false">AE13-AD13</f>
        <v>0</v>
      </c>
      <c r="AG13" s="12" t="n">
        <f aca="false">AE13-AC13</f>
        <v>78</v>
      </c>
      <c r="AH13" s="10" t="n">
        <v>0</v>
      </c>
      <c r="AI13" s="10" t="n">
        <v>15</v>
      </c>
      <c r="AJ13" s="11" t="n">
        <v>15</v>
      </c>
      <c r="AK13" s="12" t="n">
        <f aca="false">AJ13-AI13</f>
        <v>0</v>
      </c>
      <c r="AL13" s="12" t="n">
        <f aca="false">AJ13-AH13</f>
        <v>15</v>
      </c>
      <c r="AM13" s="10" t="n">
        <v>8</v>
      </c>
      <c r="AN13" s="10" t="n">
        <v>91</v>
      </c>
      <c r="AO13" s="11" t="n">
        <v>91</v>
      </c>
      <c r="AP13" s="12" t="n">
        <f aca="false">AO13-AN13</f>
        <v>0</v>
      </c>
      <c r="AQ13" s="12" t="n">
        <f aca="false">AO13-AM13</f>
        <v>83</v>
      </c>
      <c r="AR13" s="10" t="n">
        <v>7</v>
      </c>
      <c r="AS13" s="10" t="n">
        <v>49</v>
      </c>
      <c r="AT13" s="11" t="n">
        <v>49</v>
      </c>
      <c r="AU13" s="12" t="n">
        <f aca="false">AT13-AS13</f>
        <v>0</v>
      </c>
      <c r="AV13" s="12" t="n">
        <f aca="false">AT13-AR13</f>
        <v>42</v>
      </c>
      <c r="AW13" s="10" t="n">
        <v>6</v>
      </c>
      <c r="AX13" s="10" t="n">
        <v>76</v>
      </c>
      <c r="AY13" s="11" t="n">
        <v>76</v>
      </c>
      <c r="AZ13" s="12" t="n">
        <f aca="false">AY13-AX13</f>
        <v>0</v>
      </c>
      <c r="BA13" s="12" t="n">
        <f aca="false">AY13-AW13</f>
        <v>70</v>
      </c>
      <c r="BB13" s="10" t="n">
        <v>0</v>
      </c>
      <c r="BC13" s="10" t="n">
        <v>0</v>
      </c>
      <c r="BD13" s="11" t="n">
        <v>0</v>
      </c>
      <c r="BE13" s="12" t="n">
        <f aca="false">BD13-BC13</f>
        <v>0</v>
      </c>
      <c r="BF13" s="12" t="n">
        <f aca="false">BD13-BB13</f>
        <v>0</v>
      </c>
      <c r="BG13" s="10" t="n">
        <v>8</v>
      </c>
      <c r="BH13" s="10" t="n">
        <v>12</v>
      </c>
      <c r="BI13" s="11" t="n">
        <v>12</v>
      </c>
      <c r="BJ13" s="12" t="n">
        <f aca="false">BI13-BH13</f>
        <v>0</v>
      </c>
      <c r="BK13" s="12" t="n">
        <f aca="false">BI13-BG13</f>
        <v>4</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51</v>
      </c>
      <c r="BW13" s="10" t="s">
        <v>51</v>
      </c>
      <c r="BX13" s="10" t="s">
        <v>51</v>
      </c>
      <c r="BY13" s="10" t="s">
        <v>51</v>
      </c>
      <c r="BZ13" s="10" t="s">
        <v>51</v>
      </c>
      <c r="CA13" s="10" t="s">
        <v>51</v>
      </c>
      <c r="CB13" s="10" t="s">
        <v>51</v>
      </c>
      <c r="CC13" s="10" t="s">
        <v>51</v>
      </c>
      <c r="CD13" s="10" t="s">
        <v>51</v>
      </c>
      <c r="CE13" s="10" t="s">
        <v>52</v>
      </c>
      <c r="CF13" s="10" t="s">
        <v>52</v>
      </c>
      <c r="CG13" s="10" t="s">
        <v>52</v>
      </c>
      <c r="CH13" s="10" t="s">
        <v>51</v>
      </c>
      <c r="CI13" s="10" t="s">
        <v>51</v>
      </c>
      <c r="CJ13" s="10" t="s">
        <v>51</v>
      </c>
      <c r="CK13" s="10" t="s">
        <v>51</v>
      </c>
      <c r="CL13" s="10" t="s">
        <v>51</v>
      </c>
      <c r="CM13" s="10" t="s">
        <v>51</v>
      </c>
      <c r="CN13" s="10" t="s">
        <v>51</v>
      </c>
      <c r="CO13" s="10" t="s">
        <v>51</v>
      </c>
      <c r="CP13" s="10" t="s">
        <v>51</v>
      </c>
      <c r="CQ13" s="10" t="s">
        <v>52</v>
      </c>
      <c r="CR13" s="10" t="s">
        <v>52</v>
      </c>
      <c r="CS13" s="10" t="s">
        <v>52</v>
      </c>
      <c r="CT13" s="10" t="s">
        <v>52</v>
      </c>
      <c r="CU13" s="10" t="s">
        <v>52</v>
      </c>
      <c r="CV13" s="10" t="s">
        <v>52</v>
      </c>
    </row>
    <row r="14" customFormat="false" ht="15" hidden="false" customHeight="false" outlineLevel="0" collapsed="false">
      <c r="A14" s="4" t="s">
        <v>73</v>
      </c>
      <c r="B14" s="4" t="s">
        <v>74</v>
      </c>
      <c r="C14" s="10" t="n">
        <v>87</v>
      </c>
      <c r="D14" s="10" t="n">
        <v>4</v>
      </c>
      <c r="E14" s="10" t="n">
        <v>2</v>
      </c>
      <c r="F14" s="11" t="n">
        <v>2</v>
      </c>
      <c r="G14" s="12" t="n">
        <f aca="false">F14-E14</f>
        <v>0</v>
      </c>
      <c r="H14" s="12" t="n">
        <f aca="false">F14-D14</f>
        <v>-2</v>
      </c>
      <c r="I14" s="10" t="n">
        <v>86</v>
      </c>
      <c r="J14" s="10" t="n">
        <v>87</v>
      </c>
      <c r="K14" s="11" t="n">
        <v>87</v>
      </c>
      <c r="L14" s="12" t="n">
        <f aca="false">K14-J14</f>
        <v>0</v>
      </c>
      <c r="M14" s="12" t="n">
        <f aca="false">K14-I14</f>
        <v>1</v>
      </c>
      <c r="N14" s="10" t="n">
        <v>140</v>
      </c>
      <c r="O14" s="10" t="n">
        <v>87</v>
      </c>
      <c r="P14" s="11" t="n">
        <v>87</v>
      </c>
      <c r="Q14" s="12" t="n">
        <f aca="false">P14-O14</f>
        <v>0</v>
      </c>
      <c r="R14" s="12" t="n">
        <f aca="false">P14-N14</f>
        <v>-53</v>
      </c>
      <c r="S14" s="10" t="n">
        <v>20</v>
      </c>
      <c r="T14" s="10" t="n">
        <v>0</v>
      </c>
      <c r="U14" s="11" t="n">
        <v>0</v>
      </c>
      <c r="V14" s="12" t="n">
        <f aca="false">U14-T14</f>
        <v>0</v>
      </c>
      <c r="W14" s="12" t="n">
        <f aca="false">U14-S14</f>
        <v>-20</v>
      </c>
      <c r="X14" s="10" t="n">
        <v>24</v>
      </c>
      <c r="Y14" s="10" t="n">
        <v>0</v>
      </c>
      <c r="Z14" s="11" t="n">
        <v>0</v>
      </c>
      <c r="AA14" s="12" t="n">
        <f aca="false">Z14-Y14</f>
        <v>0</v>
      </c>
      <c r="AB14" s="12" t="n">
        <f aca="false">Z14-X14</f>
        <v>-24</v>
      </c>
      <c r="AC14" s="10" t="n">
        <v>51</v>
      </c>
      <c r="AD14" s="10" t="n">
        <v>0</v>
      </c>
      <c r="AE14" s="11" t="n">
        <v>0</v>
      </c>
      <c r="AF14" s="12" t="n">
        <f aca="false">AE14-AD14</f>
        <v>0</v>
      </c>
      <c r="AG14" s="12" t="n">
        <f aca="false">AE14-AC14</f>
        <v>-51</v>
      </c>
      <c r="AH14" s="10" t="n">
        <v>0</v>
      </c>
      <c r="AI14" s="10" t="n">
        <v>0</v>
      </c>
      <c r="AJ14" s="11" t="n">
        <v>0</v>
      </c>
      <c r="AK14" s="12" t="n">
        <f aca="false">AJ14-AI14</f>
        <v>0</v>
      </c>
      <c r="AL14" s="12" t="n">
        <f aca="false">AJ14-AH14</f>
        <v>0</v>
      </c>
      <c r="AM14" s="10" t="n">
        <v>141</v>
      </c>
      <c r="AN14" s="10" t="n">
        <v>87</v>
      </c>
      <c r="AO14" s="11" t="n">
        <v>87</v>
      </c>
      <c r="AP14" s="12" t="n">
        <f aca="false">AO14-AN14</f>
        <v>0</v>
      </c>
      <c r="AQ14" s="12" t="n">
        <f aca="false">AO14-AM14</f>
        <v>-54</v>
      </c>
      <c r="AR14" s="10" t="n">
        <v>0</v>
      </c>
      <c r="AS14" s="10" t="n">
        <v>0</v>
      </c>
      <c r="AT14" s="11" t="n">
        <v>0</v>
      </c>
      <c r="AU14" s="12" t="n">
        <f aca="false">AT14-AS14</f>
        <v>0</v>
      </c>
      <c r="AV14" s="12" t="n">
        <f aca="false">AT14-AR14</f>
        <v>0</v>
      </c>
      <c r="AW14" s="10" t="n">
        <v>1</v>
      </c>
      <c r="AX14" s="10" t="n">
        <v>0</v>
      </c>
      <c r="AY14" s="11" t="n">
        <v>0</v>
      </c>
      <c r="AZ14" s="12" t="n">
        <f aca="false">AY14-AX14</f>
        <v>0</v>
      </c>
      <c r="BA14" s="12" t="n">
        <f aca="false">AY14-AW14</f>
        <v>-1</v>
      </c>
      <c r="BB14" s="10" t="n">
        <v>0</v>
      </c>
      <c r="BC14" s="10" t="n">
        <v>0</v>
      </c>
      <c r="BD14" s="11" t="n">
        <v>0</v>
      </c>
      <c r="BE14" s="12" t="n">
        <f aca="false">BD14-BC14</f>
        <v>0</v>
      </c>
      <c r="BF14" s="12" t="n">
        <f aca="false">BD14-BB14</f>
        <v>0</v>
      </c>
      <c r="BG14" s="10" t="n">
        <v>0</v>
      </c>
      <c r="BH14" s="10" t="n">
        <v>26</v>
      </c>
      <c r="BI14" s="11" t="n">
        <v>26</v>
      </c>
      <c r="BJ14" s="12" t="n">
        <f aca="false">BI14-BH14</f>
        <v>0</v>
      </c>
      <c r="BK14" s="12" t="n">
        <f aca="false">BI14-BG14</f>
        <v>26</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51</v>
      </c>
      <c r="BW14" s="10" t="s">
        <v>51</v>
      </c>
      <c r="BX14" s="10" t="s">
        <v>51</v>
      </c>
      <c r="BY14" s="10" t="s">
        <v>52</v>
      </c>
      <c r="BZ14" s="10" t="s">
        <v>52</v>
      </c>
      <c r="CA14" s="10" t="s">
        <v>52</v>
      </c>
      <c r="CB14" s="10" t="s">
        <v>51</v>
      </c>
      <c r="CC14" s="10" t="s">
        <v>51</v>
      </c>
      <c r="CD14" s="10" t="s">
        <v>51</v>
      </c>
      <c r="CE14" s="10" t="s">
        <v>52</v>
      </c>
      <c r="CF14" s="10" t="s">
        <v>52</v>
      </c>
      <c r="CG14" s="10" t="s">
        <v>52</v>
      </c>
      <c r="CH14" s="10" t="s">
        <v>51</v>
      </c>
      <c r="CI14" s="10" t="s">
        <v>51</v>
      </c>
      <c r="CJ14" s="10" t="s">
        <v>51</v>
      </c>
      <c r="CK14" s="10" t="s">
        <v>51</v>
      </c>
      <c r="CL14" s="10" t="s">
        <v>51</v>
      </c>
      <c r="CM14" s="10" t="s">
        <v>51</v>
      </c>
      <c r="CN14" s="10" t="s">
        <v>51</v>
      </c>
      <c r="CO14" s="10" t="s">
        <v>51</v>
      </c>
      <c r="CP14" s="10" t="s">
        <v>51</v>
      </c>
      <c r="CQ14" s="10" t="s">
        <v>51</v>
      </c>
      <c r="CR14" s="10" t="s">
        <v>51</v>
      </c>
      <c r="CS14" s="10" t="s">
        <v>51</v>
      </c>
      <c r="CT14" s="10" t="s">
        <v>52</v>
      </c>
      <c r="CU14" s="10" t="s">
        <v>52</v>
      </c>
      <c r="CV14" s="10" t="s">
        <v>52</v>
      </c>
    </row>
    <row r="15" customFormat="false" ht="15" hidden="false" customHeight="false" outlineLevel="0" collapsed="false">
      <c r="A15" s="4" t="s">
        <v>75</v>
      </c>
      <c r="B15" s="4" t="s">
        <v>76</v>
      </c>
      <c r="C15" s="10" t="n">
        <v>80</v>
      </c>
      <c r="D15" s="10" t="n">
        <v>3</v>
      </c>
      <c r="E15" s="10" t="n">
        <v>80</v>
      </c>
      <c r="F15" s="11" t="n">
        <v>80</v>
      </c>
      <c r="G15" s="12" t="n">
        <f aca="false">F15-E15</f>
        <v>0</v>
      </c>
      <c r="H15" s="12" t="n">
        <f aca="false">F15-D15</f>
        <v>77</v>
      </c>
      <c r="I15" s="10" t="n">
        <v>3</v>
      </c>
      <c r="J15" s="10" t="n">
        <v>80</v>
      </c>
      <c r="K15" s="11" t="n">
        <v>80</v>
      </c>
      <c r="L15" s="12" t="n">
        <f aca="false">K15-J15</f>
        <v>0</v>
      </c>
      <c r="M15" s="12" t="n">
        <f aca="false">K15-I15</f>
        <v>77</v>
      </c>
      <c r="N15" s="10" t="n">
        <v>3</v>
      </c>
      <c r="O15" s="10" t="n">
        <v>80</v>
      </c>
      <c r="P15" s="11" t="n">
        <v>80</v>
      </c>
      <c r="Q15" s="12" t="n">
        <f aca="false">P15-O15</f>
        <v>0</v>
      </c>
      <c r="R15" s="12" t="n">
        <f aca="false">P15-N15</f>
        <v>77</v>
      </c>
      <c r="S15" s="10" t="n">
        <v>3</v>
      </c>
      <c r="T15" s="10" t="n">
        <v>78</v>
      </c>
      <c r="U15" s="11" t="n">
        <v>78</v>
      </c>
      <c r="V15" s="12" t="n">
        <f aca="false">U15-T15</f>
        <v>0</v>
      </c>
      <c r="W15" s="12" t="n">
        <f aca="false">U15-S15</f>
        <v>75</v>
      </c>
      <c r="X15" s="10" t="n">
        <v>3</v>
      </c>
      <c r="Y15" s="10" t="n">
        <v>80</v>
      </c>
      <c r="Z15" s="11" t="n">
        <v>80</v>
      </c>
      <c r="AA15" s="12" t="n">
        <f aca="false">Z15-Y15</f>
        <v>0</v>
      </c>
      <c r="AB15" s="12" t="n">
        <f aca="false">Z15-X15</f>
        <v>77</v>
      </c>
      <c r="AC15" s="10" t="n">
        <v>3</v>
      </c>
      <c r="AD15" s="10" t="n">
        <v>73</v>
      </c>
      <c r="AE15" s="11" t="n">
        <v>73</v>
      </c>
      <c r="AF15" s="12" t="n">
        <f aca="false">AE15-AD15</f>
        <v>0</v>
      </c>
      <c r="AG15" s="12" t="n">
        <f aca="false">AE15-AC15</f>
        <v>70</v>
      </c>
      <c r="AH15" s="10" t="n">
        <v>0</v>
      </c>
      <c r="AI15" s="10" t="n">
        <v>25</v>
      </c>
      <c r="AJ15" s="11" t="n">
        <v>25</v>
      </c>
      <c r="AK15" s="12" t="n">
        <f aca="false">AJ15-AI15</f>
        <v>0</v>
      </c>
      <c r="AL15" s="12" t="n">
        <f aca="false">AJ15-AH15</f>
        <v>25</v>
      </c>
      <c r="AM15" s="10" t="n">
        <v>3</v>
      </c>
      <c r="AN15" s="10" t="n">
        <v>80</v>
      </c>
      <c r="AO15" s="11" t="n">
        <v>80</v>
      </c>
      <c r="AP15" s="12" t="n">
        <f aca="false">AO15-AN15</f>
        <v>0</v>
      </c>
      <c r="AQ15" s="12" t="n">
        <f aca="false">AO15-AM15</f>
        <v>77</v>
      </c>
      <c r="AR15" s="10" t="n">
        <v>3</v>
      </c>
      <c r="AS15" s="10" t="n">
        <v>29</v>
      </c>
      <c r="AT15" s="11" t="n">
        <v>29</v>
      </c>
      <c r="AU15" s="12" t="n">
        <f aca="false">AT15-AS15</f>
        <v>0</v>
      </c>
      <c r="AV15" s="12" t="n">
        <f aca="false">AT15-AR15</f>
        <v>26</v>
      </c>
      <c r="AW15" s="10" t="n">
        <v>3</v>
      </c>
      <c r="AX15" s="10" t="n">
        <v>47</v>
      </c>
      <c r="AY15" s="11" t="n">
        <v>47</v>
      </c>
      <c r="AZ15" s="12" t="n">
        <f aca="false">AY15-AX15</f>
        <v>0</v>
      </c>
      <c r="BA15" s="12" t="n">
        <f aca="false">AY15-AW15</f>
        <v>44</v>
      </c>
      <c r="BB15" s="10" t="n">
        <v>0</v>
      </c>
      <c r="BC15" s="10" t="n">
        <v>0</v>
      </c>
      <c r="BD15" s="11" t="n">
        <v>0</v>
      </c>
      <c r="BE15" s="12" t="n">
        <f aca="false">BD15-BC15</f>
        <v>0</v>
      </c>
      <c r="BF15" s="12" t="n">
        <f aca="false">BD15-BB15</f>
        <v>0</v>
      </c>
      <c r="BG15" s="10" t="n">
        <v>0</v>
      </c>
      <c r="BH15" s="10" t="n">
        <v>5</v>
      </c>
      <c r="BI15" s="11" t="n">
        <v>5</v>
      </c>
      <c r="BJ15" s="12" t="n">
        <f aca="false">BI15-BH15</f>
        <v>0</v>
      </c>
      <c r="BK15" s="12" t="n">
        <f aca="false">BI15-BG15</f>
        <v>5</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51</v>
      </c>
      <c r="BW15" s="10" t="s">
        <v>51</v>
      </c>
      <c r="BX15" s="10" t="s">
        <v>51</v>
      </c>
      <c r="BY15" s="10" t="s">
        <v>52</v>
      </c>
      <c r="BZ15" s="10" t="s">
        <v>52</v>
      </c>
      <c r="CA15" s="10" t="s">
        <v>52</v>
      </c>
      <c r="CB15" s="10" t="s">
        <v>51</v>
      </c>
      <c r="CC15" s="10" t="s">
        <v>51</v>
      </c>
      <c r="CD15" s="10" t="s">
        <v>51</v>
      </c>
      <c r="CE15" s="10" t="s">
        <v>52</v>
      </c>
      <c r="CF15" s="10" t="s">
        <v>52</v>
      </c>
      <c r="CG15" s="10" t="s">
        <v>52</v>
      </c>
      <c r="CH15" s="10" t="s">
        <v>51</v>
      </c>
      <c r="CI15" s="10" t="s">
        <v>51</v>
      </c>
      <c r="CJ15" s="10" t="s">
        <v>51</v>
      </c>
      <c r="CK15" s="10" t="s">
        <v>51</v>
      </c>
      <c r="CL15" s="10" t="s">
        <v>51</v>
      </c>
      <c r="CM15" s="10" t="s">
        <v>51</v>
      </c>
      <c r="CN15" s="10" t="s">
        <v>51</v>
      </c>
      <c r="CO15" s="10" t="s">
        <v>51</v>
      </c>
      <c r="CP15" s="10" t="s">
        <v>51</v>
      </c>
      <c r="CQ15" s="10" t="s">
        <v>52</v>
      </c>
      <c r="CR15" s="10" t="s">
        <v>52</v>
      </c>
      <c r="CS15" s="10" t="s">
        <v>52</v>
      </c>
      <c r="CT15" s="10" t="s">
        <v>52</v>
      </c>
      <c r="CU15" s="10" t="s">
        <v>52</v>
      </c>
      <c r="CV15" s="10" t="s">
        <v>52</v>
      </c>
    </row>
    <row r="16" customFormat="false" ht="15" hidden="false" customHeight="false" outlineLevel="0" collapsed="false">
      <c r="A16" s="4" t="s">
        <v>77</v>
      </c>
      <c r="B16" s="4" t="s">
        <v>78</v>
      </c>
      <c r="C16" s="10" t="n">
        <v>76</v>
      </c>
      <c r="D16" s="10" t="n">
        <v>48</v>
      </c>
      <c r="E16" s="10" t="n">
        <v>48</v>
      </c>
      <c r="F16" s="11" t="n">
        <v>48</v>
      </c>
      <c r="G16" s="12" t="n">
        <f aca="false">F16-E16</f>
        <v>0</v>
      </c>
      <c r="H16" s="12" t="n">
        <f aca="false">F16-D16</f>
        <v>0</v>
      </c>
      <c r="I16" s="10" t="n">
        <v>76</v>
      </c>
      <c r="J16" s="10" t="n">
        <v>76</v>
      </c>
      <c r="K16" s="11" t="n">
        <v>76</v>
      </c>
      <c r="L16" s="12" t="n">
        <f aca="false">K16-J16</f>
        <v>0</v>
      </c>
      <c r="M16" s="12" t="n">
        <f aca="false">K16-I16</f>
        <v>0</v>
      </c>
      <c r="N16" s="10" t="n">
        <v>75</v>
      </c>
      <c r="O16" s="10" t="n">
        <v>76</v>
      </c>
      <c r="P16" s="11" t="n">
        <v>76</v>
      </c>
      <c r="Q16" s="12" t="n">
        <f aca="false">P16-O16</f>
        <v>0</v>
      </c>
      <c r="R16" s="12" t="n">
        <f aca="false">P16-N16</f>
        <v>1</v>
      </c>
      <c r="S16" s="10" t="n">
        <v>4</v>
      </c>
      <c r="T16" s="10" t="n">
        <v>2</v>
      </c>
      <c r="U16" s="11" t="n">
        <v>2</v>
      </c>
      <c r="V16" s="12" t="n">
        <f aca="false">U16-T16</f>
        <v>0</v>
      </c>
      <c r="W16" s="12" t="n">
        <f aca="false">U16-S16</f>
        <v>-2</v>
      </c>
      <c r="X16" s="10" t="n">
        <v>45</v>
      </c>
      <c r="Y16" s="10" t="n">
        <v>26</v>
      </c>
      <c r="Z16" s="11" t="n">
        <v>26</v>
      </c>
      <c r="AA16" s="12" t="n">
        <f aca="false">Z16-Y16</f>
        <v>0</v>
      </c>
      <c r="AB16" s="12" t="n">
        <f aca="false">Z16-X16</f>
        <v>-19</v>
      </c>
      <c r="AC16" s="10" t="n">
        <v>46</v>
      </c>
      <c r="AD16" s="10" t="n">
        <v>51</v>
      </c>
      <c r="AE16" s="11" t="n">
        <v>51</v>
      </c>
      <c r="AF16" s="12" t="n">
        <f aca="false">AE16-AD16</f>
        <v>0</v>
      </c>
      <c r="AG16" s="12" t="n">
        <f aca="false">AE16-AC16</f>
        <v>5</v>
      </c>
      <c r="AH16" s="10" t="n">
        <v>46</v>
      </c>
      <c r="AI16" s="10" t="n">
        <v>51</v>
      </c>
      <c r="AJ16" s="11" t="n">
        <v>51</v>
      </c>
      <c r="AK16" s="12" t="n">
        <f aca="false">AJ16-AI16</f>
        <v>0</v>
      </c>
      <c r="AL16" s="12" t="n">
        <f aca="false">AJ16-AH16</f>
        <v>5</v>
      </c>
      <c r="AM16" s="10" t="n">
        <v>76</v>
      </c>
      <c r="AN16" s="10" t="n">
        <v>76</v>
      </c>
      <c r="AO16" s="11" t="n">
        <v>76</v>
      </c>
      <c r="AP16" s="12" t="n">
        <f aca="false">AO16-AN16</f>
        <v>0</v>
      </c>
      <c r="AQ16" s="12" t="n">
        <f aca="false">AO16-AM16</f>
        <v>0</v>
      </c>
      <c r="AR16" s="10" t="n">
        <v>0</v>
      </c>
      <c r="AS16" s="10" t="n">
        <v>8</v>
      </c>
      <c r="AT16" s="11" t="n">
        <v>8</v>
      </c>
      <c r="AU16" s="12" t="n">
        <f aca="false">AT16-AS16</f>
        <v>0</v>
      </c>
      <c r="AV16" s="12" t="n">
        <f aca="false">AT16-AR16</f>
        <v>8</v>
      </c>
      <c r="AW16" s="10" t="n">
        <v>36</v>
      </c>
      <c r="AX16" s="10" t="n">
        <v>36</v>
      </c>
      <c r="AY16" s="11" t="n">
        <v>36</v>
      </c>
      <c r="AZ16" s="12" t="n">
        <f aca="false">AY16-AX16</f>
        <v>0</v>
      </c>
      <c r="BA16" s="12" t="n">
        <f aca="false">AY16-AW16</f>
        <v>0</v>
      </c>
      <c r="BB16" s="10" t="n">
        <v>0</v>
      </c>
      <c r="BC16" s="10" t="n">
        <v>0</v>
      </c>
      <c r="BD16" s="11" t="n">
        <v>0</v>
      </c>
      <c r="BE16" s="12" t="n">
        <f aca="false">BD16-BC16</f>
        <v>0</v>
      </c>
      <c r="BF16" s="12" t="n">
        <f aca="false">BD16-BB16</f>
        <v>0</v>
      </c>
      <c r="BG16" s="10" t="n">
        <v>1</v>
      </c>
      <c r="BH16" s="10" t="n">
        <v>2</v>
      </c>
      <c r="BI16" s="11" t="n">
        <v>2</v>
      </c>
      <c r="BJ16" s="12" t="n">
        <f aca="false">BI16-BH16</f>
        <v>0</v>
      </c>
      <c r="BK16" s="12" t="n">
        <f aca="false">BI16-BG16</f>
        <v>1</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51</v>
      </c>
      <c r="BW16" s="10" t="s">
        <v>51</v>
      </c>
      <c r="BX16" s="10" t="s">
        <v>51</v>
      </c>
      <c r="BY16" s="10" t="s">
        <v>52</v>
      </c>
      <c r="BZ16" s="10" t="s">
        <v>52</v>
      </c>
      <c r="CA16" s="10" t="s">
        <v>52</v>
      </c>
      <c r="CB16" s="10" t="s">
        <v>51</v>
      </c>
      <c r="CC16" s="10" t="s">
        <v>51</v>
      </c>
      <c r="CD16" s="10" t="s">
        <v>51</v>
      </c>
      <c r="CE16" s="10" t="s">
        <v>52</v>
      </c>
      <c r="CF16" s="10" t="s">
        <v>52</v>
      </c>
      <c r="CG16" s="10" t="s">
        <v>52</v>
      </c>
      <c r="CH16" s="10" t="s">
        <v>51</v>
      </c>
      <c r="CI16" s="10" t="s">
        <v>51</v>
      </c>
      <c r="CJ16" s="10" t="s">
        <v>51</v>
      </c>
      <c r="CK16" s="10" t="s">
        <v>51</v>
      </c>
      <c r="CL16" s="10" t="s">
        <v>51</v>
      </c>
      <c r="CM16" s="10" t="s">
        <v>51</v>
      </c>
      <c r="CN16" s="10" t="s">
        <v>51</v>
      </c>
      <c r="CO16" s="10" t="s">
        <v>51</v>
      </c>
      <c r="CP16" s="10" t="s">
        <v>51</v>
      </c>
      <c r="CQ16" s="10" t="s">
        <v>51</v>
      </c>
      <c r="CR16" s="10" t="s">
        <v>51</v>
      </c>
      <c r="CS16" s="10" t="s">
        <v>51</v>
      </c>
      <c r="CT16" s="10" t="s">
        <v>52</v>
      </c>
      <c r="CU16" s="10" t="s">
        <v>52</v>
      </c>
      <c r="CV16" s="10" t="s">
        <v>52</v>
      </c>
    </row>
    <row r="17" customFormat="false" ht="15" hidden="false" customHeight="false" outlineLevel="0" collapsed="false">
      <c r="A17" s="4" t="s">
        <v>79</v>
      </c>
      <c r="B17" s="4" t="s">
        <v>80</v>
      </c>
      <c r="C17" s="10" t="n">
        <v>76</v>
      </c>
      <c r="D17" s="10" t="n">
        <v>47</v>
      </c>
      <c r="E17" s="10" t="n">
        <v>47</v>
      </c>
      <c r="F17" s="11" t="n">
        <v>47</v>
      </c>
      <c r="G17" s="12" t="n">
        <f aca="false">F17-E17</f>
        <v>0</v>
      </c>
      <c r="H17" s="12" t="n">
        <f aca="false">F17-D17</f>
        <v>0</v>
      </c>
      <c r="I17" s="10" t="n">
        <v>76</v>
      </c>
      <c r="J17" s="10" t="n">
        <v>76</v>
      </c>
      <c r="K17" s="11" t="n">
        <v>76</v>
      </c>
      <c r="L17" s="12" t="n">
        <f aca="false">K17-J17</f>
        <v>0</v>
      </c>
      <c r="M17" s="12" t="n">
        <f aca="false">K17-I17</f>
        <v>0</v>
      </c>
      <c r="N17" s="10" t="n">
        <v>73</v>
      </c>
      <c r="O17" s="10" t="n">
        <v>75</v>
      </c>
      <c r="P17" s="11" t="n">
        <v>75</v>
      </c>
      <c r="Q17" s="12" t="n">
        <f aca="false">P17-O17</f>
        <v>0</v>
      </c>
      <c r="R17" s="12" t="n">
        <f aca="false">P17-N17</f>
        <v>2</v>
      </c>
      <c r="S17" s="10" t="n">
        <v>7</v>
      </c>
      <c r="T17" s="10" t="n">
        <v>5</v>
      </c>
      <c r="U17" s="11" t="n">
        <v>5</v>
      </c>
      <c r="V17" s="12" t="n">
        <f aca="false">U17-T17</f>
        <v>0</v>
      </c>
      <c r="W17" s="12" t="n">
        <f aca="false">U17-S17</f>
        <v>-2</v>
      </c>
      <c r="X17" s="10" t="n">
        <v>21</v>
      </c>
      <c r="Y17" s="10" t="n">
        <v>10</v>
      </c>
      <c r="Z17" s="11" t="n">
        <v>10</v>
      </c>
      <c r="AA17" s="12" t="n">
        <f aca="false">Z17-Y17</f>
        <v>0</v>
      </c>
      <c r="AB17" s="12" t="n">
        <f aca="false">Z17-X17</f>
        <v>-11</v>
      </c>
      <c r="AC17" s="10" t="n">
        <v>21</v>
      </c>
      <c r="AD17" s="10" t="n">
        <v>24</v>
      </c>
      <c r="AE17" s="11" t="n">
        <v>24</v>
      </c>
      <c r="AF17" s="12" t="n">
        <f aca="false">AE17-AD17</f>
        <v>0</v>
      </c>
      <c r="AG17" s="12" t="n">
        <f aca="false">AE17-AC17</f>
        <v>3</v>
      </c>
      <c r="AH17" s="10" t="n">
        <v>21</v>
      </c>
      <c r="AI17" s="10" t="n">
        <v>24</v>
      </c>
      <c r="AJ17" s="11" t="n">
        <v>24</v>
      </c>
      <c r="AK17" s="12" t="n">
        <f aca="false">AJ17-AI17</f>
        <v>0</v>
      </c>
      <c r="AL17" s="12" t="n">
        <f aca="false">AJ17-AH17</f>
        <v>3</v>
      </c>
      <c r="AM17" s="10" t="n">
        <v>76</v>
      </c>
      <c r="AN17" s="10" t="n">
        <v>76</v>
      </c>
      <c r="AO17" s="11" t="n">
        <v>76</v>
      </c>
      <c r="AP17" s="12" t="n">
        <f aca="false">AO17-AN17</f>
        <v>0</v>
      </c>
      <c r="AQ17" s="12" t="n">
        <f aca="false">AO17-AM17</f>
        <v>0</v>
      </c>
      <c r="AR17" s="10" t="n">
        <v>2</v>
      </c>
      <c r="AS17" s="10" t="n">
        <v>2</v>
      </c>
      <c r="AT17" s="11" t="n">
        <v>2</v>
      </c>
      <c r="AU17" s="12" t="n">
        <f aca="false">AT17-AS17</f>
        <v>0</v>
      </c>
      <c r="AV17" s="12" t="n">
        <f aca="false">AT17-AR17</f>
        <v>0</v>
      </c>
      <c r="AW17" s="10" t="n">
        <v>19</v>
      </c>
      <c r="AX17" s="10" t="n">
        <v>21</v>
      </c>
      <c r="AY17" s="11" t="n">
        <v>21</v>
      </c>
      <c r="AZ17" s="12" t="n">
        <f aca="false">AY17-AX17</f>
        <v>0</v>
      </c>
      <c r="BA17" s="12" t="n">
        <f aca="false">AY17-AW17</f>
        <v>2</v>
      </c>
      <c r="BB17" s="10" t="n">
        <v>0</v>
      </c>
      <c r="BC17" s="10" t="n">
        <v>0</v>
      </c>
      <c r="BD17" s="11" t="n">
        <v>0</v>
      </c>
      <c r="BE17" s="12" t="n">
        <f aca="false">BD17-BC17</f>
        <v>0</v>
      </c>
      <c r="BF17" s="12" t="n">
        <f aca="false">BD17-BB17</f>
        <v>0</v>
      </c>
      <c r="BG17" s="10" t="n">
        <v>71</v>
      </c>
      <c r="BH17" s="10" t="n">
        <v>71</v>
      </c>
      <c r="BI17" s="11" t="n">
        <v>71</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51</v>
      </c>
      <c r="BW17" s="10" t="s">
        <v>51</v>
      </c>
      <c r="BX17" s="10" t="s">
        <v>51</v>
      </c>
      <c r="BY17" s="10" t="s">
        <v>51</v>
      </c>
      <c r="BZ17" s="10" t="s">
        <v>51</v>
      </c>
      <c r="CA17" s="10" t="s">
        <v>51</v>
      </c>
      <c r="CB17" s="10" t="s">
        <v>51</v>
      </c>
      <c r="CC17" s="10" t="s">
        <v>51</v>
      </c>
      <c r="CD17" s="10" t="s">
        <v>51</v>
      </c>
      <c r="CE17" s="10" t="s">
        <v>52</v>
      </c>
      <c r="CF17" s="10" t="s">
        <v>52</v>
      </c>
      <c r="CG17" s="10" t="s">
        <v>52</v>
      </c>
      <c r="CH17" s="10" t="s">
        <v>51</v>
      </c>
      <c r="CI17" s="10" t="s">
        <v>51</v>
      </c>
      <c r="CJ17" s="10" t="s">
        <v>51</v>
      </c>
      <c r="CK17" s="10" t="s">
        <v>51</v>
      </c>
      <c r="CL17" s="10" t="s">
        <v>51</v>
      </c>
      <c r="CM17" s="10" t="s">
        <v>51</v>
      </c>
      <c r="CN17" s="10" t="s">
        <v>51</v>
      </c>
      <c r="CO17" s="10" t="s">
        <v>51</v>
      </c>
      <c r="CP17" s="10" t="s">
        <v>51</v>
      </c>
      <c r="CQ17" s="10" t="s">
        <v>52</v>
      </c>
      <c r="CR17" s="10" t="s">
        <v>52</v>
      </c>
      <c r="CS17" s="10" t="s">
        <v>52</v>
      </c>
      <c r="CT17" s="10" t="s">
        <v>52</v>
      </c>
      <c r="CU17" s="10" t="s">
        <v>52</v>
      </c>
      <c r="CV17" s="10" t="s">
        <v>52</v>
      </c>
    </row>
    <row r="18" customFormat="false" ht="15" hidden="false" customHeight="false" outlineLevel="0" collapsed="false">
      <c r="A18" s="4" t="s">
        <v>81</v>
      </c>
      <c r="B18" s="4" t="s">
        <v>82</v>
      </c>
      <c r="C18" s="10" t="n">
        <v>72</v>
      </c>
      <c r="D18" s="10" t="n">
        <v>74</v>
      </c>
      <c r="E18" s="10" t="n">
        <v>72</v>
      </c>
      <c r="F18" s="11" t="n">
        <v>72</v>
      </c>
      <c r="G18" s="12" t="n">
        <f aca="false">F18-E18</f>
        <v>0</v>
      </c>
      <c r="H18" s="12" t="n">
        <f aca="false">F18-D18</f>
        <v>-2</v>
      </c>
      <c r="I18" s="10" t="n">
        <v>8</v>
      </c>
      <c r="J18" s="10" t="n">
        <v>72</v>
      </c>
      <c r="K18" s="11" t="n">
        <v>72</v>
      </c>
      <c r="L18" s="12" t="n">
        <f aca="false">K18-J18</f>
        <v>0</v>
      </c>
      <c r="M18" s="12" t="n">
        <f aca="false">K18-I18</f>
        <v>64</v>
      </c>
      <c r="N18" s="10" t="n">
        <v>79</v>
      </c>
      <c r="O18" s="10" t="n">
        <v>70</v>
      </c>
      <c r="P18" s="11" t="n">
        <v>70</v>
      </c>
      <c r="Q18" s="12" t="n">
        <f aca="false">P18-O18</f>
        <v>0</v>
      </c>
      <c r="R18" s="12" t="n">
        <f aca="false">P18-N18</f>
        <v>-9</v>
      </c>
      <c r="S18" s="10" t="n">
        <v>82</v>
      </c>
      <c r="T18" s="10" t="n">
        <v>72</v>
      </c>
      <c r="U18" s="11" t="n">
        <v>72</v>
      </c>
      <c r="V18" s="12" t="n">
        <f aca="false">U18-T18</f>
        <v>0</v>
      </c>
      <c r="W18" s="12" t="n">
        <f aca="false">U18-S18</f>
        <v>-10</v>
      </c>
      <c r="X18" s="10" t="n">
        <v>78</v>
      </c>
      <c r="Y18" s="10" t="n">
        <v>70</v>
      </c>
      <c r="Z18" s="11" t="n">
        <v>70</v>
      </c>
      <c r="AA18" s="12" t="n">
        <f aca="false">Z18-Y18</f>
        <v>0</v>
      </c>
      <c r="AB18" s="12" t="n">
        <f aca="false">Z18-X18</f>
        <v>-8</v>
      </c>
      <c r="AC18" s="10" t="n">
        <v>80</v>
      </c>
      <c r="AD18" s="10" t="n">
        <v>72</v>
      </c>
      <c r="AE18" s="11" t="n">
        <v>72</v>
      </c>
      <c r="AF18" s="12" t="n">
        <f aca="false">AE18-AD18</f>
        <v>0</v>
      </c>
      <c r="AG18" s="12" t="n">
        <f aca="false">AE18-AC18</f>
        <v>-8</v>
      </c>
      <c r="AH18" s="10" t="n">
        <v>80</v>
      </c>
      <c r="AI18" s="10" t="n">
        <v>72</v>
      </c>
      <c r="AJ18" s="11" t="n">
        <v>72</v>
      </c>
      <c r="AK18" s="12" t="n">
        <f aca="false">AJ18-AI18</f>
        <v>0</v>
      </c>
      <c r="AL18" s="12" t="n">
        <f aca="false">AJ18-AH18</f>
        <v>-8</v>
      </c>
      <c r="AM18" s="10" t="n">
        <v>83</v>
      </c>
      <c r="AN18" s="10" t="n">
        <v>72</v>
      </c>
      <c r="AO18" s="11" t="n">
        <v>72</v>
      </c>
      <c r="AP18" s="12" t="n">
        <f aca="false">AO18-AN18</f>
        <v>0</v>
      </c>
      <c r="AQ18" s="12" t="n">
        <f aca="false">AO18-AM18</f>
        <v>-11</v>
      </c>
      <c r="AR18" s="10" t="n">
        <v>0</v>
      </c>
      <c r="AS18" s="10" t="n">
        <v>55</v>
      </c>
      <c r="AT18" s="11" t="n">
        <v>55</v>
      </c>
      <c r="AU18" s="12" t="n">
        <f aca="false">AT18-AS18</f>
        <v>0</v>
      </c>
      <c r="AV18" s="12" t="n">
        <f aca="false">AT18-AR18</f>
        <v>55</v>
      </c>
      <c r="AW18" s="10" t="n">
        <v>0</v>
      </c>
      <c r="AX18" s="10" t="n">
        <v>72</v>
      </c>
      <c r="AY18" s="11" t="n">
        <v>72</v>
      </c>
      <c r="AZ18" s="12" t="n">
        <f aca="false">AY18-AX18</f>
        <v>0</v>
      </c>
      <c r="BA18" s="12" t="n">
        <f aca="false">AY18-AW18</f>
        <v>72</v>
      </c>
      <c r="BB18" s="10" t="n">
        <v>0</v>
      </c>
      <c r="BC18" s="10" t="n">
        <v>0</v>
      </c>
      <c r="BD18" s="11" t="n">
        <v>0</v>
      </c>
      <c r="BE18" s="12" t="n">
        <f aca="false">BD18-BC18</f>
        <v>0</v>
      </c>
      <c r="BF18" s="12" t="n">
        <f aca="false">BD18-BB18</f>
        <v>0</v>
      </c>
      <c r="BG18" s="10" t="n">
        <v>3</v>
      </c>
      <c r="BH18" s="10" t="n">
        <v>18</v>
      </c>
      <c r="BI18" s="11" t="n">
        <v>18</v>
      </c>
      <c r="BJ18" s="12" t="n">
        <f aca="false">BI18-BH18</f>
        <v>0</v>
      </c>
      <c r="BK18" s="12" t="n">
        <f aca="false">BI18-BG18</f>
        <v>15</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51</v>
      </c>
      <c r="BW18" s="10" t="s">
        <v>51</v>
      </c>
      <c r="BX18" s="10" t="s">
        <v>51</v>
      </c>
      <c r="BY18" s="10" t="s">
        <v>51</v>
      </c>
      <c r="BZ18" s="10" t="s">
        <v>51</v>
      </c>
      <c r="CA18" s="10" t="s">
        <v>51</v>
      </c>
      <c r="CB18" s="10" t="s">
        <v>51</v>
      </c>
      <c r="CC18" s="10" t="s">
        <v>51</v>
      </c>
      <c r="CD18" s="10" t="s">
        <v>51</v>
      </c>
      <c r="CE18" s="10" t="s">
        <v>52</v>
      </c>
      <c r="CF18" s="10" t="s">
        <v>52</v>
      </c>
      <c r="CG18" s="10" t="s">
        <v>52</v>
      </c>
      <c r="CH18" s="10" t="s">
        <v>51</v>
      </c>
      <c r="CI18" s="10" t="s">
        <v>51</v>
      </c>
      <c r="CJ18" s="10" t="s">
        <v>51</v>
      </c>
      <c r="CK18" s="10" t="s">
        <v>51</v>
      </c>
      <c r="CL18" s="10" t="s">
        <v>51</v>
      </c>
      <c r="CM18" s="10" t="s">
        <v>51</v>
      </c>
      <c r="CN18" s="10" t="s">
        <v>51</v>
      </c>
      <c r="CO18" s="10" t="s">
        <v>51</v>
      </c>
      <c r="CP18" s="10" t="s">
        <v>51</v>
      </c>
      <c r="CQ18" s="10" t="s">
        <v>52</v>
      </c>
      <c r="CR18" s="10" t="s">
        <v>52</v>
      </c>
      <c r="CS18" s="10" t="s">
        <v>52</v>
      </c>
      <c r="CT18" s="10" t="s">
        <v>52</v>
      </c>
      <c r="CU18" s="10" t="s">
        <v>52</v>
      </c>
      <c r="CV18" s="10" t="s">
        <v>52</v>
      </c>
    </row>
    <row r="19" customFormat="false" ht="15" hidden="false" customHeight="false" outlineLevel="0" collapsed="false">
      <c r="A19" s="4" t="s">
        <v>83</v>
      </c>
      <c r="B19" s="4" t="s">
        <v>84</v>
      </c>
      <c r="C19" s="10" t="n">
        <v>61</v>
      </c>
      <c r="D19" s="10" t="n">
        <v>72</v>
      </c>
      <c r="E19" s="10" t="n">
        <v>57</v>
      </c>
      <c r="F19" s="11" t="n">
        <v>57</v>
      </c>
      <c r="G19" s="12" t="n">
        <f aca="false">F19-E19</f>
        <v>0</v>
      </c>
      <c r="H19" s="12" t="n">
        <f aca="false">F19-D19</f>
        <v>-15</v>
      </c>
      <c r="I19" s="10" t="n">
        <v>12</v>
      </c>
      <c r="J19" s="10" t="n">
        <v>61</v>
      </c>
      <c r="K19" s="11" t="n">
        <v>61</v>
      </c>
      <c r="L19" s="12" t="n">
        <f aca="false">K19-J19</f>
        <v>0</v>
      </c>
      <c r="M19" s="12" t="n">
        <f aca="false">K19-I19</f>
        <v>49</v>
      </c>
      <c r="N19" s="10" t="n">
        <v>130</v>
      </c>
      <c r="O19" s="10" t="n">
        <v>60</v>
      </c>
      <c r="P19" s="11" t="n">
        <v>60</v>
      </c>
      <c r="Q19" s="12" t="n">
        <f aca="false">P19-O19</f>
        <v>0</v>
      </c>
      <c r="R19" s="12" t="n">
        <f aca="false">P19-N19</f>
        <v>-70</v>
      </c>
      <c r="S19" s="10" t="n">
        <v>0</v>
      </c>
      <c r="T19" s="10" t="n">
        <v>0</v>
      </c>
      <c r="U19" s="11" t="n">
        <v>0</v>
      </c>
      <c r="V19" s="12" t="n">
        <f aca="false">U19-T19</f>
        <v>0</v>
      </c>
      <c r="W19" s="12" t="n">
        <f aca="false">U19-S19</f>
        <v>0</v>
      </c>
      <c r="X19" s="10" t="n">
        <v>116</v>
      </c>
      <c r="Y19" s="10" t="n">
        <v>57</v>
      </c>
      <c r="Z19" s="11" t="n">
        <v>57</v>
      </c>
      <c r="AA19" s="12" t="n">
        <f aca="false">Z19-Y19</f>
        <v>0</v>
      </c>
      <c r="AB19" s="12" t="n">
        <f aca="false">Z19-X19</f>
        <v>-59</v>
      </c>
      <c r="AC19" s="10" t="n">
        <v>119</v>
      </c>
      <c r="AD19" s="10" t="n">
        <v>57</v>
      </c>
      <c r="AE19" s="11" t="n">
        <v>57</v>
      </c>
      <c r="AF19" s="12" t="n">
        <f aca="false">AE19-AD19</f>
        <v>0</v>
      </c>
      <c r="AG19" s="12" t="n">
        <f aca="false">AE19-AC19</f>
        <v>-62</v>
      </c>
      <c r="AH19" s="10" t="n">
        <v>119</v>
      </c>
      <c r="AI19" s="10" t="n">
        <v>57</v>
      </c>
      <c r="AJ19" s="11" t="n">
        <v>57</v>
      </c>
      <c r="AK19" s="12" t="n">
        <f aca="false">AJ19-AI19</f>
        <v>0</v>
      </c>
      <c r="AL19" s="12" t="n">
        <f aca="false">AJ19-AH19</f>
        <v>-62</v>
      </c>
      <c r="AM19" s="10" t="n">
        <v>136</v>
      </c>
      <c r="AN19" s="10" t="n">
        <v>61</v>
      </c>
      <c r="AO19" s="11" t="n">
        <v>61</v>
      </c>
      <c r="AP19" s="12" t="n">
        <f aca="false">AO19-AN19</f>
        <v>0</v>
      </c>
      <c r="AQ19" s="12" t="n">
        <f aca="false">AO19-AM19</f>
        <v>-75</v>
      </c>
      <c r="AR19" s="10" t="n">
        <v>65</v>
      </c>
      <c r="AS19" s="10" t="n">
        <v>55</v>
      </c>
      <c r="AT19" s="11" t="n">
        <v>55</v>
      </c>
      <c r="AU19" s="12" t="n">
        <f aca="false">AT19-AS19</f>
        <v>0</v>
      </c>
      <c r="AV19" s="12" t="n">
        <f aca="false">AT19-AR19</f>
        <v>-10</v>
      </c>
      <c r="AW19" s="10" t="n">
        <v>0</v>
      </c>
      <c r="AX19" s="10" t="n">
        <v>0</v>
      </c>
      <c r="AY19" s="11" t="n">
        <v>0</v>
      </c>
      <c r="AZ19" s="12" t="n">
        <f aca="false">AY19-AX19</f>
        <v>0</v>
      </c>
      <c r="BA19" s="12" t="n">
        <f aca="false">AY19-AW19</f>
        <v>0</v>
      </c>
      <c r="BB19" s="10" t="n">
        <v>0</v>
      </c>
      <c r="BC19" s="10" t="n">
        <v>0</v>
      </c>
      <c r="BD19" s="11" t="n">
        <v>0</v>
      </c>
      <c r="BE19" s="12" t="n">
        <f aca="false">BD19-BC19</f>
        <v>0</v>
      </c>
      <c r="BF19" s="12" t="n">
        <f aca="false">BD19-BB19</f>
        <v>0</v>
      </c>
      <c r="BG19" s="10" t="n">
        <v>0</v>
      </c>
      <c r="BH19" s="10" t="n">
        <v>0</v>
      </c>
      <c r="BI19" s="11" t="n">
        <v>0</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51</v>
      </c>
      <c r="BW19" s="10" t="s">
        <v>51</v>
      </c>
      <c r="BX19" s="10" t="s">
        <v>51</v>
      </c>
      <c r="BY19" s="10" t="s">
        <v>51</v>
      </c>
      <c r="BZ19" s="10" t="s">
        <v>51</v>
      </c>
      <c r="CA19" s="10" t="s">
        <v>51</v>
      </c>
      <c r="CB19" s="10" t="s">
        <v>51</v>
      </c>
      <c r="CC19" s="10" t="s">
        <v>51</v>
      </c>
      <c r="CD19" s="10" t="s">
        <v>51</v>
      </c>
      <c r="CE19" s="10" t="s">
        <v>52</v>
      </c>
      <c r="CF19" s="10" t="s">
        <v>52</v>
      </c>
      <c r="CG19" s="10" t="s">
        <v>52</v>
      </c>
      <c r="CH19" s="10" t="s">
        <v>51</v>
      </c>
      <c r="CI19" s="10" t="s">
        <v>51</v>
      </c>
      <c r="CJ19" s="10" t="s">
        <v>51</v>
      </c>
      <c r="CK19" s="10" t="s">
        <v>52</v>
      </c>
      <c r="CL19" s="10" t="s">
        <v>52</v>
      </c>
      <c r="CM19" s="10" t="s">
        <v>52</v>
      </c>
      <c r="CN19" s="10" t="s">
        <v>52</v>
      </c>
      <c r="CO19" s="10" t="s">
        <v>52</v>
      </c>
      <c r="CP19" s="10" t="s">
        <v>52</v>
      </c>
      <c r="CQ19" s="10" t="s">
        <v>52</v>
      </c>
      <c r="CR19" s="10" t="s">
        <v>52</v>
      </c>
      <c r="CS19" s="10" t="s">
        <v>52</v>
      </c>
      <c r="CT19" s="10" t="s">
        <v>52</v>
      </c>
      <c r="CU19" s="10" t="s">
        <v>52</v>
      </c>
      <c r="CV19" s="10" t="s">
        <v>52</v>
      </c>
    </row>
    <row r="20" customFormat="false" ht="15" hidden="false" customHeight="false" outlineLevel="0" collapsed="false">
      <c r="A20" s="4" t="s">
        <v>85</v>
      </c>
      <c r="B20" s="4" t="s">
        <v>86</v>
      </c>
      <c r="C20" s="10" t="n">
        <v>58</v>
      </c>
      <c r="D20" s="10" t="n">
        <v>33</v>
      </c>
      <c r="E20" s="10" t="n">
        <v>54</v>
      </c>
      <c r="F20" s="11" t="n">
        <v>54</v>
      </c>
      <c r="G20" s="12" t="n">
        <f aca="false">F20-E20</f>
        <v>0</v>
      </c>
      <c r="H20" s="12" t="n">
        <f aca="false">F20-D20</f>
        <v>21</v>
      </c>
      <c r="I20" s="10" t="n">
        <v>8</v>
      </c>
      <c r="J20" s="10" t="n">
        <v>58</v>
      </c>
      <c r="K20" s="11" t="n">
        <v>58</v>
      </c>
      <c r="L20" s="12" t="n">
        <f aca="false">K20-J20</f>
        <v>0</v>
      </c>
      <c r="M20" s="12" t="n">
        <f aca="false">K20-I20</f>
        <v>50</v>
      </c>
      <c r="N20" s="10" t="n">
        <v>88</v>
      </c>
      <c r="O20" s="10" t="n">
        <v>58</v>
      </c>
      <c r="P20" s="11" t="n">
        <v>58</v>
      </c>
      <c r="Q20" s="12" t="n">
        <f aca="false">P20-O20</f>
        <v>0</v>
      </c>
      <c r="R20" s="12" t="n">
        <f aca="false">P20-N20</f>
        <v>-30</v>
      </c>
      <c r="S20" s="10" t="n">
        <v>7</v>
      </c>
      <c r="T20" s="10" t="n">
        <v>8</v>
      </c>
      <c r="U20" s="11" t="n">
        <v>8</v>
      </c>
      <c r="V20" s="12" t="n">
        <f aca="false">U20-T20</f>
        <v>0</v>
      </c>
      <c r="W20" s="12" t="n">
        <f aca="false">U20-S20</f>
        <v>1</v>
      </c>
      <c r="X20" s="10" t="n">
        <v>82</v>
      </c>
      <c r="Y20" s="10" t="n">
        <v>57</v>
      </c>
      <c r="Z20" s="11" t="n">
        <v>57</v>
      </c>
      <c r="AA20" s="12" t="n">
        <f aca="false">Z20-Y20</f>
        <v>0</v>
      </c>
      <c r="AB20" s="12" t="n">
        <f aca="false">Z20-X20</f>
        <v>-25</v>
      </c>
      <c r="AC20" s="10" t="n">
        <v>36</v>
      </c>
      <c r="AD20" s="10" t="n">
        <v>49</v>
      </c>
      <c r="AE20" s="11" t="n">
        <v>49</v>
      </c>
      <c r="AF20" s="12" t="n">
        <f aca="false">AE20-AD20</f>
        <v>0</v>
      </c>
      <c r="AG20" s="12" t="n">
        <f aca="false">AE20-AC20</f>
        <v>13</v>
      </c>
      <c r="AH20" s="10" t="n">
        <v>36</v>
      </c>
      <c r="AI20" s="10" t="n">
        <v>49</v>
      </c>
      <c r="AJ20" s="11" t="n">
        <v>49</v>
      </c>
      <c r="AK20" s="12" t="n">
        <f aca="false">AJ20-AI20</f>
        <v>0</v>
      </c>
      <c r="AL20" s="12" t="n">
        <f aca="false">AJ20-AH20</f>
        <v>13</v>
      </c>
      <c r="AM20" s="10" t="n">
        <v>88</v>
      </c>
      <c r="AN20" s="10" t="n">
        <v>58</v>
      </c>
      <c r="AO20" s="11" t="n">
        <v>58</v>
      </c>
      <c r="AP20" s="12" t="n">
        <f aca="false">AO20-AN20</f>
        <v>0</v>
      </c>
      <c r="AQ20" s="12" t="n">
        <f aca="false">AO20-AM20</f>
        <v>-30</v>
      </c>
      <c r="AR20" s="10" t="n">
        <v>0</v>
      </c>
      <c r="AS20" s="10" t="n">
        <v>0</v>
      </c>
      <c r="AT20" s="11" t="n">
        <v>0</v>
      </c>
      <c r="AU20" s="12" t="n">
        <f aca="false">AT20-AS20</f>
        <v>0</v>
      </c>
      <c r="AV20" s="12" t="n">
        <f aca="false">AT20-AR20</f>
        <v>0</v>
      </c>
      <c r="AW20" s="10" t="n">
        <v>0</v>
      </c>
      <c r="AX20" s="10" t="n">
        <v>5</v>
      </c>
      <c r="AY20" s="11" t="n">
        <v>5</v>
      </c>
      <c r="AZ20" s="12" t="n">
        <f aca="false">AY20-AX20</f>
        <v>0</v>
      </c>
      <c r="BA20" s="12" t="n">
        <f aca="false">AY20-AW20</f>
        <v>5</v>
      </c>
      <c r="BB20" s="10" t="n">
        <v>0</v>
      </c>
      <c r="BC20" s="10" t="n">
        <v>0</v>
      </c>
      <c r="BD20" s="11" t="n">
        <v>0</v>
      </c>
      <c r="BE20" s="12" t="n">
        <f aca="false">BD20-BC20</f>
        <v>0</v>
      </c>
      <c r="BF20" s="12" t="n">
        <f aca="false">BD20-BB20</f>
        <v>0</v>
      </c>
      <c r="BG20" s="10" t="n">
        <v>27</v>
      </c>
      <c r="BH20" s="10" t="n">
        <v>48</v>
      </c>
      <c r="BI20" s="11" t="n">
        <v>48</v>
      </c>
      <c r="BJ20" s="12" t="n">
        <f aca="false">BI20-BH20</f>
        <v>0</v>
      </c>
      <c r="BK20" s="12" t="n">
        <f aca="false">BI20-BG20</f>
        <v>21</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51</v>
      </c>
      <c r="BW20" s="10" t="s">
        <v>51</v>
      </c>
      <c r="BX20" s="10" t="s">
        <v>51</v>
      </c>
      <c r="BY20" s="10" t="s">
        <v>51</v>
      </c>
      <c r="BZ20" s="10" t="s">
        <v>51</v>
      </c>
      <c r="CA20" s="10" t="s">
        <v>51</v>
      </c>
      <c r="CB20" s="10" t="s">
        <v>51</v>
      </c>
      <c r="CC20" s="10" t="s">
        <v>51</v>
      </c>
      <c r="CD20" s="10" t="s">
        <v>51</v>
      </c>
      <c r="CE20" s="10" t="s">
        <v>52</v>
      </c>
      <c r="CF20" s="10" t="s">
        <v>52</v>
      </c>
      <c r="CG20" s="10" t="s">
        <v>52</v>
      </c>
      <c r="CH20" s="10" t="s">
        <v>51</v>
      </c>
      <c r="CI20" s="10" t="s">
        <v>51</v>
      </c>
      <c r="CJ20" s="10" t="s">
        <v>51</v>
      </c>
      <c r="CK20" s="10" t="s">
        <v>51</v>
      </c>
      <c r="CL20" s="10" t="s">
        <v>51</v>
      </c>
      <c r="CM20" s="10" t="s">
        <v>51</v>
      </c>
      <c r="CN20" s="10" t="s">
        <v>51</v>
      </c>
      <c r="CO20" s="10" t="s">
        <v>51</v>
      </c>
      <c r="CP20" s="10" t="s">
        <v>51</v>
      </c>
      <c r="CQ20" s="10" t="s">
        <v>52</v>
      </c>
      <c r="CR20" s="10" t="s">
        <v>52</v>
      </c>
      <c r="CS20" s="10" t="s">
        <v>52</v>
      </c>
      <c r="CT20" s="10" t="s">
        <v>52</v>
      </c>
      <c r="CU20" s="10" t="s">
        <v>52</v>
      </c>
      <c r="CV20" s="10" t="s">
        <v>52</v>
      </c>
    </row>
    <row r="21" customFormat="false" ht="15" hidden="false" customHeight="false" outlineLevel="0" collapsed="false">
      <c r="A21" s="4" t="s">
        <v>87</v>
      </c>
      <c r="B21" s="4" t="s">
        <v>88</v>
      </c>
      <c r="C21" s="10" t="n">
        <v>57</v>
      </c>
      <c r="D21" s="10" t="n">
        <v>59</v>
      </c>
      <c r="E21" s="10" t="n">
        <v>56</v>
      </c>
      <c r="F21" s="11" t="n">
        <v>56</v>
      </c>
      <c r="G21" s="12" t="n">
        <f aca="false">F21-E21</f>
        <v>0</v>
      </c>
      <c r="H21" s="12" t="n">
        <f aca="false">F21-D21</f>
        <v>-3</v>
      </c>
      <c r="I21" s="10" t="n">
        <v>5</v>
      </c>
      <c r="J21" s="10" t="n">
        <v>57</v>
      </c>
      <c r="K21" s="11" t="n">
        <v>57</v>
      </c>
      <c r="L21" s="12" t="n">
        <f aca="false">K21-J21</f>
        <v>0</v>
      </c>
      <c r="M21" s="12" t="n">
        <f aca="false">K21-I21</f>
        <v>52</v>
      </c>
      <c r="N21" s="10" t="n">
        <v>67</v>
      </c>
      <c r="O21" s="10" t="n">
        <v>57</v>
      </c>
      <c r="P21" s="11" t="n">
        <v>57</v>
      </c>
      <c r="Q21" s="12" t="n">
        <f aca="false">P21-O21</f>
        <v>0</v>
      </c>
      <c r="R21" s="12" t="n">
        <f aca="false">P21-N21</f>
        <v>-10</v>
      </c>
      <c r="S21" s="10" t="n">
        <v>0</v>
      </c>
      <c r="T21" s="10" t="n">
        <v>0</v>
      </c>
      <c r="U21" s="11" t="n">
        <v>0</v>
      </c>
      <c r="V21" s="12" t="n">
        <f aca="false">U21-T21</f>
        <v>0</v>
      </c>
      <c r="W21" s="12" t="n">
        <f aca="false">U21-S21</f>
        <v>0</v>
      </c>
      <c r="X21" s="10" t="n">
        <v>63</v>
      </c>
      <c r="Y21" s="10" t="n">
        <v>54</v>
      </c>
      <c r="Z21" s="11" t="n">
        <v>54</v>
      </c>
      <c r="AA21" s="12" t="n">
        <f aca="false">Z21-Y21</f>
        <v>0</v>
      </c>
      <c r="AB21" s="12" t="n">
        <f aca="false">Z21-X21</f>
        <v>-9</v>
      </c>
      <c r="AC21" s="10" t="n">
        <v>52</v>
      </c>
      <c r="AD21" s="10" t="n">
        <v>51</v>
      </c>
      <c r="AE21" s="11" t="n">
        <v>51</v>
      </c>
      <c r="AF21" s="12" t="n">
        <f aca="false">AE21-AD21</f>
        <v>0</v>
      </c>
      <c r="AG21" s="12" t="n">
        <f aca="false">AE21-AC21</f>
        <v>-1</v>
      </c>
      <c r="AH21" s="10" t="n">
        <v>0</v>
      </c>
      <c r="AI21" s="10" t="n">
        <v>0</v>
      </c>
      <c r="AJ21" s="11" t="n">
        <v>0</v>
      </c>
      <c r="AK21" s="12" t="n">
        <f aca="false">AJ21-AI21</f>
        <v>0</v>
      </c>
      <c r="AL21" s="12" t="n">
        <f aca="false">AJ21-AH21</f>
        <v>0</v>
      </c>
      <c r="AM21" s="10" t="n">
        <v>68</v>
      </c>
      <c r="AN21" s="10" t="n">
        <v>57</v>
      </c>
      <c r="AO21" s="11" t="n">
        <v>57</v>
      </c>
      <c r="AP21" s="12" t="n">
        <f aca="false">AO21-AN21</f>
        <v>0</v>
      </c>
      <c r="AQ21" s="12" t="n">
        <f aca="false">AO21-AM21</f>
        <v>-11</v>
      </c>
      <c r="AR21" s="10" t="n">
        <v>0</v>
      </c>
      <c r="AS21" s="10" t="n">
        <v>16</v>
      </c>
      <c r="AT21" s="11" t="n">
        <v>16</v>
      </c>
      <c r="AU21" s="12" t="n">
        <f aca="false">AT21-AS21</f>
        <v>0</v>
      </c>
      <c r="AV21" s="12" t="n">
        <f aca="false">AT21-AR21</f>
        <v>16</v>
      </c>
      <c r="AW21" s="10" t="n">
        <v>53</v>
      </c>
      <c r="AX21" s="10" t="n">
        <v>51</v>
      </c>
      <c r="AY21" s="11" t="n">
        <v>51</v>
      </c>
      <c r="AZ21" s="12" t="n">
        <f aca="false">AY21-AX21</f>
        <v>0</v>
      </c>
      <c r="BA21" s="12" t="n">
        <f aca="false">AY21-AW21</f>
        <v>-2</v>
      </c>
      <c r="BB21" s="10" t="n">
        <v>0</v>
      </c>
      <c r="BC21" s="10" t="n">
        <v>0</v>
      </c>
      <c r="BD21" s="11" t="n">
        <v>0</v>
      </c>
      <c r="BE21" s="12" t="n">
        <f aca="false">BD21-BC21</f>
        <v>0</v>
      </c>
      <c r="BF21" s="12" t="n">
        <f aca="false">BD21-BB21</f>
        <v>0</v>
      </c>
      <c r="BG21" s="10" t="n">
        <v>0</v>
      </c>
      <c r="BH21" s="10" t="n">
        <v>0</v>
      </c>
      <c r="BI21" s="11" t="n">
        <v>0</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51</v>
      </c>
      <c r="BW21" s="10" t="s">
        <v>51</v>
      </c>
      <c r="BX21" s="10" t="s">
        <v>51</v>
      </c>
      <c r="BY21" s="10" t="s">
        <v>52</v>
      </c>
      <c r="BZ21" s="10" t="s">
        <v>52</v>
      </c>
      <c r="CA21" s="10" t="s">
        <v>52</v>
      </c>
      <c r="CB21" s="10" t="s">
        <v>51</v>
      </c>
      <c r="CC21" s="10" t="s">
        <v>51</v>
      </c>
      <c r="CD21" s="10" t="s">
        <v>51</v>
      </c>
      <c r="CE21" s="10" t="s">
        <v>52</v>
      </c>
      <c r="CF21" s="10" t="s">
        <v>52</v>
      </c>
      <c r="CG21" s="10" t="s">
        <v>52</v>
      </c>
      <c r="CH21" s="10" t="s">
        <v>51</v>
      </c>
      <c r="CI21" s="10" t="s">
        <v>51</v>
      </c>
      <c r="CJ21" s="10" t="s">
        <v>51</v>
      </c>
      <c r="CK21" s="10" t="s">
        <v>51</v>
      </c>
      <c r="CL21" s="10" t="s">
        <v>51</v>
      </c>
      <c r="CM21" s="10" t="s">
        <v>51</v>
      </c>
      <c r="CN21" s="10" t="s">
        <v>51</v>
      </c>
      <c r="CO21" s="10" t="s">
        <v>51</v>
      </c>
      <c r="CP21" s="10" t="s">
        <v>51</v>
      </c>
      <c r="CQ21" s="10" t="s">
        <v>52</v>
      </c>
      <c r="CR21" s="10" t="s">
        <v>52</v>
      </c>
      <c r="CS21" s="10" t="s">
        <v>52</v>
      </c>
      <c r="CT21" s="10" t="s">
        <v>52</v>
      </c>
      <c r="CU21" s="10" t="s">
        <v>52</v>
      </c>
      <c r="CV21" s="10" t="s">
        <v>52</v>
      </c>
    </row>
    <row r="22" customFormat="false" ht="15" hidden="false" customHeight="false" outlineLevel="0" collapsed="false">
      <c r="A22" s="4" t="s">
        <v>89</v>
      </c>
      <c r="B22" s="4" t="s">
        <v>90</v>
      </c>
      <c r="C22" s="10" t="n">
        <v>52</v>
      </c>
      <c r="D22" s="10" t="n">
        <v>76</v>
      </c>
      <c r="E22" s="10" t="n">
        <v>51</v>
      </c>
      <c r="F22" s="11" t="n">
        <v>51</v>
      </c>
      <c r="G22" s="12" t="n">
        <f aca="false">F22-E22</f>
        <v>0</v>
      </c>
      <c r="H22" s="12" t="n">
        <f aca="false">F22-D22</f>
        <v>-25</v>
      </c>
      <c r="I22" s="10" t="n">
        <v>4</v>
      </c>
      <c r="J22" s="10" t="n">
        <v>52</v>
      </c>
      <c r="K22" s="11" t="n">
        <v>52</v>
      </c>
      <c r="L22" s="12" t="n">
        <f aca="false">K22-J22</f>
        <v>0</v>
      </c>
      <c r="M22" s="12" t="n">
        <f aca="false">K22-I22</f>
        <v>48</v>
      </c>
      <c r="N22" s="10" t="n">
        <v>142</v>
      </c>
      <c r="O22" s="10" t="n">
        <v>51</v>
      </c>
      <c r="P22" s="11" t="n">
        <v>51</v>
      </c>
      <c r="Q22" s="12" t="n">
        <f aca="false">P22-O22</f>
        <v>0</v>
      </c>
      <c r="R22" s="12" t="n">
        <f aca="false">P22-N22</f>
        <v>-91</v>
      </c>
      <c r="S22" s="10" t="n">
        <v>117</v>
      </c>
      <c r="T22" s="10" t="n">
        <v>50</v>
      </c>
      <c r="U22" s="11" t="n">
        <v>50</v>
      </c>
      <c r="V22" s="12" t="n">
        <f aca="false">U22-T22</f>
        <v>0</v>
      </c>
      <c r="W22" s="12" t="n">
        <f aca="false">U22-S22</f>
        <v>-67</v>
      </c>
      <c r="X22" s="10" t="n">
        <v>125</v>
      </c>
      <c r="Y22" s="10" t="n">
        <v>50</v>
      </c>
      <c r="Z22" s="11" t="n">
        <v>50</v>
      </c>
      <c r="AA22" s="12" t="n">
        <f aca="false">Z22-Y22</f>
        <v>0</v>
      </c>
      <c r="AB22" s="12" t="n">
        <f aca="false">Z22-X22</f>
        <v>-75</v>
      </c>
      <c r="AC22" s="10" t="n">
        <v>111</v>
      </c>
      <c r="AD22" s="10" t="n">
        <v>48</v>
      </c>
      <c r="AE22" s="11" t="n">
        <v>48</v>
      </c>
      <c r="AF22" s="12" t="n">
        <f aca="false">AE22-AD22</f>
        <v>0</v>
      </c>
      <c r="AG22" s="12" t="n">
        <f aca="false">AE22-AC22</f>
        <v>-63</v>
      </c>
      <c r="AH22" s="10" t="n">
        <v>111</v>
      </c>
      <c r="AI22" s="10" t="n">
        <v>48</v>
      </c>
      <c r="AJ22" s="11" t="n">
        <v>48</v>
      </c>
      <c r="AK22" s="12" t="n">
        <f aca="false">AJ22-AI22</f>
        <v>0</v>
      </c>
      <c r="AL22" s="12" t="n">
        <f aca="false">AJ22-AH22</f>
        <v>-63</v>
      </c>
      <c r="AM22" s="10" t="n">
        <v>143</v>
      </c>
      <c r="AN22" s="10" t="n">
        <v>52</v>
      </c>
      <c r="AO22" s="11" t="n">
        <v>52</v>
      </c>
      <c r="AP22" s="12" t="n">
        <f aca="false">AO22-AN22</f>
        <v>0</v>
      </c>
      <c r="AQ22" s="12" t="n">
        <f aca="false">AO22-AM22</f>
        <v>-91</v>
      </c>
      <c r="AR22" s="10" t="n">
        <v>0</v>
      </c>
      <c r="AS22" s="10" t="n">
        <v>17</v>
      </c>
      <c r="AT22" s="11" t="n">
        <v>17</v>
      </c>
      <c r="AU22" s="12" t="n">
        <f aca="false">AT22-AS22</f>
        <v>0</v>
      </c>
      <c r="AV22" s="12" t="n">
        <f aca="false">AT22-AR22</f>
        <v>17</v>
      </c>
      <c r="AW22" s="10" t="n">
        <v>0</v>
      </c>
      <c r="AX22" s="10" t="n">
        <v>9</v>
      </c>
      <c r="AY22" s="11" t="n">
        <v>9</v>
      </c>
      <c r="AZ22" s="12" t="n">
        <f aca="false">AY22-AX22</f>
        <v>0</v>
      </c>
      <c r="BA22" s="12" t="n">
        <f aca="false">AY22-AW22</f>
        <v>9</v>
      </c>
      <c r="BB22" s="10" t="n">
        <v>0</v>
      </c>
      <c r="BC22" s="10" t="n">
        <v>0</v>
      </c>
      <c r="BD22" s="11" t="n">
        <v>0</v>
      </c>
      <c r="BE22" s="12" t="n">
        <f aca="false">BD22-BC22</f>
        <v>0</v>
      </c>
      <c r="BF22" s="12" t="n">
        <f aca="false">BD22-BB22</f>
        <v>0</v>
      </c>
      <c r="BG22" s="10" t="n">
        <v>0</v>
      </c>
      <c r="BH22" s="10" t="n">
        <v>1</v>
      </c>
      <c r="BI22" s="11" t="n">
        <v>1</v>
      </c>
      <c r="BJ22" s="12" t="n">
        <f aca="false">BI22-BH22</f>
        <v>0</v>
      </c>
      <c r="BK22" s="12" t="n">
        <f aca="false">BI22-BG22</f>
        <v>1</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51</v>
      </c>
      <c r="BW22" s="10" t="s">
        <v>51</v>
      </c>
      <c r="BX22" s="10" t="s">
        <v>51</v>
      </c>
      <c r="BY22" s="10" t="s">
        <v>52</v>
      </c>
      <c r="BZ22" s="10" t="s">
        <v>52</v>
      </c>
      <c r="CA22" s="10" t="s">
        <v>52</v>
      </c>
      <c r="CB22" s="10" t="s">
        <v>51</v>
      </c>
      <c r="CC22" s="10" t="s">
        <v>51</v>
      </c>
      <c r="CD22" s="10" t="s">
        <v>51</v>
      </c>
      <c r="CE22" s="10" t="s">
        <v>52</v>
      </c>
      <c r="CF22" s="10" t="s">
        <v>52</v>
      </c>
      <c r="CG22" s="10" t="s">
        <v>52</v>
      </c>
      <c r="CH22" s="10" t="s">
        <v>51</v>
      </c>
      <c r="CI22" s="10" t="s">
        <v>51</v>
      </c>
      <c r="CJ22" s="10" t="s">
        <v>51</v>
      </c>
      <c r="CK22" s="10" t="s">
        <v>52</v>
      </c>
      <c r="CL22" s="10" t="s">
        <v>52</v>
      </c>
      <c r="CM22" s="10" t="s">
        <v>52</v>
      </c>
      <c r="CN22" s="10" t="s">
        <v>52</v>
      </c>
      <c r="CO22" s="10" t="s">
        <v>52</v>
      </c>
      <c r="CP22" s="10" t="s">
        <v>52</v>
      </c>
      <c r="CQ22" s="10" t="s">
        <v>52</v>
      </c>
      <c r="CR22" s="10" t="s">
        <v>52</v>
      </c>
      <c r="CS22" s="10" t="s">
        <v>52</v>
      </c>
      <c r="CT22" s="10" t="s">
        <v>52</v>
      </c>
      <c r="CU22" s="10" t="s">
        <v>52</v>
      </c>
      <c r="CV22" s="10" t="s">
        <v>52</v>
      </c>
    </row>
    <row r="23" customFormat="false" ht="15" hidden="false" customHeight="false" outlineLevel="0" collapsed="false">
      <c r="A23" s="4" t="s">
        <v>91</v>
      </c>
      <c r="B23" s="4" t="s">
        <v>92</v>
      </c>
      <c r="C23" s="10" t="n">
        <v>50</v>
      </c>
      <c r="D23" s="10" t="n">
        <v>50</v>
      </c>
      <c r="E23" s="10" t="n">
        <v>50</v>
      </c>
      <c r="F23" s="11" t="n">
        <v>50</v>
      </c>
      <c r="G23" s="12" t="n">
        <f aca="false">F23-E23</f>
        <v>0</v>
      </c>
      <c r="H23" s="12" t="n">
        <f aca="false">F23-D23</f>
        <v>0</v>
      </c>
      <c r="I23" s="10" t="n">
        <v>50</v>
      </c>
      <c r="J23" s="10" t="n">
        <v>50</v>
      </c>
      <c r="K23" s="11" t="n">
        <v>50</v>
      </c>
      <c r="L23" s="12" t="n">
        <f aca="false">K23-J23</f>
        <v>0</v>
      </c>
      <c r="M23" s="12" t="n">
        <f aca="false">K23-I23</f>
        <v>0</v>
      </c>
      <c r="N23" s="10" t="n">
        <v>50</v>
      </c>
      <c r="O23" s="10" t="n">
        <v>50</v>
      </c>
      <c r="P23" s="11" t="n">
        <v>50</v>
      </c>
      <c r="Q23" s="12" t="n">
        <f aca="false">P23-O23</f>
        <v>0</v>
      </c>
      <c r="R23" s="12" t="n">
        <f aca="false">P23-N23</f>
        <v>0</v>
      </c>
      <c r="S23" s="10" t="n">
        <v>39</v>
      </c>
      <c r="T23" s="10" t="n">
        <v>39</v>
      </c>
      <c r="U23" s="11" t="n">
        <v>39</v>
      </c>
      <c r="V23" s="12" t="n">
        <f aca="false">U23-T23</f>
        <v>0</v>
      </c>
      <c r="W23" s="12" t="n">
        <f aca="false">U23-S23</f>
        <v>0</v>
      </c>
      <c r="X23" s="10" t="n">
        <v>50</v>
      </c>
      <c r="Y23" s="10" t="n">
        <v>50</v>
      </c>
      <c r="Z23" s="11" t="n">
        <v>50</v>
      </c>
      <c r="AA23" s="12" t="n">
        <f aca="false">Z23-Y23</f>
        <v>0</v>
      </c>
      <c r="AB23" s="12" t="n">
        <f aca="false">Z23-X23</f>
        <v>0</v>
      </c>
      <c r="AC23" s="10" t="n">
        <v>0</v>
      </c>
      <c r="AD23" s="10" t="n">
        <v>0</v>
      </c>
      <c r="AE23" s="11" t="n">
        <v>0</v>
      </c>
      <c r="AF23" s="12" t="n">
        <f aca="false">AE23-AD23</f>
        <v>0</v>
      </c>
      <c r="AG23" s="12" t="n">
        <f aca="false">AE23-AC23</f>
        <v>0</v>
      </c>
      <c r="AH23" s="10" t="n">
        <v>0</v>
      </c>
      <c r="AI23" s="10" t="n">
        <v>0</v>
      </c>
      <c r="AJ23" s="11" t="n">
        <v>0</v>
      </c>
      <c r="AK23" s="12" t="n">
        <f aca="false">AJ23-AI23</f>
        <v>0</v>
      </c>
      <c r="AL23" s="12" t="n">
        <f aca="false">AJ23-AH23</f>
        <v>0</v>
      </c>
      <c r="AM23" s="10" t="n">
        <v>50</v>
      </c>
      <c r="AN23" s="10" t="n">
        <v>50</v>
      </c>
      <c r="AO23" s="11" t="n">
        <v>50</v>
      </c>
      <c r="AP23" s="12" t="n">
        <f aca="false">AO23-AN23</f>
        <v>0</v>
      </c>
      <c r="AQ23" s="12" t="n">
        <f aca="false">AO23-AM23</f>
        <v>0</v>
      </c>
      <c r="AR23" s="10" t="n">
        <v>39</v>
      </c>
      <c r="AS23" s="10" t="n">
        <v>39</v>
      </c>
      <c r="AT23" s="11" t="n">
        <v>39</v>
      </c>
      <c r="AU23" s="12" t="n">
        <f aca="false">AT23-AS23</f>
        <v>0</v>
      </c>
      <c r="AV23" s="12" t="n">
        <f aca="false">AT23-AR23</f>
        <v>0</v>
      </c>
      <c r="AW23" s="10" t="n">
        <v>49</v>
      </c>
      <c r="AX23" s="10" t="n">
        <v>49</v>
      </c>
      <c r="AY23" s="11" t="n">
        <v>49</v>
      </c>
      <c r="AZ23" s="12" t="n">
        <f aca="false">AY23-AX23</f>
        <v>0</v>
      </c>
      <c r="BA23" s="12" t="n">
        <f aca="false">AY23-AW23</f>
        <v>0</v>
      </c>
      <c r="BB23" s="10" t="n">
        <v>0</v>
      </c>
      <c r="BC23" s="10" t="n">
        <v>0</v>
      </c>
      <c r="BD23" s="11" t="n">
        <v>0</v>
      </c>
      <c r="BE23" s="12" t="n">
        <f aca="false">BD23-BC23</f>
        <v>0</v>
      </c>
      <c r="BF23" s="12" t="n">
        <f aca="false">BD23-BB23</f>
        <v>0</v>
      </c>
      <c r="BG23" s="10" t="n">
        <v>48</v>
      </c>
      <c r="BH23" s="10" t="n">
        <v>48</v>
      </c>
      <c r="BI23" s="11" t="n">
        <v>48</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51</v>
      </c>
      <c r="BW23" s="10" t="s">
        <v>51</v>
      </c>
      <c r="BX23" s="10" t="s">
        <v>51</v>
      </c>
      <c r="BY23" s="10" t="s">
        <v>51</v>
      </c>
      <c r="BZ23" s="10" t="s">
        <v>51</v>
      </c>
      <c r="CA23" s="10" t="s">
        <v>51</v>
      </c>
      <c r="CB23" s="10" t="s">
        <v>52</v>
      </c>
      <c r="CC23" s="10" t="s">
        <v>52</v>
      </c>
      <c r="CD23" s="10" t="s">
        <v>52</v>
      </c>
      <c r="CE23" s="10" t="s">
        <v>52</v>
      </c>
      <c r="CF23" s="10" t="s">
        <v>52</v>
      </c>
      <c r="CG23" s="10" t="s">
        <v>52</v>
      </c>
      <c r="CH23" s="10" t="s">
        <v>51</v>
      </c>
      <c r="CI23" s="10" t="s">
        <v>51</v>
      </c>
      <c r="CJ23" s="10" t="s">
        <v>51</v>
      </c>
      <c r="CK23" s="10" t="s">
        <v>51</v>
      </c>
      <c r="CL23" s="10" t="s">
        <v>51</v>
      </c>
      <c r="CM23" s="10" t="s">
        <v>51</v>
      </c>
      <c r="CN23" s="10" t="s">
        <v>52</v>
      </c>
      <c r="CO23" s="10" t="s">
        <v>52</v>
      </c>
      <c r="CP23" s="10" t="s">
        <v>52</v>
      </c>
      <c r="CQ23" s="10" t="s">
        <v>52</v>
      </c>
      <c r="CR23" s="10" t="s">
        <v>52</v>
      </c>
      <c r="CS23" s="10" t="s">
        <v>52</v>
      </c>
      <c r="CT23" s="10" t="s">
        <v>52</v>
      </c>
      <c r="CU23" s="10" t="s">
        <v>52</v>
      </c>
      <c r="CV23" s="10" t="s">
        <v>52</v>
      </c>
    </row>
    <row r="24" customFormat="false" ht="15" hidden="false" customHeight="false" outlineLevel="0" collapsed="false">
      <c r="A24" s="4" t="s">
        <v>93</v>
      </c>
      <c r="B24" s="4" t="s">
        <v>94</v>
      </c>
      <c r="C24" s="10" t="n">
        <v>49</v>
      </c>
      <c r="D24" s="10" t="n">
        <v>87</v>
      </c>
      <c r="E24" s="10" t="n">
        <v>47</v>
      </c>
      <c r="F24" s="11" t="n">
        <v>47</v>
      </c>
      <c r="G24" s="12" t="n">
        <f aca="false">F24-E24</f>
        <v>0</v>
      </c>
      <c r="H24" s="12" t="n">
        <f aca="false">F24-D24</f>
        <v>-40</v>
      </c>
      <c r="I24" s="10" t="n">
        <v>16</v>
      </c>
      <c r="J24" s="10" t="n">
        <v>49</v>
      </c>
      <c r="K24" s="11" t="n">
        <v>49</v>
      </c>
      <c r="L24" s="12" t="n">
        <f aca="false">K24-J24</f>
        <v>0</v>
      </c>
      <c r="M24" s="12" t="n">
        <f aca="false">K24-I24</f>
        <v>33</v>
      </c>
      <c r="N24" s="10" t="n">
        <v>210</v>
      </c>
      <c r="O24" s="10" t="n">
        <v>49</v>
      </c>
      <c r="P24" s="11" t="n">
        <v>49</v>
      </c>
      <c r="Q24" s="12" t="n">
        <f aca="false">P24-O24</f>
        <v>0</v>
      </c>
      <c r="R24" s="12" t="n">
        <f aca="false">P24-N24</f>
        <v>-161</v>
      </c>
      <c r="S24" s="10" t="n">
        <v>74</v>
      </c>
      <c r="T24" s="10" t="n">
        <v>44</v>
      </c>
      <c r="U24" s="11" t="n">
        <v>44</v>
      </c>
      <c r="V24" s="12" t="n">
        <f aca="false">U24-T24</f>
        <v>0</v>
      </c>
      <c r="W24" s="12" t="n">
        <f aca="false">U24-S24</f>
        <v>-30</v>
      </c>
      <c r="X24" s="10" t="n">
        <v>119</v>
      </c>
      <c r="Y24" s="10" t="n">
        <v>48</v>
      </c>
      <c r="Z24" s="11" t="n">
        <v>48</v>
      </c>
      <c r="AA24" s="12" t="n">
        <f aca="false">Z24-Y24</f>
        <v>0</v>
      </c>
      <c r="AB24" s="12" t="n">
        <f aca="false">Z24-X24</f>
        <v>-71</v>
      </c>
      <c r="AC24" s="10" t="n">
        <v>69</v>
      </c>
      <c r="AD24" s="10" t="n">
        <v>44</v>
      </c>
      <c r="AE24" s="11" t="n">
        <v>44</v>
      </c>
      <c r="AF24" s="12" t="n">
        <f aca="false">AE24-AD24</f>
        <v>0</v>
      </c>
      <c r="AG24" s="12" t="n">
        <f aca="false">AE24-AC24</f>
        <v>-25</v>
      </c>
      <c r="AH24" s="10" t="n">
        <v>69</v>
      </c>
      <c r="AI24" s="10" t="n">
        <v>36</v>
      </c>
      <c r="AJ24" s="11" t="n">
        <v>36</v>
      </c>
      <c r="AK24" s="12" t="n">
        <f aca="false">AJ24-AI24</f>
        <v>0</v>
      </c>
      <c r="AL24" s="12" t="n">
        <f aca="false">AJ24-AH24</f>
        <v>-33</v>
      </c>
      <c r="AM24" s="10" t="n">
        <v>214</v>
      </c>
      <c r="AN24" s="10" t="n">
        <v>49</v>
      </c>
      <c r="AO24" s="11" t="n">
        <v>49</v>
      </c>
      <c r="AP24" s="12" t="n">
        <f aca="false">AO24-AN24</f>
        <v>0</v>
      </c>
      <c r="AQ24" s="12" t="n">
        <f aca="false">AO24-AM24</f>
        <v>-165</v>
      </c>
      <c r="AR24" s="10" t="n">
        <v>0</v>
      </c>
      <c r="AS24" s="10" t="n">
        <v>10</v>
      </c>
      <c r="AT24" s="11" t="n">
        <v>10</v>
      </c>
      <c r="AU24" s="12" t="n">
        <f aca="false">AT24-AS24</f>
        <v>0</v>
      </c>
      <c r="AV24" s="12" t="n">
        <f aca="false">AT24-AR24</f>
        <v>10</v>
      </c>
      <c r="AW24" s="10" t="n">
        <v>0</v>
      </c>
      <c r="AX24" s="10" t="n">
        <v>42</v>
      </c>
      <c r="AY24" s="11" t="n">
        <v>42</v>
      </c>
      <c r="AZ24" s="12" t="n">
        <f aca="false">AY24-AX24</f>
        <v>0</v>
      </c>
      <c r="BA24" s="12" t="n">
        <f aca="false">AY24-AW24</f>
        <v>42</v>
      </c>
      <c r="BB24" s="10" t="n">
        <v>0</v>
      </c>
      <c r="BC24" s="10" t="n">
        <v>0</v>
      </c>
      <c r="BD24" s="11" t="n">
        <v>0</v>
      </c>
      <c r="BE24" s="12" t="n">
        <f aca="false">BD24-BC24</f>
        <v>0</v>
      </c>
      <c r="BF24" s="12" t="n">
        <f aca="false">BD24-BB24</f>
        <v>0</v>
      </c>
      <c r="BG24" s="10" t="n">
        <v>2</v>
      </c>
      <c r="BH24" s="10" t="n">
        <v>3</v>
      </c>
      <c r="BI24" s="11" t="n">
        <v>3</v>
      </c>
      <c r="BJ24" s="12" t="n">
        <f aca="false">BI24-BH24</f>
        <v>0</v>
      </c>
      <c r="BK24" s="12" t="n">
        <f aca="false">BI24-BG24</f>
        <v>1</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51</v>
      </c>
      <c r="BW24" s="10" t="s">
        <v>51</v>
      </c>
      <c r="BX24" s="10" t="s">
        <v>51</v>
      </c>
      <c r="BY24" s="10" t="s">
        <v>52</v>
      </c>
      <c r="BZ24" s="10" t="s">
        <v>52</v>
      </c>
      <c r="CA24" s="10" t="s">
        <v>52</v>
      </c>
      <c r="CB24" s="10" t="s">
        <v>51</v>
      </c>
      <c r="CC24" s="10" t="s">
        <v>51</v>
      </c>
      <c r="CD24" s="10" t="s">
        <v>51</v>
      </c>
      <c r="CE24" s="10" t="s">
        <v>52</v>
      </c>
      <c r="CF24" s="10" t="s">
        <v>52</v>
      </c>
      <c r="CG24" s="10" t="s">
        <v>52</v>
      </c>
      <c r="CH24" s="10" t="s">
        <v>51</v>
      </c>
      <c r="CI24" s="10" t="s">
        <v>51</v>
      </c>
      <c r="CJ24" s="10" t="s">
        <v>51</v>
      </c>
      <c r="CK24" s="10" t="s">
        <v>52</v>
      </c>
      <c r="CL24" s="10" t="s">
        <v>52</v>
      </c>
      <c r="CM24" s="10" t="s">
        <v>52</v>
      </c>
      <c r="CN24" s="10" t="s">
        <v>52</v>
      </c>
      <c r="CO24" s="10" t="s">
        <v>52</v>
      </c>
      <c r="CP24" s="10" t="s">
        <v>52</v>
      </c>
      <c r="CQ24" s="10" t="s">
        <v>52</v>
      </c>
      <c r="CR24" s="10" t="s">
        <v>52</v>
      </c>
      <c r="CS24" s="10" t="s">
        <v>52</v>
      </c>
      <c r="CT24" s="10" t="s">
        <v>52</v>
      </c>
      <c r="CU24" s="10" t="s">
        <v>52</v>
      </c>
      <c r="CV24" s="10" t="s">
        <v>52</v>
      </c>
    </row>
    <row r="25" customFormat="false" ht="15" hidden="false" customHeight="false" outlineLevel="0" collapsed="false">
      <c r="A25" s="4" t="s">
        <v>95</v>
      </c>
      <c r="B25" s="4" t="s">
        <v>96</v>
      </c>
      <c r="C25" s="10" t="n">
        <v>44</v>
      </c>
      <c r="D25" s="10" t="n">
        <v>43</v>
      </c>
      <c r="E25" s="10" t="n">
        <v>43</v>
      </c>
      <c r="F25" s="11" t="n">
        <v>43</v>
      </c>
      <c r="G25" s="12" t="n">
        <f aca="false">F25-E25</f>
        <v>0</v>
      </c>
      <c r="H25" s="12" t="n">
        <f aca="false">F25-D25</f>
        <v>0</v>
      </c>
      <c r="I25" s="10" t="n">
        <v>44</v>
      </c>
      <c r="J25" s="10" t="n">
        <v>44</v>
      </c>
      <c r="K25" s="11" t="n">
        <v>44</v>
      </c>
      <c r="L25" s="12" t="n">
        <f aca="false">K25-J25</f>
        <v>0</v>
      </c>
      <c r="M25" s="12" t="n">
        <f aca="false">K25-I25</f>
        <v>0</v>
      </c>
      <c r="N25" s="10" t="n">
        <v>41</v>
      </c>
      <c r="O25" s="10" t="n">
        <v>41</v>
      </c>
      <c r="P25" s="11" t="n">
        <v>41</v>
      </c>
      <c r="Q25" s="12" t="n">
        <f aca="false">P25-O25</f>
        <v>0</v>
      </c>
      <c r="R25" s="12" t="n">
        <f aca="false">P25-N25</f>
        <v>0</v>
      </c>
      <c r="S25" s="10" t="n">
        <v>0</v>
      </c>
      <c r="T25" s="10" t="n">
        <v>0</v>
      </c>
      <c r="U25" s="11" t="n">
        <v>0</v>
      </c>
      <c r="V25" s="12" t="n">
        <f aca="false">U25-T25</f>
        <v>0</v>
      </c>
      <c r="W25" s="12" t="n">
        <f aca="false">U25-S25</f>
        <v>0</v>
      </c>
      <c r="X25" s="10" t="n">
        <v>29</v>
      </c>
      <c r="Y25" s="10" t="n">
        <v>29</v>
      </c>
      <c r="Z25" s="11" t="n">
        <v>29</v>
      </c>
      <c r="AA25" s="12" t="n">
        <f aca="false">Z25-Y25</f>
        <v>0</v>
      </c>
      <c r="AB25" s="12" t="n">
        <f aca="false">Z25-X25</f>
        <v>0</v>
      </c>
      <c r="AC25" s="10" t="n">
        <v>22</v>
      </c>
      <c r="AD25" s="10" t="n">
        <v>23</v>
      </c>
      <c r="AE25" s="11" t="n">
        <v>23</v>
      </c>
      <c r="AF25" s="12" t="n">
        <f aca="false">AE25-AD25</f>
        <v>0</v>
      </c>
      <c r="AG25" s="12" t="n">
        <f aca="false">AE25-AC25</f>
        <v>1</v>
      </c>
      <c r="AH25" s="10" t="n">
        <v>22</v>
      </c>
      <c r="AI25" s="10" t="n">
        <v>23</v>
      </c>
      <c r="AJ25" s="11" t="n">
        <v>23</v>
      </c>
      <c r="AK25" s="12" t="n">
        <f aca="false">AJ25-AI25</f>
        <v>0</v>
      </c>
      <c r="AL25" s="12" t="n">
        <f aca="false">AJ25-AH25</f>
        <v>1</v>
      </c>
      <c r="AM25" s="10" t="n">
        <v>44</v>
      </c>
      <c r="AN25" s="10" t="n">
        <v>44</v>
      </c>
      <c r="AO25" s="11" t="n">
        <v>44</v>
      </c>
      <c r="AP25" s="12" t="n">
        <f aca="false">AO25-AN25</f>
        <v>0</v>
      </c>
      <c r="AQ25" s="12" t="n">
        <f aca="false">AO25-AM25</f>
        <v>0</v>
      </c>
      <c r="AR25" s="10" t="n">
        <v>0</v>
      </c>
      <c r="AS25" s="10" t="n">
        <v>0</v>
      </c>
      <c r="AT25" s="11" t="n">
        <v>0</v>
      </c>
      <c r="AU25" s="12" t="n">
        <f aca="false">AT25-AS25</f>
        <v>0</v>
      </c>
      <c r="AV25" s="12" t="n">
        <f aca="false">AT25-AR25</f>
        <v>0</v>
      </c>
      <c r="AW25" s="10" t="n">
        <v>0</v>
      </c>
      <c r="AX25" s="10" t="n">
        <v>0</v>
      </c>
      <c r="AY25" s="11" t="n">
        <v>0</v>
      </c>
      <c r="AZ25" s="12" t="n">
        <f aca="false">AY25-AX25</f>
        <v>0</v>
      </c>
      <c r="BA25" s="12" t="n">
        <f aca="false">AY25-AW25</f>
        <v>0</v>
      </c>
      <c r="BB25" s="10" t="n">
        <v>0</v>
      </c>
      <c r="BC25" s="10" t="n">
        <v>0</v>
      </c>
      <c r="BD25" s="11" t="n">
        <v>0</v>
      </c>
      <c r="BE25" s="12" t="n">
        <f aca="false">BD25-BC25</f>
        <v>0</v>
      </c>
      <c r="BF25" s="12" t="n">
        <f aca="false">BD25-BB25</f>
        <v>0</v>
      </c>
      <c r="BG25" s="10" t="n">
        <v>44</v>
      </c>
      <c r="BH25" s="10" t="n">
        <v>44</v>
      </c>
      <c r="BI25" s="11" t="n">
        <v>44</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51</v>
      </c>
      <c r="BW25" s="10" t="s">
        <v>51</v>
      </c>
      <c r="BX25" s="10" t="s">
        <v>51</v>
      </c>
      <c r="BY25" s="10" t="s">
        <v>52</v>
      </c>
      <c r="BZ25" s="10" t="s">
        <v>52</v>
      </c>
      <c r="CA25" s="10" t="s">
        <v>52</v>
      </c>
      <c r="CB25" s="10" t="s">
        <v>51</v>
      </c>
      <c r="CC25" s="10" t="s">
        <v>51</v>
      </c>
      <c r="CD25" s="10" t="s">
        <v>51</v>
      </c>
      <c r="CE25" s="10" t="s">
        <v>52</v>
      </c>
      <c r="CF25" s="10" t="s">
        <v>52</v>
      </c>
      <c r="CG25" s="10" t="s">
        <v>52</v>
      </c>
      <c r="CH25" s="10" t="s">
        <v>51</v>
      </c>
      <c r="CI25" s="10" t="s">
        <v>51</v>
      </c>
      <c r="CJ25" s="10" t="s">
        <v>51</v>
      </c>
      <c r="CK25" s="10" t="s">
        <v>51</v>
      </c>
      <c r="CL25" s="10" t="s">
        <v>51</v>
      </c>
      <c r="CM25" s="10" t="s">
        <v>51</v>
      </c>
      <c r="CN25" s="10" t="s">
        <v>51</v>
      </c>
      <c r="CO25" s="10" t="s">
        <v>51</v>
      </c>
      <c r="CP25" s="10" t="s">
        <v>51</v>
      </c>
      <c r="CQ25" s="10" t="s">
        <v>52</v>
      </c>
      <c r="CR25" s="10" t="s">
        <v>52</v>
      </c>
      <c r="CS25" s="10" t="s">
        <v>52</v>
      </c>
      <c r="CT25" s="10" t="s">
        <v>52</v>
      </c>
      <c r="CU25" s="10" t="s">
        <v>52</v>
      </c>
      <c r="CV25" s="10" t="s">
        <v>52</v>
      </c>
    </row>
    <row r="26" customFormat="false" ht="15" hidden="false" customHeight="false" outlineLevel="0" collapsed="false">
      <c r="A26" s="4" t="s">
        <v>97</v>
      </c>
      <c r="B26" s="4" t="s">
        <v>98</v>
      </c>
      <c r="C26" s="10" t="n">
        <v>44</v>
      </c>
      <c r="D26" s="10" t="n">
        <v>39</v>
      </c>
      <c r="E26" s="10" t="n">
        <v>39</v>
      </c>
      <c r="F26" s="11" t="n">
        <v>39</v>
      </c>
      <c r="G26" s="12" t="n">
        <f aca="false">F26-E26</f>
        <v>0</v>
      </c>
      <c r="H26" s="12" t="n">
        <f aca="false">F26-D26</f>
        <v>0</v>
      </c>
      <c r="I26" s="10" t="n">
        <v>44</v>
      </c>
      <c r="J26" s="10" t="n">
        <v>44</v>
      </c>
      <c r="K26" s="11" t="n">
        <v>44</v>
      </c>
      <c r="L26" s="12" t="n">
        <f aca="false">K26-J26</f>
        <v>0</v>
      </c>
      <c r="M26" s="12" t="n">
        <f aca="false">K26-I26</f>
        <v>0</v>
      </c>
      <c r="N26" s="10" t="n">
        <v>43</v>
      </c>
      <c r="O26" s="10" t="n">
        <v>43</v>
      </c>
      <c r="P26" s="11" t="n">
        <v>43</v>
      </c>
      <c r="Q26" s="12" t="n">
        <f aca="false">P26-O26</f>
        <v>0</v>
      </c>
      <c r="R26" s="12" t="n">
        <f aca="false">P26-N26</f>
        <v>0</v>
      </c>
      <c r="S26" s="10" t="n">
        <v>35</v>
      </c>
      <c r="T26" s="10" t="n">
        <v>32</v>
      </c>
      <c r="U26" s="11" t="n">
        <v>32</v>
      </c>
      <c r="V26" s="12" t="n">
        <f aca="false">U26-T26</f>
        <v>0</v>
      </c>
      <c r="W26" s="12" t="n">
        <f aca="false">U26-S26</f>
        <v>-3</v>
      </c>
      <c r="X26" s="10" t="n">
        <v>40</v>
      </c>
      <c r="Y26" s="10" t="n">
        <v>36</v>
      </c>
      <c r="Z26" s="11" t="n">
        <v>36</v>
      </c>
      <c r="AA26" s="12" t="n">
        <f aca="false">Z26-Y26</f>
        <v>0</v>
      </c>
      <c r="AB26" s="12" t="n">
        <f aca="false">Z26-X26</f>
        <v>-4</v>
      </c>
      <c r="AC26" s="10" t="n">
        <v>41</v>
      </c>
      <c r="AD26" s="10" t="n">
        <v>36</v>
      </c>
      <c r="AE26" s="11" t="n">
        <v>36</v>
      </c>
      <c r="AF26" s="12" t="n">
        <f aca="false">AE26-AD26</f>
        <v>0</v>
      </c>
      <c r="AG26" s="12" t="n">
        <f aca="false">AE26-AC26</f>
        <v>-5</v>
      </c>
      <c r="AH26" s="10" t="n">
        <v>0</v>
      </c>
      <c r="AI26" s="10" t="n">
        <v>0</v>
      </c>
      <c r="AJ26" s="11" t="n">
        <v>0</v>
      </c>
      <c r="AK26" s="12" t="n">
        <f aca="false">AJ26-AI26</f>
        <v>0</v>
      </c>
      <c r="AL26" s="12" t="n">
        <f aca="false">AJ26-AH26</f>
        <v>0</v>
      </c>
      <c r="AM26" s="10" t="n">
        <v>44</v>
      </c>
      <c r="AN26" s="10" t="n">
        <v>44</v>
      </c>
      <c r="AO26" s="11" t="n">
        <v>44</v>
      </c>
      <c r="AP26" s="12" t="n">
        <f aca="false">AO26-AN26</f>
        <v>0</v>
      </c>
      <c r="AQ26" s="12" t="n">
        <f aca="false">AO26-AM26</f>
        <v>0</v>
      </c>
      <c r="AR26" s="10" t="n">
        <v>0</v>
      </c>
      <c r="AS26" s="10" t="n">
        <v>0</v>
      </c>
      <c r="AT26" s="11" t="n">
        <v>0</v>
      </c>
      <c r="AU26" s="12" t="n">
        <f aca="false">AT26-AS26</f>
        <v>0</v>
      </c>
      <c r="AV26" s="12" t="n">
        <f aca="false">AT26-AR26</f>
        <v>0</v>
      </c>
      <c r="AW26" s="10" t="n">
        <v>37</v>
      </c>
      <c r="AX26" s="10" t="n">
        <v>37</v>
      </c>
      <c r="AY26" s="11" t="n">
        <v>37</v>
      </c>
      <c r="AZ26" s="12" t="n">
        <f aca="false">AY26-AX26</f>
        <v>0</v>
      </c>
      <c r="BA26" s="12" t="n">
        <f aca="false">AY26-AW26</f>
        <v>0</v>
      </c>
      <c r="BB26" s="10" t="n">
        <v>0</v>
      </c>
      <c r="BC26" s="10" t="n">
        <v>0</v>
      </c>
      <c r="BD26" s="11" t="n">
        <v>0</v>
      </c>
      <c r="BE26" s="12" t="n">
        <f aca="false">BD26-BC26</f>
        <v>0</v>
      </c>
      <c r="BF26" s="12" t="n">
        <f aca="false">BD26-BB26</f>
        <v>0</v>
      </c>
      <c r="BG26" s="10" t="n">
        <v>44</v>
      </c>
      <c r="BH26" s="10" t="n">
        <v>44</v>
      </c>
      <c r="BI26" s="11" t="n">
        <v>44</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51</v>
      </c>
      <c r="BW26" s="10" t="s">
        <v>51</v>
      </c>
      <c r="BX26" s="10" t="s">
        <v>51</v>
      </c>
      <c r="BY26" s="10" t="s">
        <v>52</v>
      </c>
      <c r="BZ26" s="10" t="s">
        <v>52</v>
      </c>
      <c r="CA26" s="10" t="s">
        <v>52</v>
      </c>
      <c r="CB26" s="10" t="s">
        <v>51</v>
      </c>
      <c r="CC26" s="10" t="s">
        <v>51</v>
      </c>
      <c r="CD26" s="10" t="s">
        <v>51</v>
      </c>
      <c r="CE26" s="10" t="s">
        <v>52</v>
      </c>
      <c r="CF26" s="10" t="s">
        <v>52</v>
      </c>
      <c r="CG26" s="10" t="s">
        <v>52</v>
      </c>
      <c r="CH26" s="10" t="s">
        <v>51</v>
      </c>
      <c r="CI26" s="10" t="s">
        <v>51</v>
      </c>
      <c r="CJ26" s="10" t="s">
        <v>51</v>
      </c>
      <c r="CK26" s="10" t="s">
        <v>52</v>
      </c>
      <c r="CL26" s="10" t="s">
        <v>52</v>
      </c>
      <c r="CM26" s="10" t="s">
        <v>52</v>
      </c>
      <c r="CN26" s="10" t="s">
        <v>51</v>
      </c>
      <c r="CO26" s="10" t="s">
        <v>51</v>
      </c>
      <c r="CP26" s="10" t="s">
        <v>51</v>
      </c>
      <c r="CQ26" s="10" t="s">
        <v>52</v>
      </c>
      <c r="CR26" s="10" t="s">
        <v>51</v>
      </c>
      <c r="CS26" s="10" t="s">
        <v>51</v>
      </c>
      <c r="CT26" s="10" t="s">
        <v>52</v>
      </c>
      <c r="CU26" s="10" t="s">
        <v>52</v>
      </c>
      <c r="CV26" s="10" t="s">
        <v>52</v>
      </c>
    </row>
    <row r="27" customFormat="false" ht="15" hidden="false" customHeight="false" outlineLevel="0" collapsed="false">
      <c r="A27" s="4" t="s">
        <v>99</v>
      </c>
      <c r="B27" s="4" t="s">
        <v>100</v>
      </c>
      <c r="C27" s="10" t="n">
        <v>44</v>
      </c>
      <c r="D27" s="10" t="n">
        <v>32</v>
      </c>
      <c r="E27" s="10" t="n">
        <v>32</v>
      </c>
      <c r="F27" s="11" t="n">
        <v>32</v>
      </c>
      <c r="G27" s="12" t="n">
        <f aca="false">F27-E27</f>
        <v>0</v>
      </c>
      <c r="H27" s="12" t="n">
        <f aca="false">F27-D27</f>
        <v>0</v>
      </c>
      <c r="I27" s="10" t="n">
        <v>44</v>
      </c>
      <c r="J27" s="10" t="n">
        <v>44</v>
      </c>
      <c r="K27" s="11" t="n">
        <v>44</v>
      </c>
      <c r="L27" s="12" t="n">
        <f aca="false">K27-J27</f>
        <v>0</v>
      </c>
      <c r="M27" s="12" t="n">
        <f aca="false">K27-I27</f>
        <v>0</v>
      </c>
      <c r="N27" s="10" t="n">
        <v>44</v>
      </c>
      <c r="O27" s="10" t="n">
        <v>44</v>
      </c>
      <c r="P27" s="11" t="n">
        <v>44</v>
      </c>
      <c r="Q27" s="12" t="n">
        <f aca="false">P27-O27</f>
        <v>0</v>
      </c>
      <c r="R27" s="12" t="n">
        <f aca="false">P27-N27</f>
        <v>0</v>
      </c>
      <c r="S27" s="10" t="n">
        <v>38</v>
      </c>
      <c r="T27" s="10" t="n">
        <v>31</v>
      </c>
      <c r="U27" s="11" t="n">
        <v>31</v>
      </c>
      <c r="V27" s="12" t="n">
        <f aca="false">U27-T27</f>
        <v>0</v>
      </c>
      <c r="W27" s="12" t="n">
        <f aca="false">U27-S27</f>
        <v>-7</v>
      </c>
      <c r="X27" s="10" t="n">
        <v>39</v>
      </c>
      <c r="Y27" s="10" t="n">
        <v>32</v>
      </c>
      <c r="Z27" s="11" t="n">
        <v>32</v>
      </c>
      <c r="AA27" s="12" t="n">
        <f aca="false">Z27-Y27</f>
        <v>0</v>
      </c>
      <c r="AB27" s="12" t="n">
        <f aca="false">Z27-X27</f>
        <v>-7</v>
      </c>
      <c r="AC27" s="10" t="n">
        <v>34</v>
      </c>
      <c r="AD27" s="10" t="n">
        <v>33</v>
      </c>
      <c r="AE27" s="11" t="n">
        <v>33</v>
      </c>
      <c r="AF27" s="12" t="n">
        <f aca="false">AE27-AD27</f>
        <v>0</v>
      </c>
      <c r="AG27" s="12" t="n">
        <f aca="false">AE27-AC27</f>
        <v>-1</v>
      </c>
      <c r="AH27" s="10" t="n">
        <v>0</v>
      </c>
      <c r="AI27" s="10" t="n">
        <v>0</v>
      </c>
      <c r="AJ27" s="11" t="n">
        <v>0</v>
      </c>
      <c r="AK27" s="12" t="n">
        <f aca="false">AJ27-AI27</f>
        <v>0</v>
      </c>
      <c r="AL27" s="12" t="n">
        <f aca="false">AJ27-AH27</f>
        <v>0</v>
      </c>
      <c r="AM27" s="10" t="n">
        <v>44</v>
      </c>
      <c r="AN27" s="10" t="n">
        <v>44</v>
      </c>
      <c r="AO27" s="11" t="n">
        <v>44</v>
      </c>
      <c r="AP27" s="12" t="n">
        <f aca="false">AO27-AN27</f>
        <v>0</v>
      </c>
      <c r="AQ27" s="12" t="n">
        <f aca="false">AO27-AM27</f>
        <v>0</v>
      </c>
      <c r="AR27" s="10" t="n">
        <v>25</v>
      </c>
      <c r="AS27" s="10" t="n">
        <v>26</v>
      </c>
      <c r="AT27" s="11" t="n">
        <v>26</v>
      </c>
      <c r="AU27" s="12" t="n">
        <f aca="false">AT27-AS27</f>
        <v>0</v>
      </c>
      <c r="AV27" s="12" t="n">
        <f aca="false">AT27-AR27</f>
        <v>1</v>
      </c>
      <c r="AW27" s="10" t="n">
        <v>30</v>
      </c>
      <c r="AX27" s="10" t="n">
        <v>30</v>
      </c>
      <c r="AY27" s="11" t="n">
        <v>30</v>
      </c>
      <c r="AZ27" s="12" t="n">
        <f aca="false">AY27-AX27</f>
        <v>0</v>
      </c>
      <c r="BA27" s="12" t="n">
        <f aca="false">AY27-AW27</f>
        <v>0</v>
      </c>
      <c r="BB27" s="10" t="n">
        <v>0</v>
      </c>
      <c r="BC27" s="10" t="n">
        <v>0</v>
      </c>
      <c r="BD27" s="11" t="n">
        <v>0</v>
      </c>
      <c r="BE27" s="12" t="n">
        <f aca="false">BD27-BC27</f>
        <v>0</v>
      </c>
      <c r="BF27" s="12" t="n">
        <f aca="false">BD27-BB27</f>
        <v>0</v>
      </c>
      <c r="BG27" s="10" t="n">
        <v>43</v>
      </c>
      <c r="BH27" s="10" t="n">
        <v>43</v>
      </c>
      <c r="BI27" s="11" t="n">
        <v>43</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51</v>
      </c>
      <c r="BW27" s="10" t="s">
        <v>51</v>
      </c>
      <c r="BX27" s="10" t="s">
        <v>51</v>
      </c>
      <c r="BY27" s="10" t="s">
        <v>51</v>
      </c>
      <c r="BZ27" s="10" t="s">
        <v>51</v>
      </c>
      <c r="CA27" s="10" t="s">
        <v>51</v>
      </c>
      <c r="CB27" s="10" t="s">
        <v>51</v>
      </c>
      <c r="CC27" s="10" t="s">
        <v>51</v>
      </c>
      <c r="CD27" s="10" t="s">
        <v>51</v>
      </c>
      <c r="CE27" s="10" t="s">
        <v>52</v>
      </c>
      <c r="CF27" s="10" t="s">
        <v>52</v>
      </c>
      <c r="CG27" s="10" t="s">
        <v>52</v>
      </c>
      <c r="CH27" s="10" t="s">
        <v>51</v>
      </c>
      <c r="CI27" s="10" t="s">
        <v>51</v>
      </c>
      <c r="CJ27" s="10" t="s">
        <v>51</v>
      </c>
      <c r="CK27" s="10" t="s">
        <v>51</v>
      </c>
      <c r="CL27" s="10" t="s">
        <v>51</v>
      </c>
      <c r="CM27" s="10" t="s">
        <v>51</v>
      </c>
      <c r="CN27" s="10" t="s">
        <v>51</v>
      </c>
      <c r="CO27" s="10" t="s">
        <v>51</v>
      </c>
      <c r="CP27" s="10" t="s">
        <v>51</v>
      </c>
      <c r="CQ27" s="10" t="s">
        <v>52</v>
      </c>
      <c r="CR27" s="10" t="s">
        <v>52</v>
      </c>
      <c r="CS27" s="10" t="s">
        <v>52</v>
      </c>
      <c r="CT27" s="10" t="s">
        <v>52</v>
      </c>
      <c r="CU27" s="10" t="s">
        <v>52</v>
      </c>
      <c r="CV27" s="10" t="s">
        <v>52</v>
      </c>
    </row>
    <row r="28" customFormat="false" ht="15" hidden="false" customHeight="false" outlineLevel="0" collapsed="false">
      <c r="A28" s="4" t="s">
        <v>101</v>
      </c>
      <c r="B28" s="4" t="s">
        <v>102</v>
      </c>
      <c r="C28" s="10" t="n">
        <v>42</v>
      </c>
      <c r="D28" s="10" t="n">
        <v>3</v>
      </c>
      <c r="E28" s="10" t="n">
        <v>42</v>
      </c>
      <c r="F28" s="11" t="n">
        <v>42</v>
      </c>
      <c r="G28" s="12" t="n">
        <f aca="false">F28-E28</f>
        <v>0</v>
      </c>
      <c r="H28" s="12" t="n">
        <f aca="false">F28-D28</f>
        <v>39</v>
      </c>
      <c r="I28" s="10" t="n">
        <v>3</v>
      </c>
      <c r="J28" s="10" t="n">
        <v>42</v>
      </c>
      <c r="K28" s="11" t="n">
        <v>42</v>
      </c>
      <c r="L28" s="12" t="n">
        <f aca="false">K28-J28</f>
        <v>0</v>
      </c>
      <c r="M28" s="12" t="n">
        <f aca="false">K28-I28</f>
        <v>39</v>
      </c>
      <c r="N28" s="10" t="n">
        <v>3</v>
      </c>
      <c r="O28" s="10" t="n">
        <v>42</v>
      </c>
      <c r="P28" s="11" t="n">
        <v>42</v>
      </c>
      <c r="Q28" s="12" t="n">
        <f aca="false">P28-O28</f>
        <v>0</v>
      </c>
      <c r="R28" s="12" t="n">
        <f aca="false">P28-N28</f>
        <v>39</v>
      </c>
      <c r="S28" s="10" t="n">
        <v>3</v>
      </c>
      <c r="T28" s="10" t="n">
        <v>42</v>
      </c>
      <c r="U28" s="11" t="n">
        <v>42</v>
      </c>
      <c r="V28" s="12" t="n">
        <f aca="false">U28-T28</f>
        <v>0</v>
      </c>
      <c r="W28" s="12" t="n">
        <f aca="false">U28-S28</f>
        <v>39</v>
      </c>
      <c r="X28" s="10" t="n">
        <v>3</v>
      </c>
      <c r="Y28" s="10" t="n">
        <v>39</v>
      </c>
      <c r="Z28" s="11" t="n">
        <v>39</v>
      </c>
      <c r="AA28" s="12" t="n">
        <f aca="false">Z28-Y28</f>
        <v>0</v>
      </c>
      <c r="AB28" s="12" t="n">
        <f aca="false">Z28-X28</f>
        <v>36</v>
      </c>
      <c r="AC28" s="10" t="n">
        <v>0</v>
      </c>
      <c r="AD28" s="10" t="n">
        <v>32</v>
      </c>
      <c r="AE28" s="11" t="n">
        <v>32</v>
      </c>
      <c r="AF28" s="12" t="n">
        <f aca="false">AE28-AD28</f>
        <v>0</v>
      </c>
      <c r="AG28" s="12" t="n">
        <f aca="false">AE28-AC28</f>
        <v>32</v>
      </c>
      <c r="AH28" s="10" t="n">
        <v>0</v>
      </c>
      <c r="AI28" s="10" t="n">
        <v>32</v>
      </c>
      <c r="AJ28" s="11" t="n">
        <v>32</v>
      </c>
      <c r="AK28" s="12" t="n">
        <f aca="false">AJ28-AI28</f>
        <v>0</v>
      </c>
      <c r="AL28" s="12" t="n">
        <f aca="false">AJ28-AH28</f>
        <v>32</v>
      </c>
      <c r="AM28" s="10" t="n">
        <v>3</v>
      </c>
      <c r="AN28" s="10" t="n">
        <v>42</v>
      </c>
      <c r="AO28" s="11" t="n">
        <v>42</v>
      </c>
      <c r="AP28" s="12" t="n">
        <f aca="false">AO28-AN28</f>
        <v>0</v>
      </c>
      <c r="AQ28" s="12" t="n">
        <f aca="false">AO28-AM28</f>
        <v>39</v>
      </c>
      <c r="AR28" s="10" t="n">
        <v>0</v>
      </c>
      <c r="AS28" s="10" t="n">
        <v>0</v>
      </c>
      <c r="AT28" s="11" t="n">
        <v>0</v>
      </c>
      <c r="AU28" s="12" t="n">
        <f aca="false">AT28-AS28</f>
        <v>0</v>
      </c>
      <c r="AV28" s="12" t="n">
        <f aca="false">AT28-AR28</f>
        <v>0</v>
      </c>
      <c r="AW28" s="10" t="n">
        <v>3</v>
      </c>
      <c r="AX28" s="10" t="n">
        <v>42</v>
      </c>
      <c r="AY28" s="11" t="n">
        <v>42</v>
      </c>
      <c r="AZ28" s="12" t="n">
        <f aca="false">AY28-AX28</f>
        <v>0</v>
      </c>
      <c r="BA28" s="12" t="n">
        <f aca="false">AY28-AW28</f>
        <v>39</v>
      </c>
      <c r="BB28" s="10" t="n">
        <v>0</v>
      </c>
      <c r="BC28" s="10" t="n">
        <v>0</v>
      </c>
      <c r="BD28" s="11" t="n">
        <v>0</v>
      </c>
      <c r="BE28" s="12" t="n">
        <f aca="false">BD28-BC28</f>
        <v>0</v>
      </c>
      <c r="BF28" s="12" t="n">
        <f aca="false">BD28-BB28</f>
        <v>0</v>
      </c>
      <c r="BG28" s="10" t="n">
        <v>0</v>
      </c>
      <c r="BH28" s="10" t="n">
        <v>4</v>
      </c>
      <c r="BI28" s="11" t="n">
        <v>4</v>
      </c>
      <c r="BJ28" s="12" t="n">
        <f aca="false">BI28-BH28</f>
        <v>0</v>
      </c>
      <c r="BK28" s="12" t="n">
        <f aca="false">BI28-BG28</f>
        <v>4</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51</v>
      </c>
      <c r="BW28" s="10" t="s">
        <v>51</v>
      </c>
      <c r="BX28" s="10" t="s">
        <v>51</v>
      </c>
      <c r="BY28" s="10" t="s">
        <v>52</v>
      </c>
      <c r="BZ28" s="10" t="s">
        <v>52</v>
      </c>
      <c r="CA28" s="10" t="s">
        <v>52</v>
      </c>
      <c r="CB28" s="10" t="s">
        <v>52</v>
      </c>
      <c r="CC28" s="10" t="s">
        <v>51</v>
      </c>
      <c r="CD28" s="10" t="s">
        <v>51</v>
      </c>
      <c r="CE28" s="10" t="s">
        <v>52</v>
      </c>
      <c r="CF28" s="10" t="s">
        <v>52</v>
      </c>
      <c r="CG28" s="10" t="s">
        <v>52</v>
      </c>
      <c r="CH28" s="10" t="s">
        <v>51</v>
      </c>
      <c r="CI28" s="10" t="s">
        <v>51</v>
      </c>
      <c r="CJ28" s="10" t="s">
        <v>51</v>
      </c>
      <c r="CK28" s="10" t="s">
        <v>51</v>
      </c>
      <c r="CL28" s="10" t="s">
        <v>51</v>
      </c>
      <c r="CM28" s="10" t="s">
        <v>51</v>
      </c>
      <c r="CN28" s="10" t="s">
        <v>51</v>
      </c>
      <c r="CO28" s="10" t="s">
        <v>51</v>
      </c>
      <c r="CP28" s="10" t="s">
        <v>51</v>
      </c>
      <c r="CQ28" s="10" t="s">
        <v>52</v>
      </c>
      <c r="CR28" s="10" t="s">
        <v>52</v>
      </c>
      <c r="CS28" s="10" t="s">
        <v>52</v>
      </c>
      <c r="CT28" s="10" t="s">
        <v>52</v>
      </c>
      <c r="CU28" s="10" t="s">
        <v>52</v>
      </c>
      <c r="CV28" s="10" t="s">
        <v>52</v>
      </c>
    </row>
    <row r="29" customFormat="false" ht="15" hidden="false" customHeight="false" outlineLevel="0" collapsed="false">
      <c r="A29" s="4" t="s">
        <v>103</v>
      </c>
      <c r="B29" s="4" t="s">
        <v>104</v>
      </c>
      <c r="C29" s="10" t="n">
        <v>41</v>
      </c>
      <c r="D29" s="10" t="n">
        <v>3</v>
      </c>
      <c r="E29" s="10" t="n">
        <v>41</v>
      </c>
      <c r="F29" s="11" t="n">
        <v>41</v>
      </c>
      <c r="G29" s="12" t="n">
        <f aca="false">F29-E29</f>
        <v>0</v>
      </c>
      <c r="H29" s="12" t="n">
        <f aca="false">F29-D29</f>
        <v>38</v>
      </c>
      <c r="I29" s="10" t="n">
        <v>3</v>
      </c>
      <c r="J29" s="10" t="n">
        <v>41</v>
      </c>
      <c r="K29" s="11" t="n">
        <v>41</v>
      </c>
      <c r="L29" s="12" t="n">
        <f aca="false">K29-J29</f>
        <v>0</v>
      </c>
      <c r="M29" s="12" t="n">
        <f aca="false">K29-I29</f>
        <v>38</v>
      </c>
      <c r="N29" s="10" t="n">
        <v>3</v>
      </c>
      <c r="O29" s="10" t="n">
        <v>41</v>
      </c>
      <c r="P29" s="11" t="n">
        <v>41</v>
      </c>
      <c r="Q29" s="12" t="n">
        <f aca="false">P29-O29</f>
        <v>0</v>
      </c>
      <c r="R29" s="12" t="n">
        <f aca="false">P29-N29</f>
        <v>38</v>
      </c>
      <c r="S29" s="10" t="n">
        <v>0</v>
      </c>
      <c r="T29" s="10" t="n">
        <v>4</v>
      </c>
      <c r="U29" s="11" t="n">
        <v>4</v>
      </c>
      <c r="V29" s="12" t="n">
        <f aca="false">U29-T29</f>
        <v>0</v>
      </c>
      <c r="W29" s="12" t="n">
        <f aca="false">U29-S29</f>
        <v>4</v>
      </c>
      <c r="X29" s="10" t="n">
        <v>3</v>
      </c>
      <c r="Y29" s="10" t="n">
        <v>41</v>
      </c>
      <c r="Z29" s="11" t="n">
        <v>41</v>
      </c>
      <c r="AA29" s="12" t="n">
        <f aca="false">Z29-Y29</f>
        <v>0</v>
      </c>
      <c r="AB29" s="12" t="n">
        <f aca="false">Z29-X29</f>
        <v>38</v>
      </c>
      <c r="AC29" s="10" t="n">
        <v>3</v>
      </c>
      <c r="AD29" s="10" t="n">
        <v>41</v>
      </c>
      <c r="AE29" s="11" t="n">
        <v>41</v>
      </c>
      <c r="AF29" s="12" t="n">
        <f aca="false">AE29-AD29</f>
        <v>0</v>
      </c>
      <c r="AG29" s="12" t="n">
        <f aca="false">AE29-AC29</f>
        <v>38</v>
      </c>
      <c r="AH29" s="10" t="n">
        <v>0</v>
      </c>
      <c r="AI29" s="10" t="n">
        <v>0</v>
      </c>
      <c r="AJ29" s="11" t="n">
        <v>0</v>
      </c>
      <c r="AK29" s="12" t="n">
        <f aca="false">AJ29-AI29</f>
        <v>0</v>
      </c>
      <c r="AL29" s="12" t="n">
        <f aca="false">AJ29-AH29</f>
        <v>0</v>
      </c>
      <c r="AM29" s="10" t="n">
        <v>3</v>
      </c>
      <c r="AN29" s="10" t="n">
        <v>41</v>
      </c>
      <c r="AO29" s="11" t="n">
        <v>41</v>
      </c>
      <c r="AP29" s="12" t="n">
        <f aca="false">AO29-AN29</f>
        <v>0</v>
      </c>
      <c r="AQ29" s="12" t="n">
        <f aca="false">AO29-AM29</f>
        <v>38</v>
      </c>
      <c r="AR29" s="10" t="n">
        <v>0</v>
      </c>
      <c r="AS29" s="10" t="n">
        <v>10</v>
      </c>
      <c r="AT29" s="11" t="n">
        <v>10</v>
      </c>
      <c r="AU29" s="12" t="n">
        <f aca="false">AT29-AS29</f>
        <v>0</v>
      </c>
      <c r="AV29" s="12" t="n">
        <f aca="false">AT29-AR29</f>
        <v>10</v>
      </c>
      <c r="AW29" s="10" t="n">
        <v>3</v>
      </c>
      <c r="AX29" s="10" t="n">
        <v>34</v>
      </c>
      <c r="AY29" s="11" t="n">
        <v>34</v>
      </c>
      <c r="AZ29" s="12" t="n">
        <f aca="false">AY29-AX29</f>
        <v>0</v>
      </c>
      <c r="BA29" s="12" t="n">
        <f aca="false">AY29-AW29</f>
        <v>31</v>
      </c>
      <c r="BB29" s="10" t="n">
        <v>0</v>
      </c>
      <c r="BC29" s="10" t="n">
        <v>0</v>
      </c>
      <c r="BD29" s="11" t="n">
        <v>0</v>
      </c>
      <c r="BE29" s="12" t="n">
        <f aca="false">BD29-BC29</f>
        <v>0</v>
      </c>
      <c r="BF29" s="12" t="n">
        <f aca="false">BD29-BB29</f>
        <v>0</v>
      </c>
      <c r="BG29" s="10" t="n">
        <v>0</v>
      </c>
      <c r="BH29" s="10" t="n">
        <v>0</v>
      </c>
      <c r="BI29" s="11" t="n">
        <v>0</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51</v>
      </c>
      <c r="BW29" s="10" t="s">
        <v>51</v>
      </c>
      <c r="BX29" s="10" t="s">
        <v>51</v>
      </c>
      <c r="BY29" s="10" t="s">
        <v>51</v>
      </c>
      <c r="BZ29" s="10" t="s">
        <v>51</v>
      </c>
      <c r="CA29" s="10" t="s">
        <v>51</v>
      </c>
      <c r="CB29" s="10" t="s">
        <v>51</v>
      </c>
      <c r="CC29" s="10" t="s">
        <v>51</v>
      </c>
      <c r="CD29" s="10" t="s">
        <v>51</v>
      </c>
      <c r="CE29" s="10" t="s">
        <v>52</v>
      </c>
      <c r="CF29" s="10" t="s">
        <v>52</v>
      </c>
      <c r="CG29" s="10" t="s">
        <v>52</v>
      </c>
      <c r="CH29" s="10" t="s">
        <v>51</v>
      </c>
      <c r="CI29" s="10" t="s">
        <v>51</v>
      </c>
      <c r="CJ29" s="10" t="s">
        <v>51</v>
      </c>
      <c r="CK29" s="10" t="s">
        <v>51</v>
      </c>
      <c r="CL29" s="10" t="s">
        <v>51</v>
      </c>
      <c r="CM29" s="10" t="s">
        <v>51</v>
      </c>
      <c r="CN29" s="10" t="s">
        <v>51</v>
      </c>
      <c r="CO29" s="10" t="s">
        <v>51</v>
      </c>
      <c r="CP29" s="10" t="s">
        <v>51</v>
      </c>
      <c r="CQ29" s="10" t="s">
        <v>52</v>
      </c>
      <c r="CR29" s="10" t="s">
        <v>52</v>
      </c>
      <c r="CS29" s="10" t="s">
        <v>52</v>
      </c>
      <c r="CT29" s="10" t="s">
        <v>52</v>
      </c>
      <c r="CU29" s="10" t="s">
        <v>52</v>
      </c>
      <c r="CV29" s="10" t="s">
        <v>52</v>
      </c>
    </row>
    <row r="30" customFormat="false" ht="15" hidden="false" customHeight="false" outlineLevel="0" collapsed="false">
      <c r="A30" s="4" t="s">
        <v>105</v>
      </c>
      <c r="B30" s="4" t="s">
        <v>106</v>
      </c>
      <c r="C30" s="10" t="n">
        <v>40</v>
      </c>
      <c r="D30" s="10" t="n">
        <v>2</v>
      </c>
      <c r="E30" s="10" t="n">
        <v>11</v>
      </c>
      <c r="F30" s="11" t="n">
        <v>11</v>
      </c>
      <c r="G30" s="12" t="n">
        <f aca="false">F30-E30</f>
        <v>0</v>
      </c>
      <c r="H30" s="12" t="n">
        <f aca="false">F30-D30</f>
        <v>9</v>
      </c>
      <c r="I30" s="10" t="n">
        <v>39</v>
      </c>
      <c r="J30" s="10" t="n">
        <v>40</v>
      </c>
      <c r="K30" s="11" t="n">
        <v>40</v>
      </c>
      <c r="L30" s="12" t="n">
        <f aca="false">K30-J30</f>
        <v>0</v>
      </c>
      <c r="M30" s="12" t="n">
        <f aca="false">K30-I30</f>
        <v>1</v>
      </c>
      <c r="N30" s="10" t="n">
        <v>271</v>
      </c>
      <c r="O30" s="10" t="n">
        <v>40</v>
      </c>
      <c r="P30" s="11" t="n">
        <v>40</v>
      </c>
      <c r="Q30" s="12" t="n">
        <f aca="false">P30-O30</f>
        <v>0</v>
      </c>
      <c r="R30" s="12" t="n">
        <f aca="false">P30-N30</f>
        <v>-231</v>
      </c>
      <c r="S30" s="10" t="n">
        <v>1</v>
      </c>
      <c r="T30" s="10" t="n">
        <v>9</v>
      </c>
      <c r="U30" s="11" t="n">
        <v>9</v>
      </c>
      <c r="V30" s="12" t="n">
        <f aca="false">U30-T30</f>
        <v>0</v>
      </c>
      <c r="W30" s="12" t="n">
        <f aca="false">U30-S30</f>
        <v>8</v>
      </c>
      <c r="X30" s="10" t="n">
        <v>7</v>
      </c>
      <c r="Y30" s="10" t="n">
        <v>9</v>
      </c>
      <c r="Z30" s="11" t="n">
        <v>9</v>
      </c>
      <c r="AA30" s="12" t="n">
        <f aca="false">Z30-Y30</f>
        <v>0</v>
      </c>
      <c r="AB30" s="12" t="n">
        <f aca="false">Z30-X30</f>
        <v>2</v>
      </c>
      <c r="AC30" s="10" t="n">
        <v>20</v>
      </c>
      <c r="AD30" s="10" t="n">
        <v>8</v>
      </c>
      <c r="AE30" s="11" t="n">
        <v>8</v>
      </c>
      <c r="AF30" s="12" t="n">
        <f aca="false">AE30-AD30</f>
        <v>0</v>
      </c>
      <c r="AG30" s="12" t="n">
        <f aca="false">AE30-AC30</f>
        <v>-12</v>
      </c>
      <c r="AH30" s="10" t="n">
        <v>0</v>
      </c>
      <c r="AI30" s="10" t="n">
        <v>0</v>
      </c>
      <c r="AJ30" s="11" t="n">
        <v>0</v>
      </c>
      <c r="AK30" s="12" t="n">
        <f aca="false">AJ30-AI30</f>
        <v>0</v>
      </c>
      <c r="AL30" s="12" t="n">
        <f aca="false">AJ30-AH30</f>
        <v>0</v>
      </c>
      <c r="AM30" s="10" t="n">
        <v>276</v>
      </c>
      <c r="AN30" s="10" t="n">
        <v>40</v>
      </c>
      <c r="AO30" s="11" t="n">
        <v>40</v>
      </c>
      <c r="AP30" s="12" t="n">
        <f aca="false">AO30-AN30</f>
        <v>0</v>
      </c>
      <c r="AQ30" s="12" t="n">
        <f aca="false">AO30-AM30</f>
        <v>-236</v>
      </c>
      <c r="AR30" s="10" t="n">
        <v>0</v>
      </c>
      <c r="AS30" s="10" t="n">
        <v>0</v>
      </c>
      <c r="AT30" s="11" t="n">
        <v>0</v>
      </c>
      <c r="AU30" s="12" t="n">
        <f aca="false">AT30-AS30</f>
        <v>0</v>
      </c>
      <c r="AV30" s="12" t="n">
        <f aca="false">AT30-AR30</f>
        <v>0</v>
      </c>
      <c r="AW30" s="10" t="n">
        <v>0</v>
      </c>
      <c r="AX30" s="10" t="n">
        <v>11</v>
      </c>
      <c r="AY30" s="11" t="n">
        <v>11</v>
      </c>
      <c r="AZ30" s="12" t="n">
        <f aca="false">AY30-AX30</f>
        <v>0</v>
      </c>
      <c r="BA30" s="12" t="n">
        <f aca="false">AY30-AW30</f>
        <v>11</v>
      </c>
      <c r="BB30" s="10" t="n">
        <v>0</v>
      </c>
      <c r="BC30" s="10" t="n">
        <v>0</v>
      </c>
      <c r="BD30" s="11" t="n">
        <v>0</v>
      </c>
      <c r="BE30" s="12" t="n">
        <f aca="false">BD30-BC30</f>
        <v>0</v>
      </c>
      <c r="BF30" s="12" t="n">
        <f aca="false">BD30-BB30</f>
        <v>0</v>
      </c>
      <c r="BG30" s="10" t="n">
        <v>0</v>
      </c>
      <c r="BH30" s="10" t="n">
        <v>30</v>
      </c>
      <c r="BI30" s="11" t="n">
        <v>30</v>
      </c>
      <c r="BJ30" s="12" t="n">
        <f aca="false">BI30-BH30</f>
        <v>0</v>
      </c>
      <c r="BK30" s="12" t="n">
        <f aca="false">BI30-BG30</f>
        <v>30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51</v>
      </c>
      <c r="BW30" s="10" t="s">
        <v>51</v>
      </c>
      <c r="BX30" s="10" t="s">
        <v>51</v>
      </c>
      <c r="BY30" s="10" t="s">
        <v>52</v>
      </c>
      <c r="BZ30" s="10" t="s">
        <v>52</v>
      </c>
      <c r="CA30" s="10" t="s">
        <v>52</v>
      </c>
      <c r="CB30" s="10" t="s">
        <v>51</v>
      </c>
      <c r="CC30" s="10" t="s">
        <v>51</v>
      </c>
      <c r="CD30" s="10" t="s">
        <v>51</v>
      </c>
      <c r="CE30" s="10" t="s">
        <v>52</v>
      </c>
      <c r="CF30" s="10" t="s">
        <v>52</v>
      </c>
      <c r="CG30" s="10" t="s">
        <v>52</v>
      </c>
      <c r="CH30" s="10" t="s">
        <v>51</v>
      </c>
      <c r="CI30" s="10" t="s">
        <v>51</v>
      </c>
      <c r="CJ30" s="10" t="s">
        <v>51</v>
      </c>
      <c r="CK30" s="10" t="s">
        <v>52</v>
      </c>
      <c r="CL30" s="10" t="s">
        <v>52</v>
      </c>
      <c r="CM30" s="10" t="s">
        <v>52</v>
      </c>
      <c r="CN30" s="10" t="s">
        <v>52</v>
      </c>
      <c r="CO30" s="10" t="s">
        <v>52</v>
      </c>
      <c r="CP30" s="10" t="s">
        <v>52</v>
      </c>
      <c r="CQ30" s="10" t="s">
        <v>52</v>
      </c>
      <c r="CR30" s="10" t="s">
        <v>52</v>
      </c>
      <c r="CS30" s="10" t="s">
        <v>52</v>
      </c>
      <c r="CT30" s="10" t="s">
        <v>52</v>
      </c>
      <c r="CU30" s="10" t="s">
        <v>52</v>
      </c>
      <c r="CV30" s="10" t="s">
        <v>52</v>
      </c>
    </row>
    <row r="31" customFormat="false" ht="15" hidden="false" customHeight="false" outlineLevel="0" collapsed="false">
      <c r="A31" s="4" t="s">
        <v>107</v>
      </c>
      <c r="B31" s="4" t="s">
        <v>108</v>
      </c>
      <c r="C31" s="10" t="n">
        <v>38</v>
      </c>
      <c r="D31" s="10" t="n">
        <v>33</v>
      </c>
      <c r="E31" s="10" t="n">
        <v>33</v>
      </c>
      <c r="F31" s="11" t="n">
        <v>33</v>
      </c>
      <c r="G31" s="12" t="n">
        <f aca="false">F31-E31</f>
        <v>0</v>
      </c>
      <c r="H31" s="12" t="n">
        <f aca="false">F31-D31</f>
        <v>0</v>
      </c>
      <c r="I31" s="10" t="n">
        <v>38</v>
      </c>
      <c r="J31" s="10" t="n">
        <v>38</v>
      </c>
      <c r="K31" s="11" t="n">
        <v>38</v>
      </c>
      <c r="L31" s="12" t="n">
        <f aca="false">K31-J31</f>
        <v>0</v>
      </c>
      <c r="M31" s="12" t="n">
        <f aca="false">K31-I31</f>
        <v>0</v>
      </c>
      <c r="N31" s="10" t="n">
        <v>38</v>
      </c>
      <c r="O31" s="10" t="n">
        <v>38</v>
      </c>
      <c r="P31" s="11" t="n">
        <v>38</v>
      </c>
      <c r="Q31" s="12" t="n">
        <f aca="false">P31-O31</f>
        <v>0</v>
      </c>
      <c r="R31" s="12" t="n">
        <f aca="false">P31-N31</f>
        <v>0</v>
      </c>
      <c r="S31" s="10" t="n">
        <v>0</v>
      </c>
      <c r="T31" s="10" t="n">
        <v>0</v>
      </c>
      <c r="U31" s="11" t="n">
        <v>0</v>
      </c>
      <c r="V31" s="12" t="n">
        <f aca="false">U31-T31</f>
        <v>0</v>
      </c>
      <c r="W31" s="12" t="n">
        <f aca="false">U31-S31</f>
        <v>0</v>
      </c>
      <c r="X31" s="10" t="n">
        <v>9</v>
      </c>
      <c r="Y31" s="10" t="n">
        <v>8</v>
      </c>
      <c r="Z31" s="11" t="n">
        <v>8</v>
      </c>
      <c r="AA31" s="12" t="n">
        <f aca="false">Z31-Y31</f>
        <v>0</v>
      </c>
      <c r="AB31" s="12" t="n">
        <f aca="false">Z31-X31</f>
        <v>-1</v>
      </c>
      <c r="AC31" s="10" t="n">
        <v>11</v>
      </c>
      <c r="AD31" s="10" t="n">
        <v>11</v>
      </c>
      <c r="AE31" s="11" t="n">
        <v>11</v>
      </c>
      <c r="AF31" s="12" t="n">
        <f aca="false">AE31-AD31</f>
        <v>0</v>
      </c>
      <c r="AG31" s="12" t="n">
        <f aca="false">AE31-AC31</f>
        <v>0</v>
      </c>
      <c r="AH31" s="10" t="n">
        <v>11</v>
      </c>
      <c r="AI31" s="10" t="n">
        <v>11</v>
      </c>
      <c r="AJ31" s="11" t="n">
        <v>11</v>
      </c>
      <c r="AK31" s="12" t="n">
        <f aca="false">AJ31-AI31</f>
        <v>0</v>
      </c>
      <c r="AL31" s="12" t="n">
        <f aca="false">AJ31-AH31</f>
        <v>0</v>
      </c>
      <c r="AM31" s="10" t="n">
        <v>38</v>
      </c>
      <c r="AN31" s="10" t="n">
        <v>38</v>
      </c>
      <c r="AO31" s="11" t="n">
        <v>38</v>
      </c>
      <c r="AP31" s="12" t="n">
        <f aca="false">AO31-AN31</f>
        <v>0</v>
      </c>
      <c r="AQ31" s="12" t="n">
        <f aca="false">AO31-AM31</f>
        <v>0</v>
      </c>
      <c r="AR31" s="10" t="n">
        <v>0</v>
      </c>
      <c r="AS31" s="10" t="n">
        <v>0</v>
      </c>
      <c r="AT31" s="11" t="n">
        <v>0</v>
      </c>
      <c r="AU31" s="12" t="n">
        <f aca="false">AT31-AS31</f>
        <v>0</v>
      </c>
      <c r="AV31" s="12" t="n">
        <f aca="false">AT31-AR31</f>
        <v>0</v>
      </c>
      <c r="AW31" s="10" t="n">
        <v>14</v>
      </c>
      <c r="AX31" s="10" t="n">
        <v>16</v>
      </c>
      <c r="AY31" s="11" t="n">
        <v>16</v>
      </c>
      <c r="AZ31" s="12" t="n">
        <f aca="false">AY31-AX31</f>
        <v>0</v>
      </c>
      <c r="BA31" s="12" t="n">
        <f aca="false">AY31-AW31</f>
        <v>2</v>
      </c>
      <c r="BB31" s="10" t="n">
        <v>0</v>
      </c>
      <c r="BC31" s="10" t="n">
        <v>0</v>
      </c>
      <c r="BD31" s="11" t="n">
        <v>0</v>
      </c>
      <c r="BE31" s="12" t="n">
        <f aca="false">BD31-BC31</f>
        <v>0</v>
      </c>
      <c r="BF31" s="12" t="n">
        <f aca="false">BD31-BB31</f>
        <v>0</v>
      </c>
      <c r="BG31" s="10" t="n">
        <v>38</v>
      </c>
      <c r="BH31" s="10" t="n">
        <v>38</v>
      </c>
      <c r="BI31" s="11" t="n">
        <v>38</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51</v>
      </c>
      <c r="BW31" s="10" t="s">
        <v>51</v>
      </c>
      <c r="BX31" s="10" t="s">
        <v>51</v>
      </c>
      <c r="BY31" s="10" t="s">
        <v>51</v>
      </c>
      <c r="BZ31" s="10" t="s">
        <v>51</v>
      </c>
      <c r="CA31" s="10" t="s">
        <v>51</v>
      </c>
      <c r="CB31" s="10" t="s">
        <v>51</v>
      </c>
      <c r="CC31" s="10" t="s">
        <v>51</v>
      </c>
      <c r="CD31" s="10" t="s">
        <v>51</v>
      </c>
      <c r="CE31" s="10" t="s">
        <v>52</v>
      </c>
      <c r="CF31" s="10" t="s">
        <v>52</v>
      </c>
      <c r="CG31" s="10" t="s">
        <v>52</v>
      </c>
      <c r="CH31" s="10" t="s">
        <v>51</v>
      </c>
      <c r="CI31" s="10" t="s">
        <v>51</v>
      </c>
      <c r="CJ31" s="10" t="s">
        <v>51</v>
      </c>
      <c r="CK31" s="10" t="s">
        <v>51</v>
      </c>
      <c r="CL31" s="10" t="s">
        <v>51</v>
      </c>
      <c r="CM31" s="10" t="s">
        <v>51</v>
      </c>
      <c r="CN31" s="10" t="s">
        <v>52</v>
      </c>
      <c r="CO31" s="10" t="s">
        <v>52</v>
      </c>
      <c r="CP31" s="10" t="s">
        <v>52</v>
      </c>
      <c r="CQ31" s="10" t="s">
        <v>52</v>
      </c>
      <c r="CR31" s="10" t="s">
        <v>52</v>
      </c>
      <c r="CS31" s="10" t="s">
        <v>52</v>
      </c>
      <c r="CT31" s="10" t="s">
        <v>52</v>
      </c>
      <c r="CU31" s="10" t="s">
        <v>52</v>
      </c>
      <c r="CV31" s="10" t="s">
        <v>52</v>
      </c>
    </row>
    <row r="32" customFormat="false" ht="15" hidden="false" customHeight="false" outlineLevel="0" collapsed="false">
      <c r="A32" s="4" t="s">
        <v>109</v>
      </c>
      <c r="B32" s="4" t="s">
        <v>110</v>
      </c>
      <c r="C32" s="10" t="n">
        <v>37</v>
      </c>
      <c r="D32" s="10" t="n">
        <v>16</v>
      </c>
      <c r="E32" s="10" t="n">
        <v>16</v>
      </c>
      <c r="F32" s="11" t="n">
        <v>16</v>
      </c>
      <c r="G32" s="12" t="n">
        <f aca="false">F32-E32</f>
        <v>0</v>
      </c>
      <c r="H32" s="12" t="n">
        <f aca="false">F32-D32</f>
        <v>0</v>
      </c>
      <c r="I32" s="10" t="n">
        <v>37</v>
      </c>
      <c r="J32" s="10" t="n">
        <v>37</v>
      </c>
      <c r="K32" s="11" t="n">
        <v>37</v>
      </c>
      <c r="L32" s="12" t="n">
        <f aca="false">K32-J32</f>
        <v>0</v>
      </c>
      <c r="M32" s="12" t="n">
        <f aca="false">K32-I32</f>
        <v>0</v>
      </c>
      <c r="N32" s="10" t="n">
        <v>35</v>
      </c>
      <c r="O32" s="10" t="n">
        <v>36</v>
      </c>
      <c r="P32" s="11" t="n">
        <v>36</v>
      </c>
      <c r="Q32" s="12" t="n">
        <f aca="false">P32-O32</f>
        <v>0</v>
      </c>
      <c r="R32" s="12" t="n">
        <f aca="false">P32-N32</f>
        <v>1</v>
      </c>
      <c r="S32" s="10" t="n">
        <v>5</v>
      </c>
      <c r="T32" s="10" t="n">
        <v>5</v>
      </c>
      <c r="U32" s="11" t="n">
        <v>5</v>
      </c>
      <c r="V32" s="12" t="n">
        <f aca="false">U32-T32</f>
        <v>0</v>
      </c>
      <c r="W32" s="12" t="n">
        <f aca="false">U32-S32</f>
        <v>0</v>
      </c>
      <c r="X32" s="10" t="n">
        <v>15</v>
      </c>
      <c r="Y32" s="10" t="n">
        <v>10</v>
      </c>
      <c r="Z32" s="11" t="n">
        <v>10</v>
      </c>
      <c r="AA32" s="12" t="n">
        <f aca="false">Z32-Y32</f>
        <v>0</v>
      </c>
      <c r="AB32" s="12" t="n">
        <f aca="false">Z32-X32</f>
        <v>-5</v>
      </c>
      <c r="AC32" s="10" t="n">
        <v>9</v>
      </c>
      <c r="AD32" s="10" t="n">
        <v>8</v>
      </c>
      <c r="AE32" s="11" t="n">
        <v>8</v>
      </c>
      <c r="AF32" s="12" t="n">
        <f aca="false">AE32-AD32</f>
        <v>0</v>
      </c>
      <c r="AG32" s="12" t="n">
        <f aca="false">AE32-AC32</f>
        <v>-1</v>
      </c>
      <c r="AH32" s="10" t="n">
        <v>0</v>
      </c>
      <c r="AI32" s="10" t="n">
        <v>0</v>
      </c>
      <c r="AJ32" s="11" t="n">
        <v>0</v>
      </c>
      <c r="AK32" s="12" t="n">
        <f aca="false">AJ32-AI32</f>
        <v>0</v>
      </c>
      <c r="AL32" s="12" t="n">
        <f aca="false">AJ32-AH32</f>
        <v>0</v>
      </c>
      <c r="AM32" s="10" t="n">
        <v>37</v>
      </c>
      <c r="AN32" s="10" t="n">
        <v>37</v>
      </c>
      <c r="AO32" s="11" t="n">
        <v>37</v>
      </c>
      <c r="AP32" s="12" t="n">
        <f aca="false">AO32-AN32</f>
        <v>0</v>
      </c>
      <c r="AQ32" s="12" t="n">
        <f aca="false">AO32-AM32</f>
        <v>0</v>
      </c>
      <c r="AR32" s="10" t="n">
        <v>0</v>
      </c>
      <c r="AS32" s="10" t="n">
        <v>0</v>
      </c>
      <c r="AT32" s="11" t="n">
        <v>0</v>
      </c>
      <c r="AU32" s="12" t="n">
        <f aca="false">AT32-AS32</f>
        <v>0</v>
      </c>
      <c r="AV32" s="12" t="n">
        <f aca="false">AT32-AR32</f>
        <v>0</v>
      </c>
      <c r="AW32" s="10" t="n">
        <v>10</v>
      </c>
      <c r="AX32" s="10" t="n">
        <v>10</v>
      </c>
      <c r="AY32" s="11" t="n">
        <v>10</v>
      </c>
      <c r="AZ32" s="12" t="n">
        <f aca="false">AY32-AX32</f>
        <v>0</v>
      </c>
      <c r="BA32" s="12" t="n">
        <f aca="false">AY32-AW32</f>
        <v>0</v>
      </c>
      <c r="BB32" s="10" t="n">
        <v>0</v>
      </c>
      <c r="BC32" s="10" t="n">
        <v>0</v>
      </c>
      <c r="BD32" s="11" t="n">
        <v>0</v>
      </c>
      <c r="BE32" s="12" t="n">
        <f aca="false">BD32-BC32</f>
        <v>0</v>
      </c>
      <c r="BF32" s="12" t="n">
        <f aca="false">BD32-BB32</f>
        <v>0</v>
      </c>
      <c r="BG32" s="10" t="n">
        <v>37</v>
      </c>
      <c r="BH32" s="10" t="n">
        <v>37</v>
      </c>
      <c r="BI32" s="11" t="n">
        <v>37</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51</v>
      </c>
      <c r="BW32" s="10" t="s">
        <v>51</v>
      </c>
      <c r="BX32" s="10" t="s">
        <v>51</v>
      </c>
      <c r="BY32" s="10" t="s">
        <v>51</v>
      </c>
      <c r="BZ32" s="10" t="s">
        <v>51</v>
      </c>
      <c r="CA32" s="10" t="s">
        <v>51</v>
      </c>
      <c r="CB32" s="10" t="s">
        <v>51</v>
      </c>
      <c r="CC32" s="10" t="s">
        <v>51</v>
      </c>
      <c r="CD32" s="10" t="s">
        <v>51</v>
      </c>
      <c r="CE32" s="10" t="s">
        <v>52</v>
      </c>
      <c r="CF32" s="10" t="s">
        <v>52</v>
      </c>
      <c r="CG32" s="10" t="s">
        <v>52</v>
      </c>
      <c r="CH32" s="10" t="s">
        <v>51</v>
      </c>
      <c r="CI32" s="10" t="s">
        <v>51</v>
      </c>
      <c r="CJ32" s="10" t="s">
        <v>51</v>
      </c>
      <c r="CK32" s="10" t="s">
        <v>51</v>
      </c>
      <c r="CL32" s="10" t="s">
        <v>51</v>
      </c>
      <c r="CM32" s="10" t="s">
        <v>51</v>
      </c>
      <c r="CN32" s="10" t="s">
        <v>51</v>
      </c>
      <c r="CO32" s="10" t="s">
        <v>51</v>
      </c>
      <c r="CP32" s="10" t="s">
        <v>51</v>
      </c>
      <c r="CQ32" s="10" t="s">
        <v>51</v>
      </c>
      <c r="CR32" s="10" t="s">
        <v>51</v>
      </c>
      <c r="CS32" s="10" t="s">
        <v>51</v>
      </c>
      <c r="CT32" s="10" t="s">
        <v>52</v>
      </c>
      <c r="CU32" s="10" t="s">
        <v>52</v>
      </c>
      <c r="CV32" s="10" t="s">
        <v>52</v>
      </c>
    </row>
    <row r="33" customFormat="false" ht="15" hidden="false" customHeight="false" outlineLevel="0" collapsed="false">
      <c r="A33" s="4" t="s">
        <v>111</v>
      </c>
      <c r="B33" s="4" t="s">
        <v>112</v>
      </c>
      <c r="C33" s="10" t="n">
        <v>31</v>
      </c>
      <c r="D33" s="10" t="n">
        <v>17</v>
      </c>
      <c r="E33" s="10" t="n">
        <v>18</v>
      </c>
      <c r="F33" s="11" t="n">
        <v>18</v>
      </c>
      <c r="G33" s="12" t="n">
        <f aca="false">F33-E33</f>
        <v>0</v>
      </c>
      <c r="H33" s="12" t="n">
        <f aca="false">F33-D33</f>
        <v>1</v>
      </c>
      <c r="I33" s="10" t="n">
        <v>31</v>
      </c>
      <c r="J33" s="10" t="n">
        <v>31</v>
      </c>
      <c r="K33" s="11" t="n">
        <v>31</v>
      </c>
      <c r="L33" s="12" t="n">
        <f aca="false">K33-J33</f>
        <v>0</v>
      </c>
      <c r="M33" s="12" t="n">
        <f aca="false">K33-I33</f>
        <v>0</v>
      </c>
      <c r="N33" s="10" t="n">
        <v>29</v>
      </c>
      <c r="O33" s="10" t="n">
        <v>31</v>
      </c>
      <c r="P33" s="11" t="n">
        <v>31</v>
      </c>
      <c r="Q33" s="12" t="n">
        <f aca="false">P33-O33</f>
        <v>0</v>
      </c>
      <c r="R33" s="12" t="n">
        <f aca="false">P33-N33</f>
        <v>2</v>
      </c>
      <c r="S33" s="10" t="n">
        <v>2</v>
      </c>
      <c r="T33" s="10" t="n">
        <v>2</v>
      </c>
      <c r="U33" s="11" t="n">
        <v>2</v>
      </c>
      <c r="V33" s="12" t="n">
        <f aca="false">U33-T33</f>
        <v>0</v>
      </c>
      <c r="W33" s="12" t="n">
        <f aca="false">U33-S33</f>
        <v>0</v>
      </c>
      <c r="X33" s="10" t="n">
        <v>22</v>
      </c>
      <c r="Y33" s="10" t="n">
        <v>18</v>
      </c>
      <c r="Z33" s="11" t="n">
        <v>18</v>
      </c>
      <c r="AA33" s="12" t="n">
        <f aca="false">Z33-Y33</f>
        <v>0</v>
      </c>
      <c r="AB33" s="12" t="n">
        <f aca="false">Z33-X33</f>
        <v>-4</v>
      </c>
      <c r="AC33" s="10" t="n">
        <v>11</v>
      </c>
      <c r="AD33" s="10" t="n">
        <v>30</v>
      </c>
      <c r="AE33" s="11" t="n">
        <v>30</v>
      </c>
      <c r="AF33" s="12" t="n">
        <f aca="false">AE33-AD33</f>
        <v>0</v>
      </c>
      <c r="AG33" s="12" t="n">
        <f aca="false">AE33-AC33</f>
        <v>19</v>
      </c>
      <c r="AH33" s="10" t="n">
        <v>11</v>
      </c>
      <c r="AI33" s="10" t="n">
        <v>30</v>
      </c>
      <c r="AJ33" s="11" t="n">
        <v>30</v>
      </c>
      <c r="AK33" s="12" t="n">
        <f aca="false">AJ33-AI33</f>
        <v>0</v>
      </c>
      <c r="AL33" s="12" t="n">
        <f aca="false">AJ33-AH33</f>
        <v>19</v>
      </c>
      <c r="AM33" s="10" t="n">
        <v>31</v>
      </c>
      <c r="AN33" s="10" t="n">
        <v>31</v>
      </c>
      <c r="AO33" s="11" t="n">
        <v>31</v>
      </c>
      <c r="AP33" s="12" t="n">
        <f aca="false">AO33-AN33</f>
        <v>0</v>
      </c>
      <c r="AQ33" s="12" t="n">
        <f aca="false">AO33-AM33</f>
        <v>0</v>
      </c>
      <c r="AR33" s="10" t="n">
        <v>0</v>
      </c>
      <c r="AS33" s="10" t="n">
        <v>4</v>
      </c>
      <c r="AT33" s="11" t="n">
        <v>4</v>
      </c>
      <c r="AU33" s="12" t="n">
        <f aca="false">AT33-AS33</f>
        <v>0</v>
      </c>
      <c r="AV33" s="12" t="n">
        <f aca="false">AT33-AR33</f>
        <v>4</v>
      </c>
      <c r="AW33" s="10" t="n">
        <v>14</v>
      </c>
      <c r="AX33" s="10" t="n">
        <v>15</v>
      </c>
      <c r="AY33" s="11" t="n">
        <v>15</v>
      </c>
      <c r="AZ33" s="12" t="n">
        <f aca="false">AY33-AX33</f>
        <v>0</v>
      </c>
      <c r="BA33" s="12" t="n">
        <f aca="false">AY33-AW33</f>
        <v>1</v>
      </c>
      <c r="BB33" s="10" t="n">
        <v>0</v>
      </c>
      <c r="BC33" s="10" t="n">
        <v>0</v>
      </c>
      <c r="BD33" s="11" t="n">
        <v>0</v>
      </c>
      <c r="BE33" s="12" t="n">
        <f aca="false">BD33-BC33</f>
        <v>0</v>
      </c>
      <c r="BF33" s="12" t="n">
        <f aca="false">BD33-BB33</f>
        <v>0</v>
      </c>
      <c r="BG33" s="10" t="n">
        <v>0</v>
      </c>
      <c r="BH33" s="10" t="n">
        <v>0</v>
      </c>
      <c r="BI33" s="11" t="n">
        <v>0</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51</v>
      </c>
      <c r="BW33" s="10" t="s">
        <v>51</v>
      </c>
      <c r="BX33" s="10" t="s">
        <v>51</v>
      </c>
      <c r="BY33" s="10" t="s">
        <v>52</v>
      </c>
      <c r="BZ33" s="10" t="s">
        <v>52</v>
      </c>
      <c r="CA33" s="10" t="s">
        <v>52</v>
      </c>
      <c r="CB33" s="10" t="s">
        <v>51</v>
      </c>
      <c r="CC33" s="10" t="s">
        <v>51</v>
      </c>
      <c r="CD33" s="10" t="s">
        <v>51</v>
      </c>
      <c r="CE33" s="10" t="s">
        <v>52</v>
      </c>
      <c r="CF33" s="10" t="s">
        <v>52</v>
      </c>
      <c r="CG33" s="10" t="s">
        <v>52</v>
      </c>
      <c r="CH33" s="10" t="s">
        <v>51</v>
      </c>
      <c r="CI33" s="10" t="s">
        <v>51</v>
      </c>
      <c r="CJ33" s="10" t="s">
        <v>51</v>
      </c>
      <c r="CK33" s="10" t="s">
        <v>52</v>
      </c>
      <c r="CL33" s="10" t="s">
        <v>52</v>
      </c>
      <c r="CM33" s="10" t="s">
        <v>52</v>
      </c>
      <c r="CN33" s="10" t="s">
        <v>52</v>
      </c>
      <c r="CO33" s="10" t="s">
        <v>52</v>
      </c>
      <c r="CP33" s="10" t="s">
        <v>52</v>
      </c>
      <c r="CQ33" s="10" t="s">
        <v>51</v>
      </c>
      <c r="CR33" s="10" t="s">
        <v>51</v>
      </c>
      <c r="CS33" s="10" t="s">
        <v>51</v>
      </c>
      <c r="CT33" s="10" t="s">
        <v>52</v>
      </c>
      <c r="CU33" s="10" t="s">
        <v>52</v>
      </c>
      <c r="CV33" s="10" t="s">
        <v>52</v>
      </c>
    </row>
    <row r="34" customFormat="false" ht="15" hidden="false" customHeight="false" outlineLevel="0" collapsed="false">
      <c r="A34" s="4" t="s">
        <v>113</v>
      </c>
      <c r="B34" s="4" t="s">
        <v>114</v>
      </c>
      <c r="C34" s="10" t="n">
        <v>30</v>
      </c>
      <c r="D34" s="10" t="n">
        <v>7</v>
      </c>
      <c r="E34" s="10" t="n">
        <v>7</v>
      </c>
      <c r="F34" s="11" t="n">
        <v>7</v>
      </c>
      <c r="G34" s="12" t="n">
        <f aca="false">F34-E34</f>
        <v>0</v>
      </c>
      <c r="H34" s="12" t="n">
        <f aca="false">F34-D34</f>
        <v>0</v>
      </c>
      <c r="I34" s="10" t="n">
        <v>30</v>
      </c>
      <c r="J34" s="10" t="n">
        <v>30</v>
      </c>
      <c r="K34" s="11" t="n">
        <v>30</v>
      </c>
      <c r="L34" s="12" t="n">
        <f aca="false">K34-J34</f>
        <v>0</v>
      </c>
      <c r="M34" s="12" t="n">
        <f aca="false">K34-I34</f>
        <v>0</v>
      </c>
      <c r="N34" s="10" t="n">
        <v>29</v>
      </c>
      <c r="O34" s="10" t="n">
        <v>30</v>
      </c>
      <c r="P34" s="11" t="n">
        <v>30</v>
      </c>
      <c r="Q34" s="12" t="n">
        <f aca="false">P34-O34</f>
        <v>0</v>
      </c>
      <c r="R34" s="12" t="n">
        <f aca="false">P34-N34</f>
        <v>1</v>
      </c>
      <c r="S34" s="10" t="n">
        <v>6</v>
      </c>
      <c r="T34" s="10" t="n">
        <v>4</v>
      </c>
      <c r="U34" s="11" t="n">
        <v>4</v>
      </c>
      <c r="V34" s="12" t="n">
        <f aca="false">U34-T34</f>
        <v>0</v>
      </c>
      <c r="W34" s="12" t="n">
        <f aca="false">U34-S34</f>
        <v>-2</v>
      </c>
      <c r="X34" s="10" t="n">
        <v>23</v>
      </c>
      <c r="Y34" s="10" t="n">
        <v>6</v>
      </c>
      <c r="Z34" s="11" t="n">
        <v>6</v>
      </c>
      <c r="AA34" s="12" t="n">
        <f aca="false">Z34-Y34</f>
        <v>0</v>
      </c>
      <c r="AB34" s="12" t="n">
        <f aca="false">Z34-X34</f>
        <v>-17</v>
      </c>
      <c r="AC34" s="10" t="n">
        <v>7</v>
      </c>
      <c r="AD34" s="10" t="n">
        <v>3</v>
      </c>
      <c r="AE34" s="11" t="n">
        <v>3</v>
      </c>
      <c r="AF34" s="12" t="n">
        <f aca="false">AE34-AD34</f>
        <v>0</v>
      </c>
      <c r="AG34" s="12" t="n">
        <f aca="false">AE34-AC34</f>
        <v>-4</v>
      </c>
      <c r="AH34" s="10" t="n">
        <v>0</v>
      </c>
      <c r="AI34" s="10" t="n">
        <v>0</v>
      </c>
      <c r="AJ34" s="11" t="n">
        <v>0</v>
      </c>
      <c r="AK34" s="12" t="n">
        <f aca="false">AJ34-AI34</f>
        <v>0</v>
      </c>
      <c r="AL34" s="12" t="n">
        <f aca="false">AJ34-AH34</f>
        <v>0</v>
      </c>
      <c r="AM34" s="10" t="n">
        <v>30</v>
      </c>
      <c r="AN34" s="10" t="n">
        <v>30</v>
      </c>
      <c r="AO34" s="11" t="n">
        <v>30</v>
      </c>
      <c r="AP34" s="12" t="n">
        <f aca="false">AO34-AN34</f>
        <v>0</v>
      </c>
      <c r="AQ34" s="12" t="n">
        <f aca="false">AO34-AM34</f>
        <v>0</v>
      </c>
      <c r="AR34" s="10" t="n">
        <v>0</v>
      </c>
      <c r="AS34" s="10" t="n">
        <v>0</v>
      </c>
      <c r="AT34" s="11" t="n">
        <v>0</v>
      </c>
      <c r="AU34" s="12" t="n">
        <f aca="false">AT34-AS34</f>
        <v>0</v>
      </c>
      <c r="AV34" s="12" t="n">
        <f aca="false">AT34-AR34</f>
        <v>0</v>
      </c>
      <c r="AW34" s="10" t="n">
        <v>5</v>
      </c>
      <c r="AX34" s="10" t="n">
        <v>5</v>
      </c>
      <c r="AY34" s="11" t="n">
        <v>5</v>
      </c>
      <c r="AZ34" s="12" t="n">
        <f aca="false">AY34-AX34</f>
        <v>0</v>
      </c>
      <c r="BA34" s="12" t="n">
        <f aca="false">AY34-AW34</f>
        <v>0</v>
      </c>
      <c r="BB34" s="10" t="n">
        <v>0</v>
      </c>
      <c r="BC34" s="10" t="n">
        <v>0</v>
      </c>
      <c r="BD34" s="11" t="n">
        <v>0</v>
      </c>
      <c r="BE34" s="12" t="n">
        <f aca="false">BD34-BC34</f>
        <v>0</v>
      </c>
      <c r="BF34" s="12" t="n">
        <f aca="false">BD34-BB34</f>
        <v>0</v>
      </c>
      <c r="BG34" s="10" t="n">
        <v>1</v>
      </c>
      <c r="BH34" s="10" t="n">
        <v>1</v>
      </c>
      <c r="BI34" s="11" t="n">
        <v>1</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51</v>
      </c>
      <c r="BW34" s="10" t="s">
        <v>51</v>
      </c>
      <c r="BX34" s="10" t="s">
        <v>51</v>
      </c>
      <c r="BY34" s="10" t="s">
        <v>52</v>
      </c>
      <c r="BZ34" s="10" t="s">
        <v>52</v>
      </c>
      <c r="CA34" s="10" t="s">
        <v>52</v>
      </c>
      <c r="CB34" s="10" t="s">
        <v>51</v>
      </c>
      <c r="CC34" s="10" t="s">
        <v>51</v>
      </c>
      <c r="CD34" s="10" t="s">
        <v>51</v>
      </c>
      <c r="CE34" s="10" t="s">
        <v>52</v>
      </c>
      <c r="CF34" s="10" t="s">
        <v>52</v>
      </c>
      <c r="CG34" s="10" t="s">
        <v>52</v>
      </c>
      <c r="CH34" s="10" t="s">
        <v>51</v>
      </c>
      <c r="CI34" s="10" t="s">
        <v>51</v>
      </c>
      <c r="CJ34" s="10" t="s">
        <v>51</v>
      </c>
      <c r="CK34" s="10" t="s">
        <v>51</v>
      </c>
      <c r="CL34" s="10" t="s">
        <v>51</v>
      </c>
      <c r="CM34" s="10" t="s">
        <v>51</v>
      </c>
      <c r="CN34" s="10" t="s">
        <v>51</v>
      </c>
      <c r="CO34" s="10" t="s">
        <v>51</v>
      </c>
      <c r="CP34" s="10" t="s">
        <v>51</v>
      </c>
      <c r="CQ34" s="10" t="s">
        <v>52</v>
      </c>
      <c r="CR34" s="10" t="s">
        <v>52</v>
      </c>
      <c r="CS34" s="10" t="s">
        <v>52</v>
      </c>
      <c r="CT34" s="10" t="s">
        <v>52</v>
      </c>
      <c r="CU34" s="10" t="s">
        <v>52</v>
      </c>
      <c r="CV34" s="10" t="s">
        <v>52</v>
      </c>
    </row>
    <row r="35" customFormat="false" ht="15" hidden="false" customHeight="false" outlineLevel="0" collapsed="false">
      <c r="A35" s="4" t="s">
        <v>115</v>
      </c>
      <c r="B35" s="4" t="s">
        <v>116</v>
      </c>
      <c r="C35" s="10" t="n">
        <v>28</v>
      </c>
      <c r="D35" s="10" t="n">
        <v>6</v>
      </c>
      <c r="E35" s="10" t="n">
        <v>6</v>
      </c>
      <c r="F35" s="11" t="n">
        <v>6</v>
      </c>
      <c r="G35" s="12" t="n">
        <f aca="false">F35-E35</f>
        <v>0</v>
      </c>
      <c r="H35" s="12" t="n">
        <f aca="false">F35-D35</f>
        <v>0</v>
      </c>
      <c r="I35" s="10" t="n">
        <v>28</v>
      </c>
      <c r="J35" s="10" t="n">
        <v>28</v>
      </c>
      <c r="K35" s="11" t="n">
        <v>28</v>
      </c>
      <c r="L35" s="12" t="n">
        <f aca="false">K35-J35</f>
        <v>0</v>
      </c>
      <c r="M35" s="12" t="n">
        <f aca="false">K35-I35</f>
        <v>0</v>
      </c>
      <c r="N35" s="10" t="n">
        <v>28</v>
      </c>
      <c r="O35" s="10" t="n">
        <v>28</v>
      </c>
      <c r="P35" s="11" t="n">
        <v>28</v>
      </c>
      <c r="Q35" s="12" t="n">
        <f aca="false">P35-O35</f>
        <v>0</v>
      </c>
      <c r="R35" s="12" t="n">
        <f aca="false">P35-N35</f>
        <v>0</v>
      </c>
      <c r="S35" s="10" t="n">
        <v>0</v>
      </c>
      <c r="T35" s="10" t="n">
        <v>0</v>
      </c>
      <c r="U35" s="11" t="n">
        <v>0</v>
      </c>
      <c r="V35" s="12" t="n">
        <f aca="false">U35-T35</f>
        <v>0</v>
      </c>
      <c r="W35" s="12" t="n">
        <f aca="false">U35-S35</f>
        <v>0</v>
      </c>
      <c r="X35" s="10" t="n">
        <v>0</v>
      </c>
      <c r="Y35" s="10" t="n">
        <v>0</v>
      </c>
      <c r="Z35" s="11" t="n">
        <v>0</v>
      </c>
      <c r="AA35" s="12" t="n">
        <f aca="false">Z35-Y35</f>
        <v>0</v>
      </c>
      <c r="AB35" s="12" t="n">
        <f aca="false">Z35-X35</f>
        <v>0</v>
      </c>
      <c r="AC35" s="10" t="n">
        <v>0</v>
      </c>
      <c r="AD35" s="10" t="n">
        <v>0</v>
      </c>
      <c r="AE35" s="11" t="n">
        <v>0</v>
      </c>
      <c r="AF35" s="12" t="n">
        <f aca="false">AE35-AD35</f>
        <v>0</v>
      </c>
      <c r="AG35" s="12" t="n">
        <f aca="false">AE35-AC35</f>
        <v>0</v>
      </c>
      <c r="AH35" s="10" t="n">
        <v>0</v>
      </c>
      <c r="AI35" s="10" t="n">
        <v>0</v>
      </c>
      <c r="AJ35" s="11" t="n">
        <v>0</v>
      </c>
      <c r="AK35" s="12" t="n">
        <f aca="false">AJ35-AI35</f>
        <v>0</v>
      </c>
      <c r="AL35" s="12" t="n">
        <f aca="false">AJ35-AH35</f>
        <v>0</v>
      </c>
      <c r="AM35" s="10" t="n">
        <v>28</v>
      </c>
      <c r="AN35" s="10" t="n">
        <v>28</v>
      </c>
      <c r="AO35" s="11" t="n">
        <v>28</v>
      </c>
      <c r="AP35" s="12" t="n">
        <f aca="false">AO35-AN35</f>
        <v>0</v>
      </c>
      <c r="AQ35" s="12" t="n">
        <f aca="false">AO35-AM35</f>
        <v>0</v>
      </c>
      <c r="AR35" s="10" t="n">
        <v>0</v>
      </c>
      <c r="AS35" s="10" t="n">
        <v>0</v>
      </c>
      <c r="AT35" s="11" t="n">
        <v>0</v>
      </c>
      <c r="AU35" s="12" t="n">
        <f aca="false">AT35-AS35</f>
        <v>0</v>
      </c>
      <c r="AV35" s="12" t="n">
        <f aca="false">AT35-AR35</f>
        <v>0</v>
      </c>
      <c r="AW35" s="10" t="n">
        <v>0</v>
      </c>
      <c r="AX35" s="10" t="n">
        <v>0</v>
      </c>
      <c r="AY35" s="11" t="n">
        <v>0</v>
      </c>
      <c r="AZ35" s="12" t="n">
        <f aca="false">AY35-AX35</f>
        <v>0</v>
      </c>
      <c r="BA35" s="12" t="n">
        <f aca="false">AY35-AW35</f>
        <v>0</v>
      </c>
      <c r="BB35" s="10" t="n">
        <v>0</v>
      </c>
      <c r="BC35" s="10" t="n">
        <v>0</v>
      </c>
      <c r="BD35" s="11" t="n">
        <v>0</v>
      </c>
      <c r="BE35" s="12" t="n">
        <f aca="false">BD35-BC35</f>
        <v>0</v>
      </c>
      <c r="BF35" s="12" t="n">
        <f aca="false">BD35-BB35</f>
        <v>0</v>
      </c>
      <c r="BG35" s="10" t="n">
        <v>0</v>
      </c>
      <c r="BH35" s="10" t="n">
        <v>28</v>
      </c>
      <c r="BI35" s="11" t="n">
        <v>28</v>
      </c>
      <c r="BJ35" s="12" t="n">
        <f aca="false">BI35-BH35</f>
        <v>0</v>
      </c>
      <c r="BK35" s="12" t="n">
        <f aca="false">BI35-BG35</f>
        <v>28</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51</v>
      </c>
      <c r="BW35" s="10" t="s">
        <v>51</v>
      </c>
      <c r="BX35" s="10" t="s">
        <v>51</v>
      </c>
      <c r="BY35" s="10" t="s">
        <v>52</v>
      </c>
      <c r="BZ35" s="10" t="s">
        <v>52</v>
      </c>
      <c r="CA35" s="10" t="s">
        <v>52</v>
      </c>
      <c r="CB35" s="10" t="s">
        <v>52</v>
      </c>
      <c r="CC35" s="10" t="s">
        <v>52</v>
      </c>
      <c r="CD35" s="10" t="s">
        <v>52</v>
      </c>
      <c r="CE35" s="10" t="s">
        <v>52</v>
      </c>
      <c r="CF35" s="10" t="s">
        <v>52</v>
      </c>
      <c r="CG35" s="10" t="s">
        <v>52</v>
      </c>
      <c r="CH35" s="10" t="s">
        <v>51</v>
      </c>
      <c r="CI35" s="10" t="s">
        <v>51</v>
      </c>
      <c r="CJ35" s="10" t="s">
        <v>51</v>
      </c>
      <c r="CK35" s="10" t="s">
        <v>51</v>
      </c>
      <c r="CL35" s="10" t="s">
        <v>51</v>
      </c>
      <c r="CM35" s="10" t="s">
        <v>51</v>
      </c>
      <c r="CN35" s="10" t="s">
        <v>51</v>
      </c>
      <c r="CO35" s="10" t="s">
        <v>51</v>
      </c>
      <c r="CP35" s="10" t="s">
        <v>51</v>
      </c>
      <c r="CQ35" s="10" t="s">
        <v>52</v>
      </c>
      <c r="CR35" s="10" t="s">
        <v>52</v>
      </c>
      <c r="CS35" s="10" t="s">
        <v>52</v>
      </c>
      <c r="CT35" s="10" t="s">
        <v>52</v>
      </c>
      <c r="CU35" s="10" t="s">
        <v>52</v>
      </c>
      <c r="CV35" s="10" t="s">
        <v>52</v>
      </c>
    </row>
    <row r="36" customFormat="false" ht="15" hidden="false" customHeight="false" outlineLevel="0" collapsed="false">
      <c r="A36" s="4" t="s">
        <v>117</v>
      </c>
      <c r="B36" s="4" t="s">
        <v>118</v>
      </c>
      <c r="C36" s="10" t="n">
        <v>27</v>
      </c>
      <c r="D36" s="10" t="n">
        <v>0</v>
      </c>
      <c r="E36" s="10" t="n">
        <v>0</v>
      </c>
      <c r="F36" s="11" t="n">
        <v>0</v>
      </c>
      <c r="G36" s="12" t="n">
        <f aca="false">F36-E36</f>
        <v>0</v>
      </c>
      <c r="H36" s="12" t="n">
        <f aca="false">F36-D36</f>
        <v>0</v>
      </c>
      <c r="I36" s="10" t="n">
        <v>27</v>
      </c>
      <c r="J36" s="10" t="n">
        <v>27</v>
      </c>
      <c r="K36" s="11" t="n">
        <v>27</v>
      </c>
      <c r="L36" s="12" t="n">
        <f aca="false">K36-J36</f>
        <v>0</v>
      </c>
      <c r="M36" s="12" t="n">
        <f aca="false">K36-I36</f>
        <v>0</v>
      </c>
      <c r="N36" s="10" t="n">
        <v>27</v>
      </c>
      <c r="O36" s="10" t="n">
        <v>27</v>
      </c>
      <c r="P36" s="11" t="n">
        <v>27</v>
      </c>
      <c r="Q36" s="12" t="n">
        <f aca="false">P36-O36</f>
        <v>0</v>
      </c>
      <c r="R36" s="12" t="n">
        <f aca="false">P36-N36</f>
        <v>0</v>
      </c>
      <c r="S36" s="10" t="n">
        <v>0</v>
      </c>
      <c r="T36" s="10" t="n">
        <v>0</v>
      </c>
      <c r="U36" s="11" t="n">
        <v>0</v>
      </c>
      <c r="V36" s="12" t="n">
        <f aca="false">U36-T36</f>
        <v>0</v>
      </c>
      <c r="W36" s="12" t="n">
        <f aca="false">U36-S36</f>
        <v>0</v>
      </c>
      <c r="X36" s="10" t="n">
        <v>4</v>
      </c>
      <c r="Y36" s="10" t="n">
        <v>0</v>
      </c>
      <c r="Z36" s="11" t="n">
        <v>0</v>
      </c>
      <c r="AA36" s="12" t="n">
        <f aca="false">Z36-Y36</f>
        <v>0</v>
      </c>
      <c r="AB36" s="12" t="n">
        <f aca="false">Z36-X36</f>
        <v>-4</v>
      </c>
      <c r="AC36" s="10" t="n">
        <v>2</v>
      </c>
      <c r="AD36" s="10" t="n">
        <v>27</v>
      </c>
      <c r="AE36" s="11" t="n">
        <v>27</v>
      </c>
      <c r="AF36" s="12" t="n">
        <f aca="false">AE36-AD36</f>
        <v>0</v>
      </c>
      <c r="AG36" s="12" t="n">
        <f aca="false">AE36-AC36</f>
        <v>25</v>
      </c>
      <c r="AH36" s="10" t="n">
        <v>0</v>
      </c>
      <c r="AI36" s="10" t="n">
        <v>0</v>
      </c>
      <c r="AJ36" s="11" t="n">
        <v>0</v>
      </c>
      <c r="AK36" s="12" t="n">
        <f aca="false">AJ36-AI36</f>
        <v>0</v>
      </c>
      <c r="AL36" s="12" t="n">
        <f aca="false">AJ36-AH36</f>
        <v>0</v>
      </c>
      <c r="AM36" s="10" t="n">
        <v>27</v>
      </c>
      <c r="AN36" s="10" t="n">
        <v>27</v>
      </c>
      <c r="AO36" s="11" t="n">
        <v>27</v>
      </c>
      <c r="AP36" s="12" t="n">
        <f aca="false">AO36-AN36</f>
        <v>0</v>
      </c>
      <c r="AQ36" s="12" t="n">
        <f aca="false">AO36-AM36</f>
        <v>0</v>
      </c>
      <c r="AR36" s="10" t="n">
        <v>0</v>
      </c>
      <c r="AS36" s="10" t="n">
        <v>0</v>
      </c>
      <c r="AT36" s="11" t="n">
        <v>0</v>
      </c>
      <c r="AU36" s="12" t="n">
        <f aca="false">AT36-AS36</f>
        <v>0</v>
      </c>
      <c r="AV36" s="12" t="n">
        <f aca="false">AT36-AR36</f>
        <v>0</v>
      </c>
      <c r="AW36" s="10" t="n">
        <v>0</v>
      </c>
      <c r="AX36" s="10" t="n">
        <v>0</v>
      </c>
      <c r="AY36" s="11" t="n">
        <v>0</v>
      </c>
      <c r="AZ36" s="12" t="n">
        <f aca="false">AY36-AX36</f>
        <v>0</v>
      </c>
      <c r="BA36" s="12" t="n">
        <f aca="false">AY36-AW36</f>
        <v>0</v>
      </c>
      <c r="BB36" s="10" t="n">
        <v>0</v>
      </c>
      <c r="BC36" s="10" t="n">
        <v>0</v>
      </c>
      <c r="BD36" s="11" t="n">
        <v>0</v>
      </c>
      <c r="BE36" s="12" t="n">
        <f aca="false">BD36-BC36</f>
        <v>0</v>
      </c>
      <c r="BF36" s="12" t="n">
        <f aca="false">BD36-BB36</f>
        <v>0</v>
      </c>
      <c r="BG36" s="10" t="n">
        <v>0</v>
      </c>
      <c r="BH36" s="10" t="n">
        <v>27</v>
      </c>
      <c r="BI36" s="11" t="n">
        <v>27</v>
      </c>
      <c r="BJ36" s="12" t="n">
        <f aca="false">BI36-BH36</f>
        <v>0</v>
      </c>
      <c r="BK36" s="12" t="n">
        <f aca="false">BI36-BG36</f>
        <v>27</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51</v>
      </c>
      <c r="BW36" s="10" t="s">
        <v>51</v>
      </c>
      <c r="BX36" s="10" t="s">
        <v>51</v>
      </c>
      <c r="BY36" s="10" t="s">
        <v>51</v>
      </c>
      <c r="BZ36" s="10" t="s">
        <v>51</v>
      </c>
      <c r="CA36" s="10" t="s">
        <v>51</v>
      </c>
      <c r="CB36" s="10" t="s">
        <v>51</v>
      </c>
      <c r="CC36" s="10" t="s">
        <v>51</v>
      </c>
      <c r="CD36" s="10" t="s">
        <v>51</v>
      </c>
      <c r="CE36" s="10" t="s">
        <v>52</v>
      </c>
      <c r="CF36" s="10" t="s">
        <v>52</v>
      </c>
      <c r="CG36" s="10" t="s">
        <v>52</v>
      </c>
      <c r="CH36" s="10" t="s">
        <v>51</v>
      </c>
      <c r="CI36" s="10" t="s">
        <v>51</v>
      </c>
      <c r="CJ36" s="10" t="s">
        <v>51</v>
      </c>
      <c r="CK36" s="10" t="s">
        <v>51</v>
      </c>
      <c r="CL36" s="10" t="s">
        <v>51</v>
      </c>
      <c r="CM36" s="10" t="s">
        <v>51</v>
      </c>
      <c r="CN36" s="10" t="s">
        <v>51</v>
      </c>
      <c r="CO36" s="10" t="s">
        <v>51</v>
      </c>
      <c r="CP36" s="10" t="s">
        <v>51</v>
      </c>
      <c r="CQ36" s="10" t="s">
        <v>51</v>
      </c>
      <c r="CR36" s="10" t="s">
        <v>51</v>
      </c>
      <c r="CS36" s="10" t="s">
        <v>51</v>
      </c>
      <c r="CT36" s="10" t="s">
        <v>52</v>
      </c>
      <c r="CU36" s="10" t="s">
        <v>52</v>
      </c>
      <c r="CV36" s="10" t="s">
        <v>52</v>
      </c>
    </row>
    <row r="37" customFormat="false" ht="15" hidden="false" customHeight="false" outlineLevel="0" collapsed="false">
      <c r="A37" s="4" t="s">
        <v>119</v>
      </c>
      <c r="B37" s="4" t="s">
        <v>120</v>
      </c>
      <c r="C37" s="10" t="n">
        <v>22</v>
      </c>
      <c r="D37" s="10" t="n">
        <v>59</v>
      </c>
      <c r="E37" s="10" t="n">
        <v>22</v>
      </c>
      <c r="F37" s="11" t="n">
        <v>22</v>
      </c>
      <c r="G37" s="12" t="n">
        <f aca="false">F37-E37</f>
        <v>0</v>
      </c>
      <c r="H37" s="12" t="n">
        <f aca="false">F37-D37</f>
        <v>-37</v>
      </c>
      <c r="I37" s="10" t="n">
        <v>7</v>
      </c>
      <c r="J37" s="10" t="n">
        <v>22</v>
      </c>
      <c r="K37" s="11" t="n">
        <v>22</v>
      </c>
      <c r="L37" s="12" t="n">
        <f aca="false">K37-J37</f>
        <v>0</v>
      </c>
      <c r="M37" s="12" t="n">
        <f aca="false">K37-I37</f>
        <v>15</v>
      </c>
      <c r="N37" s="10" t="n">
        <v>54</v>
      </c>
      <c r="O37" s="10" t="n">
        <v>20</v>
      </c>
      <c r="P37" s="11" t="n">
        <v>20</v>
      </c>
      <c r="Q37" s="12" t="n">
        <f aca="false">P37-O37</f>
        <v>0</v>
      </c>
      <c r="R37" s="12" t="n">
        <f aca="false">P37-N37</f>
        <v>-34</v>
      </c>
      <c r="S37" s="10" t="n">
        <v>49</v>
      </c>
      <c r="T37" s="10" t="n">
        <v>19</v>
      </c>
      <c r="U37" s="11" t="n">
        <v>19</v>
      </c>
      <c r="V37" s="12" t="n">
        <f aca="false">U37-T37</f>
        <v>0</v>
      </c>
      <c r="W37" s="12" t="n">
        <f aca="false">U37-S37</f>
        <v>-30</v>
      </c>
      <c r="X37" s="10" t="n">
        <v>59</v>
      </c>
      <c r="Y37" s="10" t="n">
        <v>22</v>
      </c>
      <c r="Z37" s="11" t="n">
        <v>22</v>
      </c>
      <c r="AA37" s="12" t="n">
        <f aca="false">Z37-Y37</f>
        <v>0</v>
      </c>
      <c r="AB37" s="12" t="n">
        <f aca="false">Z37-X37</f>
        <v>-37</v>
      </c>
      <c r="AC37" s="10" t="n">
        <v>41</v>
      </c>
      <c r="AD37" s="10" t="n">
        <v>18</v>
      </c>
      <c r="AE37" s="11" t="n">
        <v>18</v>
      </c>
      <c r="AF37" s="12" t="n">
        <f aca="false">AE37-AD37</f>
        <v>0</v>
      </c>
      <c r="AG37" s="12" t="n">
        <f aca="false">AE37-AC37</f>
        <v>-23</v>
      </c>
      <c r="AH37" s="10" t="n">
        <v>0</v>
      </c>
      <c r="AI37" s="10" t="n">
        <v>0</v>
      </c>
      <c r="AJ37" s="11" t="n">
        <v>0</v>
      </c>
      <c r="AK37" s="12" t="n">
        <f aca="false">AJ37-AI37</f>
        <v>0</v>
      </c>
      <c r="AL37" s="12" t="n">
        <f aca="false">AJ37-AH37</f>
        <v>0</v>
      </c>
      <c r="AM37" s="10" t="n">
        <v>59</v>
      </c>
      <c r="AN37" s="10" t="n">
        <v>22</v>
      </c>
      <c r="AO37" s="11" t="n">
        <v>22</v>
      </c>
      <c r="AP37" s="12" t="n">
        <f aca="false">AO37-AN37</f>
        <v>0</v>
      </c>
      <c r="AQ37" s="12" t="n">
        <f aca="false">AO37-AM37</f>
        <v>-37</v>
      </c>
      <c r="AR37" s="10" t="n">
        <v>0</v>
      </c>
      <c r="AS37" s="10" t="n">
        <v>0</v>
      </c>
      <c r="AT37" s="11" t="n">
        <v>0</v>
      </c>
      <c r="AU37" s="12" t="n">
        <f aca="false">AT37-AS37</f>
        <v>0</v>
      </c>
      <c r="AV37" s="12" t="n">
        <f aca="false">AT37-AR37</f>
        <v>0</v>
      </c>
      <c r="AW37" s="10" t="n">
        <v>4</v>
      </c>
      <c r="AX37" s="10" t="n">
        <v>3</v>
      </c>
      <c r="AY37" s="11" t="n">
        <v>3</v>
      </c>
      <c r="AZ37" s="12" t="n">
        <f aca="false">AY37-AX37</f>
        <v>0</v>
      </c>
      <c r="BA37" s="12" t="n">
        <f aca="false">AY37-AW37</f>
        <v>-1</v>
      </c>
      <c r="BB37" s="10" t="n">
        <v>0</v>
      </c>
      <c r="BC37" s="10" t="n">
        <v>0</v>
      </c>
      <c r="BD37" s="11" t="n">
        <v>0</v>
      </c>
      <c r="BE37" s="12" t="n">
        <f aca="false">BD37-BC37</f>
        <v>0</v>
      </c>
      <c r="BF37" s="12" t="n">
        <f aca="false">BD37-BB37</f>
        <v>0</v>
      </c>
      <c r="BG37" s="10" t="n">
        <v>38</v>
      </c>
      <c r="BH37" s="10" t="n">
        <v>14</v>
      </c>
      <c r="BI37" s="11" t="n">
        <v>14</v>
      </c>
      <c r="BJ37" s="12" t="n">
        <f aca="false">BI37-BH37</f>
        <v>0</v>
      </c>
      <c r="BK37" s="12" t="n">
        <f aca="false">BI37-BG37</f>
        <v>-24</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51</v>
      </c>
      <c r="BW37" s="10" t="s">
        <v>51</v>
      </c>
      <c r="BX37" s="10" t="s">
        <v>51</v>
      </c>
      <c r="BY37" s="10" t="s">
        <v>52</v>
      </c>
      <c r="BZ37" s="10" t="s">
        <v>52</v>
      </c>
      <c r="CA37" s="10" t="s">
        <v>52</v>
      </c>
      <c r="CB37" s="10" t="s">
        <v>51</v>
      </c>
      <c r="CC37" s="10" t="s">
        <v>51</v>
      </c>
      <c r="CD37" s="10" t="s">
        <v>51</v>
      </c>
      <c r="CE37" s="10" t="s">
        <v>52</v>
      </c>
      <c r="CF37" s="10" t="s">
        <v>52</v>
      </c>
      <c r="CG37" s="10" t="s">
        <v>52</v>
      </c>
      <c r="CH37" s="10" t="s">
        <v>51</v>
      </c>
      <c r="CI37" s="10" t="s">
        <v>51</v>
      </c>
      <c r="CJ37" s="10" t="s">
        <v>51</v>
      </c>
      <c r="CK37" s="10" t="s">
        <v>51</v>
      </c>
      <c r="CL37" s="10" t="s">
        <v>51</v>
      </c>
      <c r="CM37" s="10" t="s">
        <v>51</v>
      </c>
      <c r="CN37" s="10" t="s">
        <v>51</v>
      </c>
      <c r="CO37" s="10" t="s">
        <v>51</v>
      </c>
      <c r="CP37" s="10" t="s">
        <v>51</v>
      </c>
      <c r="CQ37" s="10" t="s">
        <v>52</v>
      </c>
      <c r="CR37" s="10" t="s">
        <v>52</v>
      </c>
      <c r="CS37" s="10" t="s">
        <v>52</v>
      </c>
      <c r="CT37" s="10" t="s">
        <v>52</v>
      </c>
      <c r="CU37" s="10" t="s">
        <v>52</v>
      </c>
      <c r="CV37" s="10" t="s">
        <v>52</v>
      </c>
    </row>
    <row r="38" customFormat="false" ht="15" hidden="false" customHeight="false" outlineLevel="0" collapsed="false">
      <c r="A38" s="4" t="s">
        <v>121</v>
      </c>
      <c r="B38" s="4" t="s">
        <v>122</v>
      </c>
      <c r="C38" s="10" t="n">
        <v>22</v>
      </c>
      <c r="D38" s="10" t="n">
        <v>70</v>
      </c>
      <c r="E38" s="10" t="n">
        <v>15</v>
      </c>
      <c r="F38" s="11" t="n">
        <v>15</v>
      </c>
      <c r="G38" s="12" t="n">
        <f aca="false">F38-E38</f>
        <v>0</v>
      </c>
      <c r="H38" s="12" t="n">
        <f aca="false">F38-D38</f>
        <v>-55</v>
      </c>
      <c r="I38" s="10" t="n">
        <v>14</v>
      </c>
      <c r="J38" s="10" t="n">
        <v>22</v>
      </c>
      <c r="K38" s="11" t="n">
        <v>22</v>
      </c>
      <c r="L38" s="12" t="n">
        <f aca="false">K38-J38</f>
        <v>0</v>
      </c>
      <c r="M38" s="12" t="n">
        <f aca="false">K38-I38</f>
        <v>8</v>
      </c>
      <c r="N38" s="10" t="n">
        <v>215</v>
      </c>
      <c r="O38" s="10" t="n">
        <v>22</v>
      </c>
      <c r="P38" s="11" t="n">
        <v>22</v>
      </c>
      <c r="Q38" s="12" t="n">
        <f aca="false">P38-O38</f>
        <v>0</v>
      </c>
      <c r="R38" s="12" t="n">
        <f aca="false">P38-N38</f>
        <v>-193</v>
      </c>
      <c r="S38" s="10" t="n">
        <v>50</v>
      </c>
      <c r="T38" s="10" t="n">
        <v>4</v>
      </c>
      <c r="U38" s="11" t="n">
        <v>4</v>
      </c>
      <c r="V38" s="12" t="n">
        <f aca="false">U38-T38</f>
        <v>0</v>
      </c>
      <c r="W38" s="12" t="n">
        <f aca="false">U38-S38</f>
        <v>-46</v>
      </c>
      <c r="X38" s="10" t="n">
        <v>86</v>
      </c>
      <c r="Y38" s="10" t="n">
        <v>14</v>
      </c>
      <c r="Z38" s="11" t="n">
        <v>14</v>
      </c>
      <c r="AA38" s="12" t="n">
        <f aca="false">Z38-Y38</f>
        <v>0</v>
      </c>
      <c r="AB38" s="12" t="n">
        <f aca="false">Z38-X38</f>
        <v>-72</v>
      </c>
      <c r="AC38" s="10" t="n">
        <v>90</v>
      </c>
      <c r="AD38" s="10" t="n">
        <v>4</v>
      </c>
      <c r="AE38" s="11" t="n">
        <v>4</v>
      </c>
      <c r="AF38" s="12" t="n">
        <f aca="false">AE38-AD38</f>
        <v>0</v>
      </c>
      <c r="AG38" s="12" t="n">
        <f aca="false">AE38-AC38</f>
        <v>-86</v>
      </c>
      <c r="AH38" s="10" t="n">
        <v>18</v>
      </c>
      <c r="AI38" s="10" t="n">
        <v>0</v>
      </c>
      <c r="AJ38" s="11" t="n">
        <v>0</v>
      </c>
      <c r="AK38" s="12" t="n">
        <f aca="false">AJ38-AI38</f>
        <v>0</v>
      </c>
      <c r="AL38" s="12" t="n">
        <f aca="false">AJ38-AH38</f>
        <v>-18</v>
      </c>
      <c r="AM38" s="10" t="n">
        <v>215</v>
      </c>
      <c r="AN38" s="10" t="n">
        <v>22</v>
      </c>
      <c r="AO38" s="11" t="n">
        <v>22</v>
      </c>
      <c r="AP38" s="12" t="n">
        <f aca="false">AO38-AN38</f>
        <v>0</v>
      </c>
      <c r="AQ38" s="12" t="n">
        <f aca="false">AO38-AM38</f>
        <v>-193</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0</v>
      </c>
      <c r="BH38" s="10" t="n">
        <v>0</v>
      </c>
      <c r="BI38" s="11" t="n">
        <v>0</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51</v>
      </c>
      <c r="BW38" s="10" t="s">
        <v>51</v>
      </c>
      <c r="BX38" s="10" t="s">
        <v>51</v>
      </c>
      <c r="BY38" s="10" t="s">
        <v>52</v>
      </c>
      <c r="BZ38" s="10" t="s">
        <v>52</v>
      </c>
      <c r="CA38" s="10" t="s">
        <v>52</v>
      </c>
      <c r="CB38" s="10" t="s">
        <v>51</v>
      </c>
      <c r="CC38" s="10" t="s">
        <v>51</v>
      </c>
      <c r="CD38" s="10" t="s">
        <v>51</v>
      </c>
      <c r="CE38" s="10" t="s">
        <v>52</v>
      </c>
      <c r="CF38" s="10" t="s">
        <v>52</v>
      </c>
      <c r="CG38" s="10" t="s">
        <v>52</v>
      </c>
      <c r="CH38" s="10" t="s">
        <v>51</v>
      </c>
      <c r="CI38" s="10" t="s">
        <v>51</v>
      </c>
      <c r="CJ38" s="10" t="s">
        <v>51</v>
      </c>
      <c r="CK38" s="10" t="s">
        <v>51</v>
      </c>
      <c r="CL38" s="10" t="s">
        <v>51</v>
      </c>
      <c r="CM38" s="10" t="s">
        <v>51</v>
      </c>
      <c r="CN38" s="10" t="s">
        <v>51</v>
      </c>
      <c r="CO38" s="10" t="s">
        <v>51</v>
      </c>
      <c r="CP38" s="10" t="s">
        <v>51</v>
      </c>
      <c r="CQ38" s="10" t="s">
        <v>52</v>
      </c>
      <c r="CR38" s="10" t="s">
        <v>52</v>
      </c>
      <c r="CS38" s="10" t="s">
        <v>52</v>
      </c>
      <c r="CT38" s="10" t="s">
        <v>52</v>
      </c>
      <c r="CU38" s="10" t="s">
        <v>52</v>
      </c>
      <c r="CV38" s="10" t="s">
        <v>52</v>
      </c>
    </row>
    <row r="39" customFormat="false" ht="15" hidden="false" customHeight="false" outlineLevel="0" collapsed="false">
      <c r="A39" s="4" t="s">
        <v>123</v>
      </c>
      <c r="B39" s="4" t="s">
        <v>124</v>
      </c>
      <c r="C39" s="10" t="n">
        <v>20</v>
      </c>
      <c r="D39" s="10" t="n">
        <v>74</v>
      </c>
      <c r="E39" s="10" t="n">
        <v>18</v>
      </c>
      <c r="F39" s="11" t="n">
        <v>18</v>
      </c>
      <c r="G39" s="12" t="n">
        <f aca="false">F39-E39</f>
        <v>0</v>
      </c>
      <c r="H39" s="12" t="n">
        <f aca="false">F39-D39</f>
        <v>-56</v>
      </c>
      <c r="I39" s="10" t="n">
        <v>4</v>
      </c>
      <c r="J39" s="10" t="n">
        <v>20</v>
      </c>
      <c r="K39" s="11" t="n">
        <v>20</v>
      </c>
      <c r="L39" s="12" t="n">
        <f aca="false">K39-J39</f>
        <v>0</v>
      </c>
      <c r="M39" s="12" t="n">
        <f aca="false">K39-I39</f>
        <v>16</v>
      </c>
      <c r="N39" s="10" t="n">
        <v>110</v>
      </c>
      <c r="O39" s="10" t="n">
        <v>19</v>
      </c>
      <c r="P39" s="11" t="n">
        <v>19</v>
      </c>
      <c r="Q39" s="12" t="n">
        <f aca="false">P39-O39</f>
        <v>0</v>
      </c>
      <c r="R39" s="12" t="n">
        <f aca="false">P39-N39</f>
        <v>-91</v>
      </c>
      <c r="S39" s="10" t="n">
        <v>81</v>
      </c>
      <c r="T39" s="10" t="n">
        <v>16</v>
      </c>
      <c r="U39" s="11" t="n">
        <v>16</v>
      </c>
      <c r="V39" s="12" t="n">
        <f aca="false">U39-T39</f>
        <v>0</v>
      </c>
      <c r="W39" s="12" t="n">
        <f aca="false">U39-S39</f>
        <v>-65</v>
      </c>
      <c r="X39" s="10" t="n">
        <v>85</v>
      </c>
      <c r="Y39" s="10" t="n">
        <v>17</v>
      </c>
      <c r="Z39" s="11" t="n">
        <v>17</v>
      </c>
      <c r="AA39" s="12" t="n">
        <f aca="false">Z39-Y39</f>
        <v>0</v>
      </c>
      <c r="AB39" s="12" t="n">
        <f aca="false">Z39-X39</f>
        <v>-68</v>
      </c>
      <c r="AC39" s="10" t="n">
        <v>82</v>
      </c>
      <c r="AD39" s="10" t="n">
        <v>17</v>
      </c>
      <c r="AE39" s="11" t="n">
        <v>17</v>
      </c>
      <c r="AF39" s="12" t="n">
        <f aca="false">AE39-AD39</f>
        <v>0</v>
      </c>
      <c r="AG39" s="12" t="n">
        <f aca="false">AE39-AC39</f>
        <v>-65</v>
      </c>
      <c r="AH39" s="10" t="n">
        <v>0</v>
      </c>
      <c r="AI39" s="10" t="n">
        <v>0</v>
      </c>
      <c r="AJ39" s="11" t="n">
        <v>0</v>
      </c>
      <c r="AK39" s="12" t="n">
        <f aca="false">AJ39-AI39</f>
        <v>0</v>
      </c>
      <c r="AL39" s="12" t="n">
        <f aca="false">AJ39-AH39</f>
        <v>0</v>
      </c>
      <c r="AM39" s="10" t="n">
        <v>117</v>
      </c>
      <c r="AN39" s="10" t="n">
        <v>20</v>
      </c>
      <c r="AO39" s="11" t="n">
        <v>20</v>
      </c>
      <c r="AP39" s="12" t="n">
        <f aca="false">AO39-AN39</f>
        <v>0</v>
      </c>
      <c r="AQ39" s="12" t="n">
        <f aca="false">AO39-AM39</f>
        <v>-97</v>
      </c>
      <c r="AR39" s="10" t="n">
        <v>0</v>
      </c>
      <c r="AS39" s="10" t="n">
        <v>12</v>
      </c>
      <c r="AT39" s="11" t="n">
        <v>12</v>
      </c>
      <c r="AU39" s="12" t="n">
        <f aca="false">AT39-AS39</f>
        <v>0</v>
      </c>
      <c r="AV39" s="12" t="n">
        <f aca="false">AT39-AR39</f>
        <v>12</v>
      </c>
      <c r="AW39" s="10" t="n">
        <v>0</v>
      </c>
      <c r="AX39" s="10" t="n">
        <v>1</v>
      </c>
      <c r="AY39" s="11" t="n">
        <v>1</v>
      </c>
      <c r="AZ39" s="12" t="n">
        <f aca="false">AY39-AX39</f>
        <v>0</v>
      </c>
      <c r="BA39" s="12" t="n">
        <f aca="false">AY39-AW39</f>
        <v>1</v>
      </c>
      <c r="BB39" s="10" t="n">
        <v>0</v>
      </c>
      <c r="BC39" s="10" t="n">
        <v>0</v>
      </c>
      <c r="BD39" s="11" t="n">
        <v>0</v>
      </c>
      <c r="BE39" s="12" t="n">
        <f aca="false">BD39-BC39</f>
        <v>0</v>
      </c>
      <c r="BF39" s="12" t="n">
        <f aca="false">BD39-BB39</f>
        <v>0</v>
      </c>
      <c r="BG39" s="10" t="n">
        <v>1</v>
      </c>
      <c r="BH39" s="10" t="n">
        <v>0</v>
      </c>
      <c r="BI39" s="11" t="n">
        <v>0</v>
      </c>
      <c r="BJ39" s="12" t="n">
        <f aca="false">BI39-BH39</f>
        <v>0</v>
      </c>
      <c r="BK39" s="12" t="n">
        <f aca="false">BI39-BG39</f>
        <v>-1</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51</v>
      </c>
      <c r="BW39" s="10" t="s">
        <v>51</v>
      </c>
      <c r="BX39" s="10" t="s">
        <v>51</v>
      </c>
      <c r="BY39" s="10" t="s">
        <v>52</v>
      </c>
      <c r="BZ39" s="10" t="s">
        <v>52</v>
      </c>
      <c r="CA39" s="10" t="s">
        <v>52</v>
      </c>
      <c r="CB39" s="10" t="s">
        <v>51</v>
      </c>
      <c r="CC39" s="10" t="s">
        <v>51</v>
      </c>
      <c r="CD39" s="10" t="s">
        <v>51</v>
      </c>
      <c r="CE39" s="10" t="s">
        <v>52</v>
      </c>
      <c r="CF39" s="10" t="s">
        <v>52</v>
      </c>
      <c r="CG39" s="10" t="s">
        <v>52</v>
      </c>
      <c r="CH39" s="10" t="s">
        <v>51</v>
      </c>
      <c r="CI39" s="10" t="s">
        <v>51</v>
      </c>
      <c r="CJ39" s="10" t="s">
        <v>51</v>
      </c>
      <c r="CK39" s="10" t="s">
        <v>51</v>
      </c>
      <c r="CL39" s="10" t="s">
        <v>51</v>
      </c>
      <c r="CM39" s="10" t="s">
        <v>51</v>
      </c>
      <c r="CN39" s="10" t="s">
        <v>52</v>
      </c>
      <c r="CO39" s="10" t="s">
        <v>52</v>
      </c>
      <c r="CP39" s="10" t="s">
        <v>52</v>
      </c>
      <c r="CQ39" s="10" t="s">
        <v>52</v>
      </c>
      <c r="CR39" s="10" t="s">
        <v>52</v>
      </c>
      <c r="CS39" s="10" t="s">
        <v>52</v>
      </c>
      <c r="CT39" s="10" t="s">
        <v>52</v>
      </c>
      <c r="CU39" s="10" t="s">
        <v>52</v>
      </c>
      <c r="CV39" s="10" t="s">
        <v>52</v>
      </c>
    </row>
    <row r="40" customFormat="false" ht="15" hidden="false" customHeight="false" outlineLevel="0" collapsed="false">
      <c r="A40" s="4" t="s">
        <v>125</v>
      </c>
      <c r="B40" s="4" t="s">
        <v>126</v>
      </c>
      <c r="C40" s="10" t="n">
        <v>18</v>
      </c>
      <c r="D40" s="10" t="n">
        <v>18</v>
      </c>
      <c r="E40" s="10" t="n">
        <v>18</v>
      </c>
      <c r="F40" s="11" t="n">
        <v>18</v>
      </c>
      <c r="G40" s="12" t="n">
        <f aca="false">F40-E40</f>
        <v>0</v>
      </c>
      <c r="H40" s="12" t="n">
        <f aca="false">F40-D40</f>
        <v>0</v>
      </c>
      <c r="I40" s="10" t="n">
        <v>18</v>
      </c>
      <c r="J40" s="10" t="n">
        <v>18</v>
      </c>
      <c r="K40" s="11" t="n">
        <v>18</v>
      </c>
      <c r="L40" s="12" t="n">
        <f aca="false">K40-J40</f>
        <v>0</v>
      </c>
      <c r="M40" s="12" t="n">
        <f aca="false">K40-I40</f>
        <v>0</v>
      </c>
      <c r="N40" s="10" t="n">
        <v>17</v>
      </c>
      <c r="O40" s="10" t="n">
        <v>17</v>
      </c>
      <c r="P40" s="11" t="n">
        <v>17</v>
      </c>
      <c r="Q40" s="12" t="n">
        <f aca="false">P40-O40</f>
        <v>0</v>
      </c>
      <c r="R40" s="12" t="n">
        <f aca="false">P40-N40</f>
        <v>0</v>
      </c>
      <c r="S40" s="10" t="n">
        <v>18</v>
      </c>
      <c r="T40" s="10" t="n">
        <v>18</v>
      </c>
      <c r="U40" s="11" t="n">
        <v>18</v>
      </c>
      <c r="V40" s="12" t="n">
        <f aca="false">U40-T40</f>
        <v>0</v>
      </c>
      <c r="W40" s="12" t="n">
        <f aca="false">U40-S40</f>
        <v>0</v>
      </c>
      <c r="X40" s="10" t="n">
        <v>10</v>
      </c>
      <c r="Y40" s="10" t="n">
        <v>10</v>
      </c>
      <c r="Z40" s="11" t="n">
        <v>10</v>
      </c>
      <c r="AA40" s="12" t="n">
        <f aca="false">Z40-Y40</f>
        <v>0</v>
      </c>
      <c r="AB40" s="12" t="n">
        <f aca="false">Z40-X40</f>
        <v>0</v>
      </c>
      <c r="AC40" s="10" t="n">
        <v>0</v>
      </c>
      <c r="AD40" s="10" t="n">
        <v>0</v>
      </c>
      <c r="AE40" s="11" t="n">
        <v>0</v>
      </c>
      <c r="AF40" s="12" t="n">
        <f aca="false">AE40-AD40</f>
        <v>0</v>
      </c>
      <c r="AG40" s="12" t="n">
        <f aca="false">AE40-AC40</f>
        <v>0</v>
      </c>
      <c r="AH40" s="10" t="n">
        <v>0</v>
      </c>
      <c r="AI40" s="10" t="n">
        <v>0</v>
      </c>
      <c r="AJ40" s="11" t="n">
        <v>0</v>
      </c>
      <c r="AK40" s="12" t="n">
        <f aca="false">AJ40-AI40</f>
        <v>0</v>
      </c>
      <c r="AL40" s="12" t="n">
        <f aca="false">AJ40-AH40</f>
        <v>0</v>
      </c>
      <c r="AM40" s="10" t="n">
        <v>18</v>
      </c>
      <c r="AN40" s="10" t="n">
        <v>18</v>
      </c>
      <c r="AO40" s="11" t="n">
        <v>18</v>
      </c>
      <c r="AP40" s="12" t="n">
        <f aca="false">AO40-AN40</f>
        <v>0</v>
      </c>
      <c r="AQ40" s="12" t="n">
        <f aca="false">AO40-AM40</f>
        <v>0</v>
      </c>
      <c r="AR40" s="10" t="n">
        <v>0</v>
      </c>
      <c r="AS40" s="10" t="n">
        <v>0</v>
      </c>
      <c r="AT40" s="11" t="n">
        <v>0</v>
      </c>
      <c r="AU40" s="12" t="n">
        <f aca="false">AT40-AS40</f>
        <v>0</v>
      </c>
      <c r="AV40" s="12" t="n">
        <f aca="false">AT40-AR40</f>
        <v>0</v>
      </c>
      <c r="AW40" s="10" t="n">
        <v>0</v>
      </c>
      <c r="AX40" s="10" t="n">
        <v>0</v>
      </c>
      <c r="AY40" s="11" t="n">
        <v>0</v>
      </c>
      <c r="AZ40" s="12" t="n">
        <f aca="false">AY40-AX40</f>
        <v>0</v>
      </c>
      <c r="BA40" s="12" t="n">
        <f aca="false">AY40-AW40</f>
        <v>0</v>
      </c>
      <c r="BB40" s="10" t="n">
        <v>0</v>
      </c>
      <c r="BC40" s="10" t="n">
        <v>0</v>
      </c>
      <c r="BD40" s="11" t="n">
        <v>0</v>
      </c>
      <c r="BE40" s="12" t="n">
        <f aca="false">BD40-BC40</f>
        <v>0</v>
      </c>
      <c r="BF40" s="12" t="n">
        <f aca="false">BD40-BB40</f>
        <v>0</v>
      </c>
      <c r="BG40" s="10" t="n">
        <v>17</v>
      </c>
      <c r="BH40" s="10" t="n">
        <v>17</v>
      </c>
      <c r="BI40" s="11" t="n">
        <v>17</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51</v>
      </c>
      <c r="BW40" s="10" t="s">
        <v>51</v>
      </c>
      <c r="BX40" s="10" t="s">
        <v>51</v>
      </c>
      <c r="BY40" s="10" t="s">
        <v>52</v>
      </c>
      <c r="BZ40" s="10" t="s">
        <v>52</v>
      </c>
      <c r="CA40" s="10" t="s">
        <v>52</v>
      </c>
      <c r="CB40" s="10" t="s">
        <v>52</v>
      </c>
      <c r="CC40" s="10" t="s">
        <v>52</v>
      </c>
      <c r="CD40" s="10" t="s">
        <v>52</v>
      </c>
      <c r="CE40" s="10" t="s">
        <v>52</v>
      </c>
      <c r="CF40" s="10" t="s">
        <v>52</v>
      </c>
      <c r="CG40" s="10" t="s">
        <v>52</v>
      </c>
      <c r="CH40" s="10" t="s">
        <v>51</v>
      </c>
      <c r="CI40" s="10" t="s">
        <v>51</v>
      </c>
      <c r="CJ40" s="10" t="s">
        <v>51</v>
      </c>
      <c r="CK40" s="10" t="s">
        <v>51</v>
      </c>
      <c r="CL40" s="10" t="s">
        <v>51</v>
      </c>
      <c r="CM40" s="10" t="s">
        <v>51</v>
      </c>
      <c r="CN40" s="10" t="s">
        <v>51</v>
      </c>
      <c r="CO40" s="10" t="s">
        <v>51</v>
      </c>
      <c r="CP40" s="10" t="s">
        <v>51</v>
      </c>
      <c r="CQ40" s="10" t="s">
        <v>51</v>
      </c>
      <c r="CR40" s="10" t="s">
        <v>51</v>
      </c>
      <c r="CS40" s="10" t="s">
        <v>51</v>
      </c>
      <c r="CT40" s="10" t="s">
        <v>52</v>
      </c>
      <c r="CU40" s="10" t="s">
        <v>52</v>
      </c>
      <c r="CV40" s="10" t="s">
        <v>52</v>
      </c>
    </row>
    <row r="41" customFormat="false" ht="15" hidden="false" customHeight="false" outlineLevel="0" collapsed="false">
      <c r="A41" s="4" t="s">
        <v>127</v>
      </c>
      <c r="B41" s="4" t="s">
        <v>128</v>
      </c>
      <c r="C41" s="10" t="n">
        <v>14</v>
      </c>
      <c r="D41" s="10" t="n">
        <v>1</v>
      </c>
      <c r="E41" s="10" t="n">
        <v>13</v>
      </c>
      <c r="F41" s="11" t="n">
        <v>13</v>
      </c>
      <c r="G41" s="12" t="n">
        <f aca="false">F41-E41</f>
        <v>0</v>
      </c>
      <c r="H41" s="12" t="n">
        <f aca="false">F41-D41</f>
        <v>12</v>
      </c>
      <c r="I41" s="10" t="n">
        <v>2</v>
      </c>
      <c r="J41" s="10" t="n">
        <v>14</v>
      </c>
      <c r="K41" s="11" t="n">
        <v>14</v>
      </c>
      <c r="L41" s="12" t="n">
        <f aca="false">K41-J41</f>
        <v>0</v>
      </c>
      <c r="M41" s="12" t="n">
        <f aca="false">K41-I41</f>
        <v>12</v>
      </c>
      <c r="N41" s="10" t="n">
        <v>2</v>
      </c>
      <c r="O41" s="10" t="n">
        <v>14</v>
      </c>
      <c r="P41" s="11" t="n">
        <v>14</v>
      </c>
      <c r="Q41" s="12" t="n">
        <f aca="false">P41-O41</f>
        <v>0</v>
      </c>
      <c r="R41" s="12" t="n">
        <f aca="false">P41-N41</f>
        <v>12</v>
      </c>
      <c r="S41" s="10" t="n">
        <v>1</v>
      </c>
      <c r="T41" s="10" t="n">
        <v>11</v>
      </c>
      <c r="U41" s="11" t="n">
        <v>11</v>
      </c>
      <c r="V41" s="12" t="n">
        <f aca="false">U41-T41</f>
        <v>0</v>
      </c>
      <c r="W41" s="12" t="n">
        <f aca="false">U41-S41</f>
        <v>10</v>
      </c>
      <c r="X41" s="10" t="n">
        <v>1</v>
      </c>
      <c r="Y41" s="10" t="n">
        <v>13</v>
      </c>
      <c r="Z41" s="11" t="n">
        <v>13</v>
      </c>
      <c r="AA41" s="12" t="n">
        <f aca="false">Z41-Y41</f>
        <v>0</v>
      </c>
      <c r="AB41" s="12" t="n">
        <f aca="false">Z41-X41</f>
        <v>12</v>
      </c>
      <c r="AC41" s="10" t="n">
        <v>0</v>
      </c>
      <c r="AD41" s="10" t="n">
        <v>10</v>
      </c>
      <c r="AE41" s="11" t="n">
        <v>10</v>
      </c>
      <c r="AF41" s="12" t="n">
        <f aca="false">AE41-AD41</f>
        <v>0</v>
      </c>
      <c r="AG41" s="12" t="n">
        <f aca="false">AE41-AC41</f>
        <v>10</v>
      </c>
      <c r="AH41" s="10" t="n">
        <v>0</v>
      </c>
      <c r="AI41" s="10" t="n">
        <v>10</v>
      </c>
      <c r="AJ41" s="11" t="n">
        <v>10</v>
      </c>
      <c r="AK41" s="12" t="n">
        <f aca="false">AJ41-AI41</f>
        <v>0</v>
      </c>
      <c r="AL41" s="12" t="n">
        <f aca="false">AJ41-AH41</f>
        <v>10</v>
      </c>
      <c r="AM41" s="10" t="n">
        <v>2</v>
      </c>
      <c r="AN41" s="10" t="n">
        <v>14</v>
      </c>
      <c r="AO41" s="11" t="n">
        <v>14</v>
      </c>
      <c r="AP41" s="12" t="n">
        <f aca="false">AO41-AN41</f>
        <v>0</v>
      </c>
      <c r="AQ41" s="12" t="n">
        <f aca="false">AO41-AM41</f>
        <v>12</v>
      </c>
      <c r="AR41" s="10" t="n">
        <v>0</v>
      </c>
      <c r="AS41" s="10" t="n">
        <v>7</v>
      </c>
      <c r="AT41" s="11" t="n">
        <v>7</v>
      </c>
      <c r="AU41" s="12" t="n">
        <f aca="false">AT41-AS41</f>
        <v>0</v>
      </c>
      <c r="AV41" s="12" t="n">
        <f aca="false">AT41-AR41</f>
        <v>7</v>
      </c>
      <c r="AW41" s="10" t="n">
        <v>0</v>
      </c>
      <c r="AX41" s="10" t="n">
        <v>1</v>
      </c>
      <c r="AY41" s="11" t="n">
        <v>1</v>
      </c>
      <c r="AZ41" s="12" t="n">
        <f aca="false">AY41-AX41</f>
        <v>0</v>
      </c>
      <c r="BA41" s="12" t="n">
        <f aca="false">AY41-AW41</f>
        <v>1</v>
      </c>
      <c r="BB41" s="10" t="n">
        <v>0</v>
      </c>
      <c r="BC41" s="10" t="n">
        <v>0</v>
      </c>
      <c r="BD41" s="11" t="n">
        <v>0</v>
      </c>
      <c r="BE41" s="12" t="n">
        <f aca="false">BD41-BC41</f>
        <v>0</v>
      </c>
      <c r="BF41" s="12" t="n">
        <f aca="false">BD41-BB41</f>
        <v>0</v>
      </c>
      <c r="BG41" s="10" t="n">
        <v>0</v>
      </c>
      <c r="BH41" s="10" t="n">
        <v>3</v>
      </c>
      <c r="BI41" s="11" t="n">
        <v>3</v>
      </c>
      <c r="BJ41" s="12" t="n">
        <f aca="false">BI41-BH41</f>
        <v>0</v>
      </c>
      <c r="BK41" s="12" t="n">
        <f aca="false">BI41-BG41</f>
        <v>3</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51</v>
      </c>
      <c r="BW41" s="10" t="s">
        <v>51</v>
      </c>
      <c r="BX41" s="10" t="s">
        <v>51</v>
      </c>
      <c r="BY41" s="10" t="s">
        <v>52</v>
      </c>
      <c r="BZ41" s="10" t="s">
        <v>52</v>
      </c>
      <c r="CA41" s="10" t="s">
        <v>52</v>
      </c>
      <c r="CB41" s="10" t="s">
        <v>52</v>
      </c>
      <c r="CC41" s="10" t="s">
        <v>51</v>
      </c>
      <c r="CD41" s="10" t="s">
        <v>51</v>
      </c>
      <c r="CE41" s="10" t="s">
        <v>52</v>
      </c>
      <c r="CF41" s="10" t="s">
        <v>52</v>
      </c>
      <c r="CG41" s="10" t="s">
        <v>52</v>
      </c>
      <c r="CH41" s="10" t="s">
        <v>51</v>
      </c>
      <c r="CI41" s="10" t="s">
        <v>51</v>
      </c>
      <c r="CJ41" s="10" t="s">
        <v>51</v>
      </c>
      <c r="CK41" s="10" t="s">
        <v>51</v>
      </c>
      <c r="CL41" s="10" t="s">
        <v>51</v>
      </c>
      <c r="CM41" s="10" t="s">
        <v>51</v>
      </c>
      <c r="CN41" s="10" t="s">
        <v>51</v>
      </c>
      <c r="CO41" s="10" t="s">
        <v>51</v>
      </c>
      <c r="CP41" s="10" t="s">
        <v>51</v>
      </c>
      <c r="CQ41" s="10" t="s">
        <v>52</v>
      </c>
      <c r="CR41" s="10" t="s">
        <v>52</v>
      </c>
      <c r="CS41" s="10" t="s">
        <v>52</v>
      </c>
      <c r="CT41" s="10" t="s">
        <v>52</v>
      </c>
      <c r="CU41" s="10" t="s">
        <v>52</v>
      </c>
      <c r="CV41" s="10" t="s">
        <v>52</v>
      </c>
    </row>
    <row r="42" customFormat="false" ht="15" hidden="false" customHeight="false" outlineLevel="0" collapsed="false">
      <c r="A42" s="4" t="s">
        <v>129</v>
      </c>
      <c r="B42" s="4" t="s">
        <v>130</v>
      </c>
      <c r="C42" s="10" t="n">
        <v>13</v>
      </c>
      <c r="D42" s="10" t="n">
        <v>12</v>
      </c>
      <c r="E42" s="10" t="n">
        <v>12</v>
      </c>
      <c r="F42" s="11" t="n">
        <v>12</v>
      </c>
      <c r="G42" s="12" t="n">
        <f aca="false">F42-E42</f>
        <v>0</v>
      </c>
      <c r="H42" s="12" t="n">
        <f aca="false">F42-D42</f>
        <v>0</v>
      </c>
      <c r="I42" s="10" t="n">
        <v>13</v>
      </c>
      <c r="J42" s="10" t="n">
        <v>13</v>
      </c>
      <c r="K42" s="11" t="n">
        <v>13</v>
      </c>
      <c r="L42" s="12" t="n">
        <f aca="false">K42-J42</f>
        <v>0</v>
      </c>
      <c r="M42" s="12" t="n">
        <f aca="false">K42-I42</f>
        <v>0</v>
      </c>
      <c r="N42" s="10" t="n">
        <v>13</v>
      </c>
      <c r="O42" s="10" t="n">
        <v>13</v>
      </c>
      <c r="P42" s="11" t="n">
        <v>13</v>
      </c>
      <c r="Q42" s="12" t="n">
        <f aca="false">P42-O42</f>
        <v>0</v>
      </c>
      <c r="R42" s="12" t="n">
        <f aca="false">P42-N42</f>
        <v>0</v>
      </c>
      <c r="S42" s="10" t="n">
        <v>1</v>
      </c>
      <c r="T42" s="10" t="n">
        <v>1</v>
      </c>
      <c r="U42" s="11" t="n">
        <v>1</v>
      </c>
      <c r="V42" s="12" t="n">
        <f aca="false">U42-T42</f>
        <v>0</v>
      </c>
      <c r="W42" s="12" t="n">
        <f aca="false">U42-S42</f>
        <v>0</v>
      </c>
      <c r="X42" s="10" t="n">
        <v>10</v>
      </c>
      <c r="Y42" s="10" t="n">
        <v>9</v>
      </c>
      <c r="Z42" s="11" t="n">
        <v>9</v>
      </c>
      <c r="AA42" s="12" t="n">
        <f aca="false">Z42-Y42</f>
        <v>0</v>
      </c>
      <c r="AB42" s="12" t="n">
        <f aca="false">Z42-X42</f>
        <v>-1</v>
      </c>
      <c r="AC42" s="10" t="n">
        <v>10</v>
      </c>
      <c r="AD42" s="10" t="n">
        <v>9</v>
      </c>
      <c r="AE42" s="11" t="n">
        <v>9</v>
      </c>
      <c r="AF42" s="12" t="n">
        <f aca="false">AE42-AD42</f>
        <v>0</v>
      </c>
      <c r="AG42" s="12" t="n">
        <f aca="false">AE42-AC42</f>
        <v>-1</v>
      </c>
      <c r="AH42" s="10" t="n">
        <v>0</v>
      </c>
      <c r="AI42" s="10" t="n">
        <v>0</v>
      </c>
      <c r="AJ42" s="11" t="n">
        <v>0</v>
      </c>
      <c r="AK42" s="12" t="n">
        <f aca="false">AJ42-AI42</f>
        <v>0</v>
      </c>
      <c r="AL42" s="12" t="n">
        <f aca="false">AJ42-AH42</f>
        <v>0</v>
      </c>
      <c r="AM42" s="10" t="n">
        <v>13</v>
      </c>
      <c r="AN42" s="10" t="n">
        <v>13</v>
      </c>
      <c r="AO42" s="11" t="n">
        <v>13</v>
      </c>
      <c r="AP42" s="12" t="n">
        <f aca="false">AO42-AN42</f>
        <v>0</v>
      </c>
      <c r="AQ42" s="12" t="n">
        <f aca="false">AO42-AM42</f>
        <v>0</v>
      </c>
      <c r="AR42" s="10" t="n">
        <v>0</v>
      </c>
      <c r="AS42" s="10" t="n">
        <v>0</v>
      </c>
      <c r="AT42" s="11" t="n">
        <v>0</v>
      </c>
      <c r="AU42" s="12" t="n">
        <f aca="false">AT42-AS42</f>
        <v>0</v>
      </c>
      <c r="AV42" s="12" t="n">
        <f aca="false">AT42-AR42</f>
        <v>0</v>
      </c>
      <c r="AW42" s="10" t="n">
        <v>2</v>
      </c>
      <c r="AX42" s="10" t="n">
        <v>2</v>
      </c>
      <c r="AY42" s="11" t="n">
        <v>2</v>
      </c>
      <c r="AZ42" s="12" t="n">
        <f aca="false">AY42-AX42</f>
        <v>0</v>
      </c>
      <c r="BA42" s="12" t="n">
        <f aca="false">AY42-AW42</f>
        <v>0</v>
      </c>
      <c r="BB42" s="10" t="n">
        <v>0</v>
      </c>
      <c r="BC42" s="10" t="n">
        <v>0</v>
      </c>
      <c r="BD42" s="11" t="n">
        <v>0</v>
      </c>
      <c r="BE42" s="12" t="n">
        <f aca="false">BD42-BC42</f>
        <v>0</v>
      </c>
      <c r="BF42" s="12" t="n">
        <f aca="false">BD42-BB42</f>
        <v>0</v>
      </c>
      <c r="BG42" s="10" t="n">
        <v>13</v>
      </c>
      <c r="BH42" s="10" t="n">
        <v>13</v>
      </c>
      <c r="BI42" s="11" t="n">
        <v>13</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51</v>
      </c>
      <c r="BW42" s="10" t="s">
        <v>51</v>
      </c>
      <c r="BX42" s="10" t="s">
        <v>51</v>
      </c>
      <c r="BY42" s="10" t="s">
        <v>52</v>
      </c>
      <c r="BZ42" s="10" t="s">
        <v>52</v>
      </c>
      <c r="CA42" s="10" t="s">
        <v>52</v>
      </c>
      <c r="CB42" s="10" t="s">
        <v>51</v>
      </c>
      <c r="CC42" s="10" t="s">
        <v>51</v>
      </c>
      <c r="CD42" s="10" t="s">
        <v>51</v>
      </c>
      <c r="CE42" s="10" t="s">
        <v>52</v>
      </c>
      <c r="CF42" s="10" t="s">
        <v>52</v>
      </c>
      <c r="CG42" s="10" t="s">
        <v>52</v>
      </c>
      <c r="CH42" s="10" t="s">
        <v>51</v>
      </c>
      <c r="CI42" s="10" t="s">
        <v>51</v>
      </c>
      <c r="CJ42" s="10" t="s">
        <v>51</v>
      </c>
      <c r="CK42" s="10" t="s">
        <v>51</v>
      </c>
      <c r="CL42" s="10" t="s">
        <v>51</v>
      </c>
      <c r="CM42" s="10" t="s">
        <v>51</v>
      </c>
      <c r="CN42" s="10" t="s">
        <v>51</v>
      </c>
      <c r="CO42" s="10" t="s">
        <v>51</v>
      </c>
      <c r="CP42" s="10" t="s">
        <v>51</v>
      </c>
      <c r="CQ42" s="10" t="s">
        <v>52</v>
      </c>
      <c r="CR42" s="10" t="s">
        <v>52</v>
      </c>
      <c r="CS42" s="10" t="s">
        <v>52</v>
      </c>
      <c r="CT42" s="10" t="s">
        <v>52</v>
      </c>
      <c r="CU42" s="10" t="s">
        <v>52</v>
      </c>
      <c r="CV42" s="10" t="s">
        <v>52</v>
      </c>
    </row>
    <row r="43" customFormat="false" ht="15" hidden="false" customHeight="false" outlineLevel="0" collapsed="false">
      <c r="A43" s="4" t="s">
        <v>131</v>
      </c>
      <c r="B43" s="4" t="s">
        <v>132</v>
      </c>
      <c r="C43" s="10" t="n">
        <v>12</v>
      </c>
      <c r="D43" s="10" t="n">
        <v>10</v>
      </c>
      <c r="E43" s="10" t="n">
        <v>10</v>
      </c>
      <c r="F43" s="11" t="n">
        <v>10</v>
      </c>
      <c r="G43" s="12" t="n">
        <f aca="false">F43-E43</f>
        <v>0</v>
      </c>
      <c r="H43" s="12" t="n">
        <f aca="false">F43-D43</f>
        <v>0</v>
      </c>
      <c r="I43" s="10" t="n">
        <v>12</v>
      </c>
      <c r="J43" s="10" t="n">
        <v>12</v>
      </c>
      <c r="K43" s="11" t="n">
        <v>12</v>
      </c>
      <c r="L43" s="12" t="n">
        <f aca="false">K43-J43</f>
        <v>0</v>
      </c>
      <c r="M43" s="12" t="n">
        <f aca="false">K43-I43</f>
        <v>0</v>
      </c>
      <c r="N43" s="10" t="n">
        <v>12</v>
      </c>
      <c r="O43" s="10" t="n">
        <v>12</v>
      </c>
      <c r="P43" s="11" t="n">
        <v>12</v>
      </c>
      <c r="Q43" s="12" t="n">
        <f aca="false">P43-O43</f>
        <v>0</v>
      </c>
      <c r="R43" s="12" t="n">
        <f aca="false">P43-N43</f>
        <v>0</v>
      </c>
      <c r="S43" s="10" t="n">
        <v>0</v>
      </c>
      <c r="T43" s="10" t="n">
        <v>0</v>
      </c>
      <c r="U43" s="11" t="n">
        <v>0</v>
      </c>
      <c r="V43" s="12" t="n">
        <f aca="false">U43-T43</f>
        <v>0</v>
      </c>
      <c r="W43" s="12" t="n">
        <f aca="false">U43-S43</f>
        <v>0</v>
      </c>
      <c r="X43" s="10" t="n">
        <v>0</v>
      </c>
      <c r="Y43" s="10" t="n">
        <v>0</v>
      </c>
      <c r="Z43" s="11" t="n">
        <v>0</v>
      </c>
      <c r="AA43" s="12" t="n">
        <f aca="false">Z43-Y43</f>
        <v>0</v>
      </c>
      <c r="AB43" s="12" t="n">
        <f aca="false">Z43-X43</f>
        <v>0</v>
      </c>
      <c r="AC43" s="10" t="n">
        <v>0</v>
      </c>
      <c r="AD43" s="10" t="n">
        <v>0</v>
      </c>
      <c r="AE43" s="11" t="n">
        <v>0</v>
      </c>
      <c r="AF43" s="12" t="n">
        <f aca="false">AE43-AD43</f>
        <v>0</v>
      </c>
      <c r="AG43" s="12" t="n">
        <f aca="false">AE43-AC43</f>
        <v>0</v>
      </c>
      <c r="AH43" s="10" t="n">
        <v>0</v>
      </c>
      <c r="AI43" s="10" t="n">
        <v>0</v>
      </c>
      <c r="AJ43" s="11" t="n">
        <v>0</v>
      </c>
      <c r="AK43" s="12" t="n">
        <f aca="false">AJ43-AI43</f>
        <v>0</v>
      </c>
      <c r="AL43" s="12" t="n">
        <f aca="false">AJ43-AH43</f>
        <v>0</v>
      </c>
      <c r="AM43" s="10" t="n">
        <v>12</v>
      </c>
      <c r="AN43" s="10" t="n">
        <v>12</v>
      </c>
      <c r="AO43" s="11" t="n">
        <v>12</v>
      </c>
      <c r="AP43" s="12" t="n">
        <f aca="false">AO43-AN43</f>
        <v>0</v>
      </c>
      <c r="AQ43" s="12" t="n">
        <f aca="false">AO43-AM43</f>
        <v>0</v>
      </c>
      <c r="AR43" s="10" t="n">
        <v>0</v>
      </c>
      <c r="AS43" s="10" t="n">
        <v>0</v>
      </c>
      <c r="AT43" s="11" t="n">
        <v>0</v>
      </c>
      <c r="AU43" s="12" t="n">
        <f aca="false">AT43-AS43</f>
        <v>0</v>
      </c>
      <c r="AV43" s="12" t="n">
        <f aca="false">AT43-AR43</f>
        <v>0</v>
      </c>
      <c r="AW43" s="10" t="n">
        <v>0</v>
      </c>
      <c r="AX43" s="10" t="n">
        <v>0</v>
      </c>
      <c r="AY43" s="11" t="n">
        <v>0</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51</v>
      </c>
      <c r="BW43" s="10" t="s">
        <v>51</v>
      </c>
      <c r="BX43" s="10" t="s">
        <v>51</v>
      </c>
      <c r="BY43" s="10" t="s">
        <v>52</v>
      </c>
      <c r="BZ43" s="10" t="s">
        <v>52</v>
      </c>
      <c r="CA43" s="10" t="s">
        <v>52</v>
      </c>
      <c r="CB43" s="10" t="s">
        <v>52</v>
      </c>
      <c r="CC43" s="10" t="s">
        <v>52</v>
      </c>
      <c r="CD43" s="10" t="s">
        <v>52</v>
      </c>
      <c r="CE43" s="10" t="s">
        <v>52</v>
      </c>
      <c r="CF43" s="10" t="s">
        <v>52</v>
      </c>
      <c r="CG43" s="10" t="s">
        <v>52</v>
      </c>
      <c r="CH43" s="10" t="s">
        <v>51</v>
      </c>
      <c r="CI43" s="10" t="s">
        <v>51</v>
      </c>
      <c r="CJ43" s="10" t="s">
        <v>51</v>
      </c>
      <c r="CK43" s="10" t="s">
        <v>52</v>
      </c>
      <c r="CL43" s="10" t="s">
        <v>52</v>
      </c>
      <c r="CM43" s="10" t="s">
        <v>52</v>
      </c>
      <c r="CN43" s="10" t="s">
        <v>52</v>
      </c>
      <c r="CO43" s="10" t="s">
        <v>52</v>
      </c>
      <c r="CP43" s="10" t="s">
        <v>52</v>
      </c>
      <c r="CQ43" s="10" t="s">
        <v>52</v>
      </c>
      <c r="CR43" s="10" t="s">
        <v>52</v>
      </c>
      <c r="CS43" s="10" t="s">
        <v>52</v>
      </c>
      <c r="CT43" s="10" t="s">
        <v>52</v>
      </c>
      <c r="CU43" s="10" t="s">
        <v>52</v>
      </c>
      <c r="CV43" s="10" t="s">
        <v>52</v>
      </c>
    </row>
    <row r="44" customFormat="false" ht="15" hidden="false" customHeight="false" outlineLevel="0" collapsed="false">
      <c r="A44" s="4" t="s">
        <v>133</v>
      </c>
      <c r="B44" s="4" t="s">
        <v>134</v>
      </c>
      <c r="C44" s="10" t="n">
        <v>11</v>
      </c>
      <c r="D44" s="10" t="n">
        <v>36</v>
      </c>
      <c r="E44" s="10" t="n">
        <v>11</v>
      </c>
      <c r="F44" s="11" t="n">
        <v>11</v>
      </c>
      <c r="G44" s="12" t="n">
        <f aca="false">F44-E44</f>
        <v>0</v>
      </c>
      <c r="H44" s="12" t="n">
        <f aca="false">F44-D44</f>
        <v>-25</v>
      </c>
      <c r="I44" s="10" t="n">
        <v>4</v>
      </c>
      <c r="J44" s="10" t="n">
        <v>11</v>
      </c>
      <c r="K44" s="11" t="n">
        <v>11</v>
      </c>
      <c r="L44" s="12" t="n">
        <f aca="false">K44-J44</f>
        <v>0</v>
      </c>
      <c r="M44" s="12" t="n">
        <f aca="false">K44-I44</f>
        <v>7</v>
      </c>
      <c r="N44" s="10" t="n">
        <v>29</v>
      </c>
      <c r="O44" s="10" t="n">
        <v>10</v>
      </c>
      <c r="P44" s="11" t="n">
        <v>10</v>
      </c>
      <c r="Q44" s="12" t="n">
        <f aca="false">P44-O44</f>
        <v>0</v>
      </c>
      <c r="R44" s="12" t="n">
        <f aca="false">P44-N44</f>
        <v>-19</v>
      </c>
      <c r="S44" s="10" t="n">
        <v>20</v>
      </c>
      <c r="T44" s="10" t="n">
        <v>7</v>
      </c>
      <c r="U44" s="11" t="n">
        <v>7</v>
      </c>
      <c r="V44" s="12" t="n">
        <f aca="false">U44-T44</f>
        <v>0</v>
      </c>
      <c r="W44" s="12" t="n">
        <f aca="false">U44-S44</f>
        <v>-13</v>
      </c>
      <c r="X44" s="10" t="n">
        <v>34</v>
      </c>
      <c r="Y44" s="10" t="n">
        <v>11</v>
      </c>
      <c r="Z44" s="11" t="n">
        <v>11</v>
      </c>
      <c r="AA44" s="12" t="n">
        <f aca="false">Z44-Y44</f>
        <v>0</v>
      </c>
      <c r="AB44" s="12" t="n">
        <f aca="false">Z44-X44</f>
        <v>-23</v>
      </c>
      <c r="AC44" s="10" t="n">
        <v>32</v>
      </c>
      <c r="AD44" s="10" t="n">
        <v>11</v>
      </c>
      <c r="AE44" s="11" t="n">
        <v>11</v>
      </c>
      <c r="AF44" s="12" t="n">
        <f aca="false">AE44-AD44</f>
        <v>0</v>
      </c>
      <c r="AG44" s="12" t="n">
        <f aca="false">AE44-AC44</f>
        <v>-21</v>
      </c>
      <c r="AH44" s="10" t="n">
        <v>32</v>
      </c>
      <c r="AI44" s="10" t="n">
        <v>11</v>
      </c>
      <c r="AJ44" s="11" t="n">
        <v>11</v>
      </c>
      <c r="AK44" s="12" t="n">
        <f aca="false">AJ44-AI44</f>
        <v>0</v>
      </c>
      <c r="AL44" s="12" t="n">
        <f aca="false">AJ44-AH44</f>
        <v>-21</v>
      </c>
      <c r="AM44" s="10" t="n">
        <v>36</v>
      </c>
      <c r="AN44" s="10" t="n">
        <v>11</v>
      </c>
      <c r="AO44" s="11" t="n">
        <v>11</v>
      </c>
      <c r="AP44" s="12" t="n">
        <f aca="false">AO44-AN44</f>
        <v>0</v>
      </c>
      <c r="AQ44" s="12" t="n">
        <f aca="false">AO44-AM44</f>
        <v>-25</v>
      </c>
      <c r="AR44" s="10" t="n">
        <v>0</v>
      </c>
      <c r="AS44" s="10" t="n">
        <v>0</v>
      </c>
      <c r="AT44" s="11" t="n">
        <v>0</v>
      </c>
      <c r="AU44" s="12" t="n">
        <f aca="false">AT44-AS44</f>
        <v>0</v>
      </c>
      <c r="AV44" s="12" t="n">
        <f aca="false">AT44-AR44</f>
        <v>0</v>
      </c>
      <c r="AW44" s="10" t="n">
        <v>0</v>
      </c>
      <c r="AX44" s="10" t="n">
        <v>9</v>
      </c>
      <c r="AY44" s="11" t="n">
        <v>9</v>
      </c>
      <c r="AZ44" s="12" t="n">
        <f aca="false">AY44-AX44</f>
        <v>0</v>
      </c>
      <c r="BA44" s="12" t="n">
        <f aca="false">AY44-AW44</f>
        <v>9</v>
      </c>
      <c r="BB44" s="10" t="n">
        <v>0</v>
      </c>
      <c r="BC44" s="10" t="n">
        <v>0</v>
      </c>
      <c r="BD44" s="11" t="n">
        <v>0</v>
      </c>
      <c r="BE44" s="12" t="n">
        <f aca="false">BD44-BC44</f>
        <v>0</v>
      </c>
      <c r="BF44" s="12" t="n">
        <f aca="false">BD44-BB44</f>
        <v>0</v>
      </c>
      <c r="BG44" s="10" t="n">
        <v>0</v>
      </c>
      <c r="BH44" s="10" t="n">
        <v>0</v>
      </c>
      <c r="BI44" s="11" t="n">
        <v>0</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51</v>
      </c>
      <c r="BW44" s="10" t="s">
        <v>51</v>
      </c>
      <c r="BX44" s="10" t="s">
        <v>51</v>
      </c>
      <c r="BY44" s="10" t="s">
        <v>52</v>
      </c>
      <c r="BZ44" s="10" t="s">
        <v>52</v>
      </c>
      <c r="CA44" s="10" t="s">
        <v>52</v>
      </c>
      <c r="CB44" s="10" t="s">
        <v>51</v>
      </c>
      <c r="CC44" s="10" t="s">
        <v>51</v>
      </c>
      <c r="CD44" s="10" t="s">
        <v>51</v>
      </c>
      <c r="CE44" s="10" t="s">
        <v>52</v>
      </c>
      <c r="CF44" s="10" t="s">
        <v>52</v>
      </c>
      <c r="CG44" s="10" t="s">
        <v>52</v>
      </c>
      <c r="CH44" s="10" t="s">
        <v>51</v>
      </c>
      <c r="CI44" s="10" t="s">
        <v>51</v>
      </c>
      <c r="CJ44" s="10" t="s">
        <v>51</v>
      </c>
      <c r="CK44" s="10" t="s">
        <v>51</v>
      </c>
      <c r="CL44" s="10" t="s">
        <v>51</v>
      </c>
      <c r="CM44" s="10" t="s">
        <v>51</v>
      </c>
      <c r="CN44" s="10" t="s">
        <v>51</v>
      </c>
      <c r="CO44" s="10" t="s">
        <v>51</v>
      </c>
      <c r="CP44" s="10" t="s">
        <v>51</v>
      </c>
      <c r="CQ44" s="10" t="s">
        <v>52</v>
      </c>
      <c r="CR44" s="10" t="s">
        <v>52</v>
      </c>
      <c r="CS44" s="10" t="s">
        <v>52</v>
      </c>
      <c r="CT44" s="10" t="s">
        <v>52</v>
      </c>
      <c r="CU44" s="10" t="s">
        <v>52</v>
      </c>
      <c r="CV44" s="10" t="s">
        <v>52</v>
      </c>
    </row>
    <row r="45" customFormat="false" ht="15" hidden="false" customHeight="false" outlineLevel="0" collapsed="false">
      <c r="A45" s="4" t="s">
        <v>135</v>
      </c>
      <c r="B45" s="4" t="s">
        <v>136</v>
      </c>
      <c r="C45" s="10" t="n">
        <v>8</v>
      </c>
      <c r="D45" s="10" t="n">
        <v>2</v>
      </c>
      <c r="E45" s="10" t="n">
        <v>6</v>
      </c>
      <c r="F45" s="11" t="n">
        <v>6</v>
      </c>
      <c r="G45" s="12" t="n">
        <f aca="false">F45-E45</f>
        <v>0</v>
      </c>
      <c r="H45" s="12" t="n">
        <f aca="false">F45-D45</f>
        <v>4</v>
      </c>
      <c r="I45" s="10" t="n">
        <v>4</v>
      </c>
      <c r="J45" s="10" t="n">
        <v>8</v>
      </c>
      <c r="K45" s="11" t="n">
        <v>8</v>
      </c>
      <c r="L45" s="12" t="n">
        <f aca="false">K45-J45</f>
        <v>0</v>
      </c>
      <c r="M45" s="12" t="n">
        <f aca="false">K45-I45</f>
        <v>4</v>
      </c>
      <c r="N45" s="10" t="n">
        <v>4</v>
      </c>
      <c r="O45" s="10" t="n">
        <v>8</v>
      </c>
      <c r="P45" s="11" t="n">
        <v>8</v>
      </c>
      <c r="Q45" s="12" t="n">
        <f aca="false">P45-O45</f>
        <v>0</v>
      </c>
      <c r="R45" s="12" t="n">
        <f aca="false">P45-N45</f>
        <v>4</v>
      </c>
      <c r="S45" s="10" t="n">
        <v>2</v>
      </c>
      <c r="T45" s="10" t="n">
        <v>5</v>
      </c>
      <c r="U45" s="11" t="n">
        <v>5</v>
      </c>
      <c r="V45" s="12" t="n">
        <f aca="false">U45-T45</f>
        <v>0</v>
      </c>
      <c r="W45" s="12" t="n">
        <f aca="false">U45-S45</f>
        <v>3</v>
      </c>
      <c r="X45" s="10" t="n">
        <v>1</v>
      </c>
      <c r="Y45" s="10" t="n">
        <v>6</v>
      </c>
      <c r="Z45" s="11" t="n">
        <v>6</v>
      </c>
      <c r="AA45" s="12" t="n">
        <f aca="false">Z45-Y45</f>
        <v>0</v>
      </c>
      <c r="AB45" s="12" t="n">
        <f aca="false">Z45-X45</f>
        <v>5</v>
      </c>
      <c r="AC45" s="10" t="n">
        <v>2</v>
      </c>
      <c r="AD45" s="10" t="n">
        <v>7</v>
      </c>
      <c r="AE45" s="11" t="n">
        <v>7</v>
      </c>
      <c r="AF45" s="12" t="n">
        <f aca="false">AE45-AD45</f>
        <v>0</v>
      </c>
      <c r="AG45" s="12" t="n">
        <f aca="false">AE45-AC45</f>
        <v>5</v>
      </c>
      <c r="AH45" s="10" t="n">
        <v>0</v>
      </c>
      <c r="AI45" s="10" t="n">
        <v>0</v>
      </c>
      <c r="AJ45" s="11" t="n">
        <v>0</v>
      </c>
      <c r="AK45" s="12" t="n">
        <f aca="false">AJ45-AI45</f>
        <v>0</v>
      </c>
      <c r="AL45" s="12" t="n">
        <f aca="false">AJ45-AH45</f>
        <v>0</v>
      </c>
      <c r="AM45" s="10" t="n">
        <v>4</v>
      </c>
      <c r="AN45" s="10" t="n">
        <v>8</v>
      </c>
      <c r="AO45" s="11" t="n">
        <v>8</v>
      </c>
      <c r="AP45" s="12" t="n">
        <f aca="false">AO45-AN45</f>
        <v>0</v>
      </c>
      <c r="AQ45" s="12" t="n">
        <f aca="false">AO45-AM45</f>
        <v>4</v>
      </c>
      <c r="AR45" s="10" t="n">
        <v>0</v>
      </c>
      <c r="AS45" s="10" t="n">
        <v>0</v>
      </c>
      <c r="AT45" s="11" t="n">
        <v>0</v>
      </c>
      <c r="AU45" s="12" t="n">
        <f aca="false">AT45-AS45</f>
        <v>0</v>
      </c>
      <c r="AV45" s="12" t="n">
        <f aca="false">AT45-AR45</f>
        <v>0</v>
      </c>
      <c r="AW45" s="10" t="n">
        <v>2</v>
      </c>
      <c r="AX45" s="10" t="n">
        <v>6</v>
      </c>
      <c r="AY45" s="11" t="n">
        <v>6</v>
      </c>
      <c r="AZ45" s="12" t="n">
        <f aca="false">AY45-AX45</f>
        <v>0</v>
      </c>
      <c r="BA45" s="12" t="n">
        <f aca="false">AY45-AW45</f>
        <v>4</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51</v>
      </c>
      <c r="BW45" s="10" t="s">
        <v>51</v>
      </c>
      <c r="BX45" s="10" t="s">
        <v>51</v>
      </c>
      <c r="BY45" s="10" t="s">
        <v>52</v>
      </c>
      <c r="BZ45" s="10" t="s">
        <v>52</v>
      </c>
      <c r="CA45" s="10" t="s">
        <v>52</v>
      </c>
      <c r="CB45" s="10" t="s">
        <v>51</v>
      </c>
      <c r="CC45" s="10" t="s">
        <v>51</v>
      </c>
      <c r="CD45" s="10" t="s">
        <v>51</v>
      </c>
      <c r="CE45" s="10" t="s">
        <v>52</v>
      </c>
      <c r="CF45" s="10" t="s">
        <v>52</v>
      </c>
      <c r="CG45" s="10" t="s">
        <v>52</v>
      </c>
      <c r="CH45" s="10" t="s">
        <v>51</v>
      </c>
      <c r="CI45" s="10" t="s">
        <v>51</v>
      </c>
      <c r="CJ45" s="10" t="s">
        <v>51</v>
      </c>
      <c r="CK45" s="10" t="s">
        <v>51</v>
      </c>
      <c r="CL45" s="10" t="s">
        <v>51</v>
      </c>
      <c r="CM45" s="10" t="s">
        <v>51</v>
      </c>
      <c r="CN45" s="10" t="s">
        <v>51</v>
      </c>
      <c r="CO45" s="10" t="s">
        <v>51</v>
      </c>
      <c r="CP45" s="10" t="s">
        <v>51</v>
      </c>
      <c r="CQ45" s="10" t="s">
        <v>52</v>
      </c>
      <c r="CR45" s="10" t="s">
        <v>52</v>
      </c>
      <c r="CS45" s="10" t="s">
        <v>52</v>
      </c>
      <c r="CT45" s="10" t="s">
        <v>52</v>
      </c>
      <c r="CU45" s="10" t="s">
        <v>52</v>
      </c>
      <c r="CV45" s="10" t="s">
        <v>52</v>
      </c>
    </row>
    <row r="46" customFormat="false" ht="15" hidden="false" customHeight="false" outlineLevel="0" collapsed="false">
      <c r="A46" s="4" t="s">
        <v>137</v>
      </c>
      <c r="B46" s="4" t="s">
        <v>138</v>
      </c>
      <c r="C46" s="10" t="n">
        <v>5</v>
      </c>
      <c r="D46" s="10" t="n">
        <v>0</v>
      </c>
      <c r="E46" s="10" t="n">
        <v>0</v>
      </c>
      <c r="F46" s="11" t="n">
        <v>0</v>
      </c>
      <c r="G46" s="12" t="n">
        <f aca="false">F46-E46</f>
        <v>0</v>
      </c>
      <c r="H46" s="12" t="n">
        <f aca="false">F46-D46</f>
        <v>0</v>
      </c>
      <c r="I46" s="10" t="n">
        <v>5</v>
      </c>
      <c r="J46" s="10" t="n">
        <v>5</v>
      </c>
      <c r="K46" s="11" t="n">
        <v>5</v>
      </c>
      <c r="L46" s="12" t="n">
        <f aca="false">K46-J46</f>
        <v>0</v>
      </c>
      <c r="M46" s="12" t="n">
        <f aca="false">K46-I46</f>
        <v>0</v>
      </c>
      <c r="N46" s="10" t="n">
        <v>5</v>
      </c>
      <c r="O46" s="10" t="n">
        <v>5</v>
      </c>
      <c r="P46" s="11" t="n">
        <v>5</v>
      </c>
      <c r="Q46" s="12" t="n">
        <f aca="false">P46-O46</f>
        <v>0</v>
      </c>
      <c r="R46" s="12" t="n">
        <f aca="false">P46-N46</f>
        <v>0</v>
      </c>
      <c r="S46" s="10" t="n">
        <v>0</v>
      </c>
      <c r="T46" s="10" t="n">
        <v>0</v>
      </c>
      <c r="U46" s="11" t="n">
        <v>0</v>
      </c>
      <c r="V46" s="12" t="n">
        <f aca="false">U46-T46</f>
        <v>0</v>
      </c>
      <c r="W46" s="12" t="n">
        <f aca="false">U46-S46</f>
        <v>0</v>
      </c>
      <c r="X46" s="10" t="n">
        <v>1</v>
      </c>
      <c r="Y46" s="10" t="n">
        <v>0</v>
      </c>
      <c r="Z46" s="11" t="n">
        <v>0</v>
      </c>
      <c r="AA46" s="12" t="n">
        <f aca="false">Z46-Y46</f>
        <v>0</v>
      </c>
      <c r="AB46" s="12" t="n">
        <f aca="false">Z46-X46</f>
        <v>-1</v>
      </c>
      <c r="AC46" s="10" t="n">
        <v>0</v>
      </c>
      <c r="AD46" s="10" t="n">
        <v>0</v>
      </c>
      <c r="AE46" s="11" t="n">
        <v>0</v>
      </c>
      <c r="AF46" s="12" t="n">
        <f aca="false">AE46-AD46</f>
        <v>0</v>
      </c>
      <c r="AG46" s="12" t="n">
        <f aca="false">AE46-AC46</f>
        <v>0</v>
      </c>
      <c r="AH46" s="10" t="n">
        <v>0</v>
      </c>
      <c r="AI46" s="10" t="n">
        <v>0</v>
      </c>
      <c r="AJ46" s="11" t="n">
        <v>0</v>
      </c>
      <c r="AK46" s="12" t="n">
        <f aca="false">AJ46-AI46</f>
        <v>0</v>
      </c>
      <c r="AL46" s="12" t="n">
        <f aca="false">AJ46-AH46</f>
        <v>0</v>
      </c>
      <c r="AM46" s="10" t="n">
        <v>5</v>
      </c>
      <c r="AN46" s="10" t="n">
        <v>5</v>
      </c>
      <c r="AO46" s="11" t="n">
        <v>5</v>
      </c>
      <c r="AP46" s="12" t="n">
        <f aca="false">AO46-AN46</f>
        <v>0</v>
      </c>
      <c r="AQ46" s="12" t="n">
        <f aca="false">AO46-AM46</f>
        <v>0</v>
      </c>
      <c r="AR46" s="10" t="n">
        <v>0</v>
      </c>
      <c r="AS46" s="10" t="n">
        <v>0</v>
      </c>
      <c r="AT46" s="11" t="n">
        <v>0</v>
      </c>
      <c r="AU46" s="12" t="n">
        <f aca="false">AT46-AS46</f>
        <v>0</v>
      </c>
      <c r="AV46" s="12" t="n">
        <f aca="false">AT46-AR46</f>
        <v>0</v>
      </c>
      <c r="AW46" s="10" t="n">
        <v>0</v>
      </c>
      <c r="AX46" s="10" t="n">
        <v>0</v>
      </c>
      <c r="AY46" s="11" t="n">
        <v>0</v>
      </c>
      <c r="AZ46" s="12" t="n">
        <f aca="false">AY46-AX46</f>
        <v>0</v>
      </c>
      <c r="BA46" s="12" t="n">
        <f aca="false">AY46-AW46</f>
        <v>0</v>
      </c>
      <c r="BB46" s="10" t="n">
        <v>0</v>
      </c>
      <c r="BC46" s="10" t="n">
        <v>0</v>
      </c>
      <c r="BD46" s="11" t="n">
        <v>0</v>
      </c>
      <c r="BE46" s="12" t="n">
        <f aca="false">BD46-BC46</f>
        <v>0</v>
      </c>
      <c r="BF46" s="12" t="n">
        <f aca="false">BD46-BB46</f>
        <v>0</v>
      </c>
      <c r="BG46" s="10" t="n">
        <v>0</v>
      </c>
      <c r="BH46" s="10" t="n">
        <v>0</v>
      </c>
      <c r="BI46" s="11" t="n">
        <v>0</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51</v>
      </c>
      <c r="BW46" s="10" t="s">
        <v>51</v>
      </c>
      <c r="BX46" s="10" t="s">
        <v>51</v>
      </c>
      <c r="BY46" s="10" t="s">
        <v>52</v>
      </c>
      <c r="BZ46" s="10" t="s">
        <v>52</v>
      </c>
      <c r="CA46" s="10" t="s">
        <v>52</v>
      </c>
      <c r="CB46" s="10" t="s">
        <v>52</v>
      </c>
      <c r="CC46" s="10" t="s">
        <v>52</v>
      </c>
      <c r="CD46" s="10" t="s">
        <v>52</v>
      </c>
      <c r="CE46" s="10" t="s">
        <v>52</v>
      </c>
      <c r="CF46" s="10" t="s">
        <v>52</v>
      </c>
      <c r="CG46" s="10" t="s">
        <v>52</v>
      </c>
      <c r="CH46" s="10" t="s">
        <v>51</v>
      </c>
      <c r="CI46" s="10" t="s">
        <v>51</v>
      </c>
      <c r="CJ46" s="10" t="s">
        <v>51</v>
      </c>
      <c r="CK46" s="10" t="s">
        <v>51</v>
      </c>
      <c r="CL46" s="10" t="s">
        <v>51</v>
      </c>
      <c r="CM46" s="10" t="s">
        <v>51</v>
      </c>
      <c r="CN46" s="10" t="s">
        <v>51</v>
      </c>
      <c r="CO46" s="10" t="s">
        <v>51</v>
      </c>
      <c r="CP46" s="10" t="s">
        <v>51</v>
      </c>
      <c r="CQ46" s="10" t="s">
        <v>52</v>
      </c>
      <c r="CR46" s="10" t="s">
        <v>52</v>
      </c>
      <c r="CS46" s="10" t="s">
        <v>52</v>
      </c>
      <c r="CT46" s="10" t="s">
        <v>52</v>
      </c>
      <c r="CU46" s="10" t="s">
        <v>52</v>
      </c>
      <c r="CV46" s="10" t="s">
        <v>52</v>
      </c>
    </row>
    <row r="47" customFormat="false" ht="15" hidden="false" customHeight="false" outlineLevel="0" collapsed="false">
      <c r="A47" s="4" t="s">
        <v>139</v>
      </c>
      <c r="B47" s="4" t="s">
        <v>140</v>
      </c>
      <c r="C47" s="10" t="n">
        <v>4</v>
      </c>
      <c r="D47" s="10" t="n">
        <v>4</v>
      </c>
      <c r="E47" s="10" t="n">
        <v>4</v>
      </c>
      <c r="F47" s="11" t="n">
        <v>4</v>
      </c>
      <c r="G47" s="12" t="n">
        <f aca="false">F47-E47</f>
        <v>0</v>
      </c>
      <c r="H47" s="12" t="n">
        <f aca="false">F47-D47</f>
        <v>0</v>
      </c>
      <c r="I47" s="10" t="n">
        <v>4</v>
      </c>
      <c r="J47" s="10" t="n">
        <v>4</v>
      </c>
      <c r="K47" s="11" t="n">
        <v>4</v>
      </c>
      <c r="L47" s="12" t="n">
        <f aca="false">K47-J47</f>
        <v>0</v>
      </c>
      <c r="M47" s="12" t="n">
        <f aca="false">K47-I47</f>
        <v>0</v>
      </c>
      <c r="N47" s="10" t="n">
        <v>4</v>
      </c>
      <c r="O47" s="10" t="n">
        <v>4</v>
      </c>
      <c r="P47" s="11" t="n">
        <v>4</v>
      </c>
      <c r="Q47" s="12" t="n">
        <f aca="false">P47-O47</f>
        <v>0</v>
      </c>
      <c r="R47" s="12" t="n">
        <f aca="false">P47-N47</f>
        <v>0</v>
      </c>
      <c r="S47" s="10" t="n">
        <v>4</v>
      </c>
      <c r="T47" s="10" t="n">
        <v>4</v>
      </c>
      <c r="U47" s="11" t="n">
        <v>4</v>
      </c>
      <c r="V47" s="12" t="n">
        <f aca="false">U47-T47</f>
        <v>0</v>
      </c>
      <c r="W47" s="12" t="n">
        <f aca="false">U47-S47</f>
        <v>0</v>
      </c>
      <c r="X47" s="10" t="n">
        <v>4</v>
      </c>
      <c r="Y47" s="10" t="n">
        <v>4</v>
      </c>
      <c r="Z47" s="11" t="n">
        <v>4</v>
      </c>
      <c r="AA47" s="12" t="n">
        <f aca="false">Z47-Y47</f>
        <v>0</v>
      </c>
      <c r="AB47" s="12" t="n">
        <f aca="false">Z47-X47</f>
        <v>0</v>
      </c>
      <c r="AC47" s="10" t="n">
        <v>4</v>
      </c>
      <c r="AD47" s="10" t="n">
        <v>4</v>
      </c>
      <c r="AE47" s="11" t="n">
        <v>4</v>
      </c>
      <c r="AF47" s="12" t="n">
        <f aca="false">AE47-AD47</f>
        <v>0</v>
      </c>
      <c r="AG47" s="12" t="n">
        <f aca="false">AE47-AC47</f>
        <v>0</v>
      </c>
      <c r="AH47" s="10" t="n">
        <v>0</v>
      </c>
      <c r="AI47" s="10" t="n">
        <v>0</v>
      </c>
      <c r="AJ47" s="11" t="n">
        <v>0</v>
      </c>
      <c r="AK47" s="12" t="n">
        <f aca="false">AJ47-AI47</f>
        <v>0</v>
      </c>
      <c r="AL47" s="12" t="n">
        <f aca="false">AJ47-AH47</f>
        <v>0</v>
      </c>
      <c r="AM47" s="10" t="n">
        <v>4</v>
      </c>
      <c r="AN47" s="10" t="n">
        <v>4</v>
      </c>
      <c r="AO47" s="11" t="n">
        <v>4</v>
      </c>
      <c r="AP47" s="12" t="n">
        <f aca="false">AO47-AN47</f>
        <v>0</v>
      </c>
      <c r="AQ47" s="12" t="n">
        <f aca="false">AO47-AM47</f>
        <v>0</v>
      </c>
      <c r="AR47" s="10" t="n">
        <v>0</v>
      </c>
      <c r="AS47" s="10" t="n">
        <v>0</v>
      </c>
      <c r="AT47" s="11" t="n">
        <v>0</v>
      </c>
      <c r="AU47" s="12" t="n">
        <f aca="false">AT47-AS47</f>
        <v>0</v>
      </c>
      <c r="AV47" s="12" t="n">
        <f aca="false">AT47-AR47</f>
        <v>0</v>
      </c>
      <c r="AW47" s="10" t="n">
        <v>0</v>
      </c>
      <c r="AX47" s="10" t="n">
        <v>0</v>
      </c>
      <c r="AY47" s="11" t="n">
        <v>0</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51</v>
      </c>
      <c r="BW47" s="10" t="s">
        <v>51</v>
      </c>
      <c r="BX47" s="10" t="s">
        <v>51</v>
      </c>
      <c r="BY47" s="10" t="s">
        <v>52</v>
      </c>
      <c r="BZ47" s="10" t="s">
        <v>52</v>
      </c>
      <c r="CA47" s="10" t="s">
        <v>52</v>
      </c>
      <c r="CB47" s="10" t="s">
        <v>51</v>
      </c>
      <c r="CC47" s="10" t="s">
        <v>51</v>
      </c>
      <c r="CD47" s="10" t="s">
        <v>51</v>
      </c>
      <c r="CE47" s="10" t="s">
        <v>52</v>
      </c>
      <c r="CF47" s="10" t="s">
        <v>52</v>
      </c>
      <c r="CG47" s="10" t="s">
        <v>52</v>
      </c>
      <c r="CH47" s="10" t="s">
        <v>51</v>
      </c>
      <c r="CI47" s="10" t="s">
        <v>51</v>
      </c>
      <c r="CJ47" s="10" t="s">
        <v>51</v>
      </c>
      <c r="CK47" s="10" t="s">
        <v>51</v>
      </c>
      <c r="CL47" s="10" t="s">
        <v>51</v>
      </c>
      <c r="CM47" s="10" t="s">
        <v>51</v>
      </c>
      <c r="CN47" s="10" t="s">
        <v>52</v>
      </c>
      <c r="CO47" s="10" t="s">
        <v>52</v>
      </c>
      <c r="CP47" s="10" t="s">
        <v>52</v>
      </c>
      <c r="CQ47" s="10" t="s">
        <v>52</v>
      </c>
      <c r="CR47" s="10" t="s">
        <v>52</v>
      </c>
      <c r="CS47" s="10" t="s">
        <v>52</v>
      </c>
      <c r="CT47" s="10" t="s">
        <v>52</v>
      </c>
      <c r="CU47" s="10" t="s">
        <v>52</v>
      </c>
      <c r="CV47" s="10" t="s">
        <v>52</v>
      </c>
    </row>
    <row r="48" customFormat="false" ht="15" hidden="false" customHeight="false" outlineLevel="0" collapsed="false">
      <c r="A48" s="4" t="s">
        <v>141</v>
      </c>
      <c r="B48" s="4" t="s">
        <v>142</v>
      </c>
      <c r="C48" s="10" t="n">
        <v>3</v>
      </c>
      <c r="D48" s="10" t="n">
        <v>3</v>
      </c>
      <c r="E48" s="10" t="n">
        <v>3</v>
      </c>
      <c r="F48" s="11" t="n">
        <v>3</v>
      </c>
      <c r="G48" s="12" t="n">
        <f aca="false">F48-E48</f>
        <v>0</v>
      </c>
      <c r="H48" s="12" t="n">
        <f aca="false">F48-D48</f>
        <v>0</v>
      </c>
      <c r="I48" s="10" t="n">
        <v>3</v>
      </c>
      <c r="J48" s="10" t="n">
        <v>3</v>
      </c>
      <c r="K48" s="11" t="n">
        <v>3</v>
      </c>
      <c r="L48" s="12" t="n">
        <f aca="false">K48-J48</f>
        <v>0</v>
      </c>
      <c r="M48" s="12" t="n">
        <f aca="false">K48-I48</f>
        <v>0</v>
      </c>
      <c r="N48" s="10" t="n">
        <v>3</v>
      </c>
      <c r="O48" s="10" t="n">
        <v>3</v>
      </c>
      <c r="P48" s="11" t="n">
        <v>3</v>
      </c>
      <c r="Q48" s="12" t="n">
        <f aca="false">P48-O48</f>
        <v>0</v>
      </c>
      <c r="R48" s="12" t="n">
        <f aca="false">P48-N48</f>
        <v>0</v>
      </c>
      <c r="S48" s="10" t="n">
        <v>3</v>
      </c>
      <c r="T48" s="10" t="n">
        <v>3</v>
      </c>
      <c r="U48" s="11" t="n">
        <v>3</v>
      </c>
      <c r="V48" s="12" t="n">
        <f aca="false">U48-T48</f>
        <v>0</v>
      </c>
      <c r="W48" s="12" t="n">
        <f aca="false">U48-S48</f>
        <v>0</v>
      </c>
      <c r="X48" s="10" t="n">
        <v>3</v>
      </c>
      <c r="Y48" s="10" t="n">
        <v>3</v>
      </c>
      <c r="Z48" s="11" t="n">
        <v>3</v>
      </c>
      <c r="AA48" s="12" t="n">
        <f aca="false">Z48-Y48</f>
        <v>0</v>
      </c>
      <c r="AB48" s="12" t="n">
        <f aca="false">Z48-X48</f>
        <v>0</v>
      </c>
      <c r="AC48" s="10" t="n">
        <v>3</v>
      </c>
      <c r="AD48" s="10" t="n">
        <v>3</v>
      </c>
      <c r="AE48" s="11" t="n">
        <v>3</v>
      </c>
      <c r="AF48" s="12" t="n">
        <f aca="false">AE48-AD48</f>
        <v>0</v>
      </c>
      <c r="AG48" s="12" t="n">
        <f aca="false">AE48-AC48</f>
        <v>0</v>
      </c>
      <c r="AH48" s="10" t="n">
        <v>0</v>
      </c>
      <c r="AI48" s="10" t="n">
        <v>0</v>
      </c>
      <c r="AJ48" s="11" t="n">
        <v>0</v>
      </c>
      <c r="AK48" s="12" t="n">
        <f aca="false">AJ48-AI48</f>
        <v>0</v>
      </c>
      <c r="AL48" s="12" t="n">
        <f aca="false">AJ48-AH48</f>
        <v>0</v>
      </c>
      <c r="AM48" s="10" t="n">
        <v>3</v>
      </c>
      <c r="AN48" s="10" t="n">
        <v>3</v>
      </c>
      <c r="AO48" s="11" t="n">
        <v>3</v>
      </c>
      <c r="AP48" s="12" t="n">
        <f aca="false">AO48-AN48</f>
        <v>0</v>
      </c>
      <c r="AQ48" s="12" t="n">
        <f aca="false">AO48-AM48</f>
        <v>0</v>
      </c>
      <c r="AR48" s="10" t="n">
        <v>2</v>
      </c>
      <c r="AS48" s="10" t="n">
        <v>2</v>
      </c>
      <c r="AT48" s="11" t="n">
        <v>2</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2</v>
      </c>
      <c r="BH48" s="10" t="n">
        <v>2</v>
      </c>
      <c r="BI48" s="11" t="n">
        <v>2</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51</v>
      </c>
      <c r="BW48" s="10" t="s">
        <v>51</v>
      </c>
      <c r="BX48" s="10" t="s">
        <v>51</v>
      </c>
      <c r="BY48" s="10" t="s">
        <v>52</v>
      </c>
      <c r="BZ48" s="10" t="s">
        <v>52</v>
      </c>
      <c r="CA48" s="10" t="s">
        <v>52</v>
      </c>
      <c r="CB48" s="10" t="s">
        <v>51</v>
      </c>
      <c r="CC48" s="10" t="s">
        <v>51</v>
      </c>
      <c r="CD48" s="10" t="s">
        <v>51</v>
      </c>
      <c r="CE48" s="10" t="s">
        <v>52</v>
      </c>
      <c r="CF48" s="10" t="s">
        <v>52</v>
      </c>
      <c r="CG48" s="10" t="s">
        <v>52</v>
      </c>
      <c r="CH48" s="10" t="s">
        <v>51</v>
      </c>
      <c r="CI48" s="10" t="s">
        <v>51</v>
      </c>
      <c r="CJ48" s="10" t="s">
        <v>51</v>
      </c>
      <c r="CK48" s="10" t="s">
        <v>51</v>
      </c>
      <c r="CL48" s="10" t="s">
        <v>51</v>
      </c>
      <c r="CM48" s="10" t="s">
        <v>51</v>
      </c>
      <c r="CN48" s="10" t="s">
        <v>51</v>
      </c>
      <c r="CO48" s="10" t="s">
        <v>51</v>
      </c>
      <c r="CP48" s="10" t="s">
        <v>51</v>
      </c>
      <c r="CQ48" s="10" t="s">
        <v>52</v>
      </c>
      <c r="CR48" s="10" t="s">
        <v>52</v>
      </c>
      <c r="CS48" s="10" t="s">
        <v>52</v>
      </c>
      <c r="CT48" s="10" t="s">
        <v>52</v>
      </c>
      <c r="CU48" s="10" t="s">
        <v>52</v>
      </c>
      <c r="CV48" s="10" t="s">
        <v>52</v>
      </c>
    </row>
    <row r="49" customFormat="false" ht="15" hidden="false" customHeight="false" outlineLevel="0" collapsed="false">
      <c r="A49" s="4" t="s">
        <v>143</v>
      </c>
      <c r="B49" s="4" t="s">
        <v>144</v>
      </c>
      <c r="C49" s="10" t="n">
        <v>2</v>
      </c>
      <c r="D49" s="10" t="n">
        <v>0</v>
      </c>
      <c r="E49" s="10" t="n">
        <v>0</v>
      </c>
      <c r="F49" s="11" t="n">
        <v>0</v>
      </c>
      <c r="G49" s="12" t="n">
        <f aca="false">F49-E49</f>
        <v>0</v>
      </c>
      <c r="H49" s="12" t="n">
        <f aca="false">F49-D49</f>
        <v>0</v>
      </c>
      <c r="I49" s="10" t="n">
        <v>2</v>
      </c>
      <c r="J49" s="10" t="n">
        <v>2</v>
      </c>
      <c r="K49" s="11" t="n">
        <v>2</v>
      </c>
      <c r="L49" s="12" t="n">
        <f aca="false">K49-J49</f>
        <v>0</v>
      </c>
      <c r="M49" s="12" t="n">
        <f aca="false">K49-I49</f>
        <v>0</v>
      </c>
      <c r="N49" s="10" t="n">
        <v>2</v>
      </c>
      <c r="O49" s="10" t="n">
        <v>2</v>
      </c>
      <c r="P49" s="11" t="n">
        <v>2</v>
      </c>
      <c r="Q49" s="12" t="n">
        <f aca="false">P49-O49</f>
        <v>0</v>
      </c>
      <c r="R49" s="12" t="n">
        <f aca="false">P49-N49</f>
        <v>0</v>
      </c>
      <c r="S49" s="10" t="n">
        <v>0</v>
      </c>
      <c r="T49" s="10" t="n">
        <v>0</v>
      </c>
      <c r="U49" s="11" t="n">
        <v>0</v>
      </c>
      <c r="V49" s="12" t="n">
        <f aca="false">U49-T49</f>
        <v>0</v>
      </c>
      <c r="W49" s="12" t="n">
        <f aca="false">U49-S49</f>
        <v>0</v>
      </c>
      <c r="X49" s="10" t="n">
        <v>1</v>
      </c>
      <c r="Y49" s="10" t="n">
        <v>0</v>
      </c>
      <c r="Z49" s="11" t="n">
        <v>0</v>
      </c>
      <c r="AA49" s="12" t="n">
        <f aca="false">Z49-Y49</f>
        <v>0</v>
      </c>
      <c r="AB49" s="12" t="n">
        <f aca="false">Z49-X49</f>
        <v>-1</v>
      </c>
      <c r="AC49" s="10" t="n">
        <v>2</v>
      </c>
      <c r="AD49" s="10" t="n">
        <v>2</v>
      </c>
      <c r="AE49" s="11" t="n">
        <v>2</v>
      </c>
      <c r="AF49" s="12" t="n">
        <f aca="false">AE49-AD49</f>
        <v>0</v>
      </c>
      <c r="AG49" s="12" t="n">
        <f aca="false">AE49-AC49</f>
        <v>0</v>
      </c>
      <c r="AH49" s="10" t="n">
        <v>0</v>
      </c>
      <c r="AI49" s="10" t="n">
        <v>0</v>
      </c>
      <c r="AJ49" s="11" t="n">
        <v>0</v>
      </c>
      <c r="AK49" s="12" t="n">
        <f aca="false">AJ49-AI49</f>
        <v>0</v>
      </c>
      <c r="AL49" s="12" t="n">
        <f aca="false">AJ49-AH49</f>
        <v>0</v>
      </c>
      <c r="AM49" s="10" t="n">
        <v>2</v>
      </c>
      <c r="AN49" s="10" t="n">
        <v>2</v>
      </c>
      <c r="AO49" s="11" t="n">
        <v>2</v>
      </c>
      <c r="AP49" s="12" t="n">
        <f aca="false">AO49-AN49</f>
        <v>0</v>
      </c>
      <c r="AQ49" s="12" t="n">
        <f aca="false">AO49-AM49</f>
        <v>0</v>
      </c>
      <c r="AR49" s="10" t="n">
        <v>0</v>
      </c>
      <c r="AS49" s="10" t="n">
        <v>0</v>
      </c>
      <c r="AT49" s="11" t="n">
        <v>0</v>
      </c>
      <c r="AU49" s="12" t="n">
        <f aca="false">AT49-AS49</f>
        <v>0</v>
      </c>
      <c r="AV49" s="12" t="n">
        <f aca="false">AT49-AR49</f>
        <v>0</v>
      </c>
      <c r="AW49" s="10" t="n">
        <v>0</v>
      </c>
      <c r="AX49" s="10" t="n">
        <v>0</v>
      </c>
      <c r="AY49" s="11" t="n">
        <v>0</v>
      </c>
      <c r="AZ49" s="12" t="n">
        <f aca="false">AY49-AX49</f>
        <v>0</v>
      </c>
      <c r="BA49" s="12" t="n">
        <f aca="false">AY49-AW49</f>
        <v>0</v>
      </c>
      <c r="BB49" s="10" t="n">
        <v>0</v>
      </c>
      <c r="BC49" s="10" t="n">
        <v>0</v>
      </c>
      <c r="BD49" s="11" t="n">
        <v>0</v>
      </c>
      <c r="BE49" s="12" t="n">
        <f aca="false">BD49-BC49</f>
        <v>0</v>
      </c>
      <c r="BF49" s="12" t="n">
        <f aca="false">BD49-BB49</f>
        <v>0</v>
      </c>
      <c r="BG49" s="10" t="n">
        <v>0</v>
      </c>
      <c r="BH49" s="10" t="n">
        <v>2</v>
      </c>
      <c r="BI49" s="11" t="n">
        <v>2</v>
      </c>
      <c r="BJ49" s="12" t="n">
        <f aca="false">BI49-BH49</f>
        <v>0</v>
      </c>
      <c r="BK49" s="12" t="n">
        <f aca="false">BI49-BG49</f>
        <v>2</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51</v>
      </c>
      <c r="BW49" s="10" t="s">
        <v>51</v>
      </c>
      <c r="BX49" s="10" t="s">
        <v>51</v>
      </c>
      <c r="BY49" s="10" t="s">
        <v>51</v>
      </c>
      <c r="BZ49" s="10" t="s">
        <v>51</v>
      </c>
      <c r="CA49" s="10" t="s">
        <v>51</v>
      </c>
      <c r="CB49" s="10" t="s">
        <v>51</v>
      </c>
      <c r="CC49" s="10" t="s">
        <v>51</v>
      </c>
      <c r="CD49" s="10" t="s">
        <v>51</v>
      </c>
      <c r="CE49" s="10" t="s">
        <v>52</v>
      </c>
      <c r="CF49" s="10" t="s">
        <v>52</v>
      </c>
      <c r="CG49" s="10" t="s">
        <v>52</v>
      </c>
      <c r="CH49" s="10" t="s">
        <v>51</v>
      </c>
      <c r="CI49" s="10" t="s">
        <v>51</v>
      </c>
      <c r="CJ49" s="10" t="s">
        <v>51</v>
      </c>
      <c r="CK49" s="10" t="s">
        <v>51</v>
      </c>
      <c r="CL49" s="10" t="s">
        <v>51</v>
      </c>
      <c r="CM49" s="10" t="s">
        <v>51</v>
      </c>
      <c r="CN49" s="10" t="s">
        <v>51</v>
      </c>
      <c r="CO49" s="10" t="s">
        <v>51</v>
      </c>
      <c r="CP49" s="10" t="s">
        <v>51</v>
      </c>
      <c r="CQ49" s="10" t="s">
        <v>52</v>
      </c>
      <c r="CR49" s="10" t="s">
        <v>52</v>
      </c>
      <c r="CS49" s="10" t="s">
        <v>52</v>
      </c>
      <c r="CT49" s="10" t="s">
        <v>52</v>
      </c>
      <c r="CU49" s="10" t="s">
        <v>52</v>
      </c>
      <c r="CV49" s="10" t="s">
        <v>52</v>
      </c>
    </row>
    <row r="50" customFormat="false" ht="15" hidden="false" customHeight="false" outlineLevel="0" collapsed="false">
      <c r="A50" s="4" t="s">
        <v>145</v>
      </c>
      <c r="B50" s="4" t="s">
        <v>146</v>
      </c>
      <c r="C50" s="10" t="n">
        <v>2</v>
      </c>
      <c r="D50" s="10" t="n">
        <v>0</v>
      </c>
      <c r="E50" s="10" t="n">
        <v>2</v>
      </c>
      <c r="F50" s="11" t="n">
        <v>2</v>
      </c>
      <c r="G50" s="12" t="n">
        <f aca="false">F50-E50</f>
        <v>0</v>
      </c>
      <c r="H50" s="12" t="n">
        <f aca="false">F50-D50</f>
        <v>2</v>
      </c>
      <c r="I50" s="10" t="n">
        <v>1</v>
      </c>
      <c r="J50" s="10" t="n">
        <v>2</v>
      </c>
      <c r="K50" s="11" t="n">
        <v>2</v>
      </c>
      <c r="L50" s="12" t="n">
        <f aca="false">K50-J50</f>
        <v>0</v>
      </c>
      <c r="M50" s="12" t="n">
        <f aca="false">K50-I50</f>
        <v>1</v>
      </c>
      <c r="N50" s="10" t="n">
        <v>7</v>
      </c>
      <c r="O50" s="10" t="n">
        <v>2</v>
      </c>
      <c r="P50" s="11" t="n">
        <v>2</v>
      </c>
      <c r="Q50" s="12" t="n">
        <f aca="false">P50-O50</f>
        <v>0</v>
      </c>
      <c r="R50" s="12" t="n">
        <f aca="false">P50-N50</f>
        <v>-5</v>
      </c>
      <c r="S50" s="10" t="n">
        <v>4</v>
      </c>
      <c r="T50" s="10" t="n">
        <v>2</v>
      </c>
      <c r="U50" s="11" t="n">
        <v>2</v>
      </c>
      <c r="V50" s="12" t="n">
        <f aca="false">U50-T50</f>
        <v>0</v>
      </c>
      <c r="W50" s="12" t="n">
        <f aca="false">U50-S50</f>
        <v>-2</v>
      </c>
      <c r="X50" s="10" t="n">
        <v>6</v>
      </c>
      <c r="Y50" s="10" t="n">
        <v>2</v>
      </c>
      <c r="Z50" s="11" t="n">
        <v>2</v>
      </c>
      <c r="AA50" s="12" t="n">
        <f aca="false">Z50-Y50</f>
        <v>0</v>
      </c>
      <c r="AB50" s="12" t="n">
        <f aca="false">Z50-X50</f>
        <v>-4</v>
      </c>
      <c r="AC50" s="10" t="n">
        <v>4</v>
      </c>
      <c r="AD50" s="10" t="n">
        <v>1</v>
      </c>
      <c r="AE50" s="11" t="n">
        <v>1</v>
      </c>
      <c r="AF50" s="12" t="n">
        <f aca="false">AE50-AD50</f>
        <v>0</v>
      </c>
      <c r="AG50" s="12" t="n">
        <f aca="false">AE50-AC50</f>
        <v>-3</v>
      </c>
      <c r="AH50" s="10" t="n">
        <v>0</v>
      </c>
      <c r="AI50" s="10" t="n">
        <v>0</v>
      </c>
      <c r="AJ50" s="11" t="n">
        <v>0</v>
      </c>
      <c r="AK50" s="12" t="n">
        <f aca="false">AJ50-AI50</f>
        <v>0</v>
      </c>
      <c r="AL50" s="12" t="n">
        <f aca="false">AJ50-AH50</f>
        <v>0</v>
      </c>
      <c r="AM50" s="10" t="n">
        <v>7</v>
      </c>
      <c r="AN50" s="10" t="n">
        <v>2</v>
      </c>
      <c r="AO50" s="11" t="n">
        <v>2</v>
      </c>
      <c r="AP50" s="12" t="n">
        <f aca="false">AO50-AN50</f>
        <v>0</v>
      </c>
      <c r="AQ50" s="12" t="n">
        <f aca="false">AO50-AM50</f>
        <v>-5</v>
      </c>
      <c r="AR50" s="10" t="n">
        <v>0</v>
      </c>
      <c r="AS50" s="10" t="n">
        <v>1</v>
      </c>
      <c r="AT50" s="11" t="n">
        <v>1</v>
      </c>
      <c r="AU50" s="12" t="n">
        <f aca="false">AT50-AS50</f>
        <v>0</v>
      </c>
      <c r="AV50" s="12" t="n">
        <f aca="false">AT50-AR50</f>
        <v>1</v>
      </c>
      <c r="AW50" s="10" t="n">
        <v>0</v>
      </c>
      <c r="AX50" s="10" t="n">
        <v>2</v>
      </c>
      <c r="AY50" s="11" t="n">
        <v>2</v>
      </c>
      <c r="AZ50" s="12" t="n">
        <f aca="false">AY50-AX50</f>
        <v>0</v>
      </c>
      <c r="BA50" s="12" t="n">
        <f aca="false">AY50-AW50</f>
        <v>2</v>
      </c>
      <c r="BB50" s="10" t="n">
        <v>0</v>
      </c>
      <c r="BC50" s="10" t="n">
        <v>0</v>
      </c>
      <c r="BD50" s="11" t="n">
        <v>0</v>
      </c>
      <c r="BE50" s="12" t="n">
        <f aca="false">BD50-BC50</f>
        <v>0</v>
      </c>
      <c r="BF50" s="12" t="n">
        <f aca="false">BD50-BB50</f>
        <v>0</v>
      </c>
      <c r="BG50" s="10" t="n">
        <v>0</v>
      </c>
      <c r="BH50" s="10" t="n">
        <v>2</v>
      </c>
      <c r="BI50" s="11" t="n">
        <v>2</v>
      </c>
      <c r="BJ50" s="12" t="n">
        <f aca="false">BI50-BH50</f>
        <v>0</v>
      </c>
      <c r="BK50" s="12" t="n">
        <f aca="false">BI50-BG50</f>
        <v>2</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51</v>
      </c>
      <c r="BW50" s="10" t="s">
        <v>51</v>
      </c>
      <c r="BX50" s="10" t="s">
        <v>51</v>
      </c>
      <c r="BY50" s="10" t="s">
        <v>52</v>
      </c>
      <c r="BZ50" s="10" t="s">
        <v>52</v>
      </c>
      <c r="CA50" s="10" t="s">
        <v>52</v>
      </c>
      <c r="CB50" s="10" t="s">
        <v>51</v>
      </c>
      <c r="CC50" s="10" t="s">
        <v>51</v>
      </c>
      <c r="CD50" s="10" t="s">
        <v>51</v>
      </c>
      <c r="CE50" s="10" t="s">
        <v>52</v>
      </c>
      <c r="CF50" s="10" t="s">
        <v>52</v>
      </c>
      <c r="CG50" s="10" t="s">
        <v>52</v>
      </c>
      <c r="CH50" s="10" t="s">
        <v>51</v>
      </c>
      <c r="CI50" s="10" t="s">
        <v>51</v>
      </c>
      <c r="CJ50" s="10" t="s">
        <v>51</v>
      </c>
      <c r="CK50" s="10" t="s">
        <v>51</v>
      </c>
      <c r="CL50" s="10" t="s">
        <v>51</v>
      </c>
      <c r="CM50" s="10" t="s">
        <v>51</v>
      </c>
      <c r="CN50" s="10" t="s">
        <v>51</v>
      </c>
      <c r="CO50" s="10" t="s">
        <v>51</v>
      </c>
      <c r="CP50" s="10" t="s">
        <v>51</v>
      </c>
      <c r="CQ50" s="10" t="s">
        <v>52</v>
      </c>
      <c r="CR50" s="10" t="s">
        <v>52</v>
      </c>
      <c r="CS50" s="10" t="s">
        <v>52</v>
      </c>
      <c r="CT50" s="10" t="s">
        <v>52</v>
      </c>
      <c r="CU50" s="10" t="s">
        <v>52</v>
      </c>
      <c r="CV50" s="10" t="s">
        <v>52</v>
      </c>
    </row>
    <row r="51" customFormat="false" ht="15" hidden="false" customHeight="false" outlineLevel="0" collapsed="false">
      <c r="A51" s="4" t="s">
        <v>147</v>
      </c>
      <c r="B51" s="4" t="s">
        <v>148</v>
      </c>
      <c r="C51" s="10" t="n">
        <v>2</v>
      </c>
      <c r="D51" s="10" t="n">
        <v>52</v>
      </c>
      <c r="E51" s="10" t="n">
        <v>2</v>
      </c>
      <c r="F51" s="11" t="n">
        <v>2</v>
      </c>
      <c r="G51" s="12" t="n">
        <f aca="false">F51-E51</f>
        <v>0</v>
      </c>
      <c r="H51" s="12" t="n">
        <f aca="false">F51-D51</f>
        <v>-50</v>
      </c>
      <c r="I51" s="10" t="n">
        <v>2</v>
      </c>
      <c r="J51" s="10" t="n">
        <v>2</v>
      </c>
      <c r="K51" s="11" t="n">
        <v>2</v>
      </c>
      <c r="L51" s="12" t="n">
        <f aca="false">K51-J51</f>
        <v>0</v>
      </c>
      <c r="M51" s="12" t="n">
        <f aca="false">K51-I51</f>
        <v>0</v>
      </c>
      <c r="N51" s="10" t="n">
        <v>47</v>
      </c>
      <c r="O51" s="10" t="n">
        <v>2</v>
      </c>
      <c r="P51" s="11" t="n">
        <v>2</v>
      </c>
      <c r="Q51" s="12" t="n">
        <f aca="false">P51-O51</f>
        <v>0</v>
      </c>
      <c r="R51" s="12" t="n">
        <f aca="false">P51-N51</f>
        <v>-45</v>
      </c>
      <c r="S51" s="10" t="n">
        <v>2</v>
      </c>
      <c r="T51" s="10" t="n">
        <v>0</v>
      </c>
      <c r="U51" s="11" t="n">
        <v>0</v>
      </c>
      <c r="V51" s="12" t="n">
        <f aca="false">U51-T51</f>
        <v>0</v>
      </c>
      <c r="W51" s="12" t="n">
        <f aca="false">U51-S51</f>
        <v>-2</v>
      </c>
      <c r="X51" s="10" t="n">
        <v>35</v>
      </c>
      <c r="Y51" s="10" t="n">
        <v>2</v>
      </c>
      <c r="Z51" s="11" t="n">
        <v>2</v>
      </c>
      <c r="AA51" s="12" t="n">
        <f aca="false">Z51-Y51</f>
        <v>0</v>
      </c>
      <c r="AB51" s="12" t="n">
        <f aca="false">Z51-X51</f>
        <v>-33</v>
      </c>
      <c r="AC51" s="10" t="n">
        <v>16</v>
      </c>
      <c r="AD51" s="10" t="n">
        <v>2</v>
      </c>
      <c r="AE51" s="11" t="n">
        <v>2</v>
      </c>
      <c r="AF51" s="12" t="n">
        <f aca="false">AE51-AD51</f>
        <v>0</v>
      </c>
      <c r="AG51" s="12" t="n">
        <f aca="false">AE51-AC51</f>
        <v>-14</v>
      </c>
      <c r="AH51" s="10" t="n">
        <v>16</v>
      </c>
      <c r="AI51" s="10" t="n">
        <v>2</v>
      </c>
      <c r="AJ51" s="11" t="n">
        <v>2</v>
      </c>
      <c r="AK51" s="12" t="n">
        <f aca="false">AJ51-AI51</f>
        <v>0</v>
      </c>
      <c r="AL51" s="12" t="n">
        <f aca="false">AJ51-AH51</f>
        <v>-14</v>
      </c>
      <c r="AM51" s="10" t="n">
        <v>54</v>
      </c>
      <c r="AN51" s="10" t="n">
        <v>2</v>
      </c>
      <c r="AO51" s="11" t="n">
        <v>2</v>
      </c>
      <c r="AP51" s="12" t="n">
        <f aca="false">AO51-AN51</f>
        <v>0</v>
      </c>
      <c r="AQ51" s="12" t="n">
        <f aca="false">AO51-AM51</f>
        <v>-52</v>
      </c>
      <c r="AR51" s="10" t="n">
        <v>0</v>
      </c>
      <c r="AS51" s="10" t="n">
        <v>0</v>
      </c>
      <c r="AT51" s="11" t="n">
        <v>0</v>
      </c>
      <c r="AU51" s="12" t="n">
        <f aca="false">AT51-AS51</f>
        <v>0</v>
      </c>
      <c r="AV51" s="12" t="n">
        <f aca="false">AT51-AR51</f>
        <v>0</v>
      </c>
      <c r="AW51" s="10" t="n">
        <v>6</v>
      </c>
      <c r="AX51" s="10" t="n">
        <v>0</v>
      </c>
      <c r="AY51" s="11" t="n">
        <v>0</v>
      </c>
      <c r="AZ51" s="12" t="n">
        <f aca="false">AY51-AX51</f>
        <v>0</v>
      </c>
      <c r="BA51" s="12" t="n">
        <f aca="false">AY51-AW51</f>
        <v>-6</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51</v>
      </c>
      <c r="BW51" s="10" t="s">
        <v>51</v>
      </c>
      <c r="BX51" s="10" t="s">
        <v>51</v>
      </c>
      <c r="BY51" s="10" t="s">
        <v>51</v>
      </c>
      <c r="BZ51" s="10" t="s">
        <v>51</v>
      </c>
      <c r="CA51" s="10" t="s">
        <v>51</v>
      </c>
      <c r="CB51" s="10" t="s">
        <v>51</v>
      </c>
      <c r="CC51" s="10" t="s">
        <v>51</v>
      </c>
      <c r="CD51" s="10" t="s">
        <v>51</v>
      </c>
      <c r="CE51" s="10" t="s">
        <v>52</v>
      </c>
      <c r="CF51" s="10" t="s">
        <v>52</v>
      </c>
      <c r="CG51" s="10" t="s">
        <v>52</v>
      </c>
      <c r="CH51" s="10" t="s">
        <v>51</v>
      </c>
      <c r="CI51" s="10" t="s">
        <v>51</v>
      </c>
      <c r="CJ51" s="10" t="s">
        <v>51</v>
      </c>
      <c r="CK51" s="10" t="s">
        <v>51</v>
      </c>
      <c r="CL51" s="10" t="s">
        <v>51</v>
      </c>
      <c r="CM51" s="10" t="s">
        <v>51</v>
      </c>
      <c r="CN51" s="10" t="s">
        <v>51</v>
      </c>
      <c r="CO51" s="10" t="s">
        <v>51</v>
      </c>
      <c r="CP51" s="10" t="s">
        <v>51</v>
      </c>
      <c r="CQ51" s="10" t="s">
        <v>51</v>
      </c>
      <c r="CR51" s="10" t="s">
        <v>51</v>
      </c>
      <c r="CS51" s="10" t="s">
        <v>51</v>
      </c>
      <c r="CT51" s="10" t="s">
        <v>52</v>
      </c>
      <c r="CU51" s="10" t="s">
        <v>52</v>
      </c>
      <c r="CV51" s="10" t="s">
        <v>52</v>
      </c>
    </row>
    <row r="52" customFormat="false" ht="15" hidden="false" customHeight="false" outlineLevel="0" collapsed="false">
      <c r="A52" s="4" t="s">
        <v>149</v>
      </c>
      <c r="B52" s="4" t="s">
        <v>150</v>
      </c>
      <c r="C52" s="10" t="n">
        <v>1</v>
      </c>
      <c r="D52" s="10" t="n">
        <v>0</v>
      </c>
      <c r="E52" s="10" t="n">
        <v>0</v>
      </c>
      <c r="F52" s="11" t="n">
        <v>0</v>
      </c>
      <c r="G52" s="12" t="n">
        <f aca="false">F52-E52</f>
        <v>0</v>
      </c>
      <c r="H52" s="12" t="n">
        <f aca="false">F52-D52</f>
        <v>0</v>
      </c>
      <c r="I52" s="10" t="n">
        <v>1</v>
      </c>
      <c r="J52" s="10" t="n">
        <v>1</v>
      </c>
      <c r="K52" s="11" t="n">
        <v>1</v>
      </c>
      <c r="L52" s="12" t="n">
        <f aca="false">K52-J52</f>
        <v>0</v>
      </c>
      <c r="M52" s="12" t="n">
        <f aca="false">K52-I52</f>
        <v>0</v>
      </c>
      <c r="N52" s="10" t="n">
        <v>1</v>
      </c>
      <c r="O52" s="10" t="n">
        <v>1</v>
      </c>
      <c r="P52" s="11" t="n">
        <v>1</v>
      </c>
      <c r="Q52" s="12" t="n">
        <f aca="false">P52-O52</f>
        <v>0</v>
      </c>
      <c r="R52" s="12" t="n">
        <f aca="false">P52-N52</f>
        <v>0</v>
      </c>
      <c r="S52" s="10" t="n">
        <v>0</v>
      </c>
      <c r="T52" s="10" t="n">
        <v>0</v>
      </c>
      <c r="U52" s="11" t="n">
        <v>0</v>
      </c>
      <c r="V52" s="12" t="n">
        <f aca="false">U52-T52</f>
        <v>0</v>
      </c>
      <c r="W52" s="12" t="n">
        <f aca="false">U52-S52</f>
        <v>0</v>
      </c>
      <c r="X52" s="10" t="n">
        <v>0</v>
      </c>
      <c r="Y52" s="10" t="n">
        <v>0</v>
      </c>
      <c r="Z52" s="11" t="n">
        <v>0</v>
      </c>
      <c r="AA52" s="12" t="n">
        <f aca="false">Z52-Y52</f>
        <v>0</v>
      </c>
      <c r="AB52" s="12" t="n">
        <f aca="false">Z52-X52</f>
        <v>0</v>
      </c>
      <c r="AC52" s="10" t="n">
        <v>0</v>
      </c>
      <c r="AD52" s="10" t="n">
        <v>0</v>
      </c>
      <c r="AE52" s="11" t="n">
        <v>1</v>
      </c>
      <c r="AF52" s="12" t="n">
        <f aca="false">AE52-AD52</f>
        <v>1</v>
      </c>
      <c r="AG52" s="12" t="n">
        <f aca="false">AE52-AC52</f>
        <v>1</v>
      </c>
      <c r="AH52" s="10" t="n">
        <v>0</v>
      </c>
      <c r="AI52" s="10" t="n">
        <v>0</v>
      </c>
      <c r="AJ52" s="11" t="n">
        <v>1</v>
      </c>
      <c r="AK52" s="12" t="n">
        <f aca="false">AJ52-AI52</f>
        <v>1</v>
      </c>
      <c r="AL52" s="12" t="n">
        <f aca="false">AJ52-AH52</f>
        <v>1</v>
      </c>
      <c r="AM52" s="10" t="n">
        <v>1</v>
      </c>
      <c r="AN52" s="10" t="n">
        <v>1</v>
      </c>
      <c r="AO52" s="11" t="n">
        <v>1</v>
      </c>
      <c r="AP52" s="12" t="n">
        <f aca="false">AO52-AN52</f>
        <v>0</v>
      </c>
      <c r="AQ52" s="12" t="n">
        <f aca="false">AO52-AM52</f>
        <v>0</v>
      </c>
      <c r="AR52" s="10" t="n">
        <v>0</v>
      </c>
      <c r="AS52" s="10" t="n">
        <v>0</v>
      </c>
      <c r="AT52" s="11" t="n">
        <v>0</v>
      </c>
      <c r="AU52" s="12" t="n">
        <f aca="false">AT52-AS52</f>
        <v>0</v>
      </c>
      <c r="AV52" s="12" t="n">
        <f aca="false">AT52-AR52</f>
        <v>0</v>
      </c>
      <c r="AW52" s="10" t="n">
        <v>0</v>
      </c>
      <c r="AX52" s="10" t="n">
        <v>0</v>
      </c>
      <c r="AY52" s="11" t="n">
        <v>0</v>
      </c>
      <c r="AZ52" s="12" t="n">
        <f aca="false">AY52-AX52</f>
        <v>0</v>
      </c>
      <c r="BA52" s="12" t="n">
        <f aca="false">AY52-AW52</f>
        <v>0</v>
      </c>
      <c r="BB52" s="10" t="n">
        <v>0</v>
      </c>
      <c r="BC52" s="10" t="n">
        <v>0</v>
      </c>
      <c r="BD52" s="11" t="n">
        <v>0</v>
      </c>
      <c r="BE52" s="12" t="n">
        <f aca="false">BD52-BC52</f>
        <v>0</v>
      </c>
      <c r="BF52" s="12" t="n">
        <f aca="false">BD52-BB52</f>
        <v>0</v>
      </c>
      <c r="BG52" s="10" t="n">
        <v>0</v>
      </c>
      <c r="BH52" s="10" t="n">
        <v>0</v>
      </c>
      <c r="BI52" s="11" t="n">
        <v>0</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51</v>
      </c>
      <c r="BW52" s="10" t="s">
        <v>51</v>
      </c>
      <c r="BX52" s="10" t="s">
        <v>51</v>
      </c>
      <c r="BY52" s="10" t="s">
        <v>52</v>
      </c>
      <c r="BZ52" s="10" t="s">
        <v>52</v>
      </c>
      <c r="CA52" s="10" t="s">
        <v>52</v>
      </c>
      <c r="CB52" s="10" t="s">
        <v>52</v>
      </c>
      <c r="CC52" s="10" t="s">
        <v>51</v>
      </c>
      <c r="CD52" s="10" t="s">
        <v>51</v>
      </c>
      <c r="CE52" s="10" t="s">
        <v>52</v>
      </c>
      <c r="CF52" s="10" t="s">
        <v>52</v>
      </c>
      <c r="CG52" s="10" t="s">
        <v>52</v>
      </c>
      <c r="CH52" s="10" t="s">
        <v>51</v>
      </c>
      <c r="CI52" s="10" t="s">
        <v>51</v>
      </c>
      <c r="CJ52" s="10" t="s">
        <v>51</v>
      </c>
      <c r="CK52" s="10" t="s">
        <v>51</v>
      </c>
      <c r="CL52" s="10" t="s">
        <v>51</v>
      </c>
      <c r="CM52" s="10" t="s">
        <v>51</v>
      </c>
      <c r="CN52" s="10" t="s">
        <v>51</v>
      </c>
      <c r="CO52" s="10" t="s">
        <v>51</v>
      </c>
      <c r="CP52" s="10" t="s">
        <v>51</v>
      </c>
      <c r="CQ52" s="10" t="s">
        <v>52</v>
      </c>
      <c r="CR52" s="10" t="s">
        <v>52</v>
      </c>
      <c r="CS52" s="10" t="s">
        <v>52</v>
      </c>
      <c r="CT52" s="10" t="s">
        <v>52</v>
      </c>
      <c r="CU52" s="10" t="s">
        <v>52</v>
      </c>
      <c r="CV52" s="10" t="s">
        <v>52</v>
      </c>
    </row>
    <row r="53" customFormat="false" ht="15" hidden="false" customHeight="false" outlineLevel="0" collapsed="false">
      <c r="A53" s="4" t="s">
        <v>151</v>
      </c>
      <c r="B53" s="4" t="s">
        <v>152</v>
      </c>
      <c r="C53" s="10" t="n">
        <v>1</v>
      </c>
      <c r="D53" s="10" t="n">
        <v>0</v>
      </c>
      <c r="E53" s="10" t="n">
        <v>0</v>
      </c>
      <c r="F53" s="11" t="n">
        <v>0</v>
      </c>
      <c r="G53" s="12" t="n">
        <f aca="false">F53-E53</f>
        <v>0</v>
      </c>
      <c r="H53" s="12" t="n">
        <f aca="false">F53-D53</f>
        <v>0</v>
      </c>
      <c r="I53" s="10" t="n">
        <v>1</v>
      </c>
      <c r="J53" s="10" t="n">
        <v>1</v>
      </c>
      <c r="K53" s="11" t="n">
        <v>1</v>
      </c>
      <c r="L53" s="12" t="n">
        <f aca="false">K53-J53</f>
        <v>0</v>
      </c>
      <c r="M53" s="12" t="n">
        <f aca="false">K53-I53</f>
        <v>0</v>
      </c>
      <c r="N53" s="10" t="n">
        <v>1</v>
      </c>
      <c r="O53" s="10" t="n">
        <v>1</v>
      </c>
      <c r="P53" s="11" t="n">
        <v>1</v>
      </c>
      <c r="Q53" s="12" t="n">
        <f aca="false">P53-O53</f>
        <v>0</v>
      </c>
      <c r="R53" s="12" t="n">
        <f aca="false">P53-N53</f>
        <v>0</v>
      </c>
      <c r="S53" s="10" t="n">
        <v>0</v>
      </c>
      <c r="T53" s="10" t="n">
        <v>0</v>
      </c>
      <c r="U53" s="11" t="n">
        <v>0</v>
      </c>
      <c r="V53" s="12" t="n">
        <f aca="false">U53-T53</f>
        <v>0</v>
      </c>
      <c r="W53" s="12" t="n">
        <f aca="false">U53-S53</f>
        <v>0</v>
      </c>
      <c r="X53" s="10" t="n">
        <v>0</v>
      </c>
      <c r="Y53" s="10" t="n">
        <v>0</v>
      </c>
      <c r="Z53" s="11" t="n">
        <v>0</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1</v>
      </c>
      <c r="AN53" s="10" t="n">
        <v>1</v>
      </c>
      <c r="AO53" s="11" t="n">
        <v>1</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0</v>
      </c>
      <c r="BH53" s="10" t="n">
        <v>0</v>
      </c>
      <c r="BI53" s="11" t="n">
        <v>0</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51</v>
      </c>
      <c r="BW53" s="10" t="s">
        <v>51</v>
      </c>
      <c r="BX53" s="10" t="s">
        <v>51</v>
      </c>
      <c r="BY53" s="10" t="s">
        <v>52</v>
      </c>
      <c r="BZ53" s="10" t="s">
        <v>52</v>
      </c>
      <c r="CA53" s="10" t="s">
        <v>52</v>
      </c>
      <c r="CB53" s="10" t="s">
        <v>52</v>
      </c>
      <c r="CC53" s="10" t="s">
        <v>52</v>
      </c>
      <c r="CD53" s="10" t="s">
        <v>52</v>
      </c>
      <c r="CE53" s="10" t="s">
        <v>52</v>
      </c>
      <c r="CF53" s="10" t="s">
        <v>52</v>
      </c>
      <c r="CG53" s="10" t="s">
        <v>52</v>
      </c>
      <c r="CH53" s="10" t="s">
        <v>51</v>
      </c>
      <c r="CI53" s="10" t="s">
        <v>51</v>
      </c>
      <c r="CJ53" s="10" t="s">
        <v>51</v>
      </c>
      <c r="CK53" s="10" t="s">
        <v>51</v>
      </c>
      <c r="CL53" s="10" t="s">
        <v>51</v>
      </c>
      <c r="CM53" s="10" t="s">
        <v>51</v>
      </c>
      <c r="CN53" s="10" t="s">
        <v>51</v>
      </c>
      <c r="CO53" s="10" t="s">
        <v>51</v>
      </c>
      <c r="CP53" s="10" t="s">
        <v>51</v>
      </c>
      <c r="CQ53" s="10" t="s">
        <v>52</v>
      </c>
      <c r="CR53" s="10" t="s">
        <v>52</v>
      </c>
      <c r="CS53" s="10" t="s">
        <v>52</v>
      </c>
      <c r="CT53" s="10" t="s">
        <v>52</v>
      </c>
      <c r="CU53" s="10" t="s">
        <v>52</v>
      </c>
      <c r="CV53" s="10" t="s">
        <v>52</v>
      </c>
    </row>
    <row r="54" customFormat="false" ht="15" hidden="false" customHeight="false" outlineLevel="0" collapsed="false">
      <c r="A54" s="4" t="s">
        <v>153</v>
      </c>
      <c r="B54" s="4" t="s">
        <v>154</v>
      </c>
      <c r="C54" s="10" t="n">
        <v>1</v>
      </c>
      <c r="D54" s="10" t="n">
        <v>0</v>
      </c>
      <c r="E54" s="10" t="n">
        <v>0</v>
      </c>
      <c r="F54" s="11" t="n">
        <v>0</v>
      </c>
      <c r="G54" s="12" t="n">
        <f aca="false">F54-E54</f>
        <v>0</v>
      </c>
      <c r="H54" s="12" t="n">
        <f aca="false">F54-D54</f>
        <v>0</v>
      </c>
      <c r="I54" s="10" t="n">
        <v>1</v>
      </c>
      <c r="J54" s="10" t="n">
        <v>1</v>
      </c>
      <c r="K54" s="11" t="n">
        <v>1</v>
      </c>
      <c r="L54" s="12" t="n">
        <f aca="false">K54-J54</f>
        <v>0</v>
      </c>
      <c r="M54" s="12" t="n">
        <f aca="false">K54-I54</f>
        <v>0</v>
      </c>
      <c r="N54" s="10" t="n">
        <v>1</v>
      </c>
      <c r="O54" s="10" t="n">
        <v>1</v>
      </c>
      <c r="P54" s="11" t="n">
        <v>1</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1</v>
      </c>
      <c r="AN54" s="10" t="n">
        <v>1</v>
      </c>
      <c r="AO54" s="11" t="n">
        <v>1</v>
      </c>
      <c r="AP54" s="12" t="n">
        <f aca="false">AO54-AN54</f>
        <v>0</v>
      </c>
      <c r="AQ54" s="12" t="n">
        <f aca="false">AO54-AM54</f>
        <v>0</v>
      </c>
      <c r="AR54" s="10" t="n">
        <v>0</v>
      </c>
      <c r="AS54" s="10" t="n">
        <v>1</v>
      </c>
      <c r="AT54" s="11" t="n">
        <v>1</v>
      </c>
      <c r="AU54" s="12" t="n">
        <f aca="false">AT54-AS54</f>
        <v>0</v>
      </c>
      <c r="AV54" s="12" t="n">
        <f aca="false">AT54-AR54</f>
        <v>1</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51</v>
      </c>
      <c r="BW54" s="10" t="s">
        <v>51</v>
      </c>
      <c r="BX54" s="10" t="s">
        <v>51</v>
      </c>
      <c r="BY54" s="10" t="s">
        <v>52</v>
      </c>
      <c r="BZ54" s="10" t="s">
        <v>52</v>
      </c>
      <c r="CA54" s="10" t="s">
        <v>52</v>
      </c>
      <c r="CB54" s="10" t="s">
        <v>52</v>
      </c>
      <c r="CC54" s="10" t="s">
        <v>52</v>
      </c>
      <c r="CD54" s="10" t="s">
        <v>52</v>
      </c>
      <c r="CE54" s="10" t="s">
        <v>52</v>
      </c>
      <c r="CF54" s="10" t="s">
        <v>52</v>
      </c>
      <c r="CG54" s="10" t="s">
        <v>52</v>
      </c>
      <c r="CH54" s="10" t="s">
        <v>51</v>
      </c>
      <c r="CI54" s="10" t="s">
        <v>51</v>
      </c>
      <c r="CJ54" s="10" t="s">
        <v>51</v>
      </c>
      <c r="CK54" s="10" t="s">
        <v>51</v>
      </c>
      <c r="CL54" s="10" t="s">
        <v>51</v>
      </c>
      <c r="CM54" s="10" t="s">
        <v>51</v>
      </c>
      <c r="CN54" s="10" t="s">
        <v>51</v>
      </c>
      <c r="CO54" s="10" t="s">
        <v>51</v>
      </c>
      <c r="CP54" s="10" t="s">
        <v>51</v>
      </c>
      <c r="CQ54" s="10" t="s">
        <v>52</v>
      </c>
      <c r="CR54" s="10" t="s">
        <v>52</v>
      </c>
      <c r="CS54" s="10" t="s">
        <v>52</v>
      </c>
      <c r="CT54" s="10" t="s">
        <v>52</v>
      </c>
      <c r="CU54" s="10" t="s">
        <v>52</v>
      </c>
      <c r="CV54" s="10" t="s">
        <v>52</v>
      </c>
    </row>
  </sheetData>
  <autoFilter ref="A2:CV54"/>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38</v>
      </c>
      <c r="B1" s="3" t="s">
        <v>37</v>
      </c>
      <c r="C1" s="3" t="s">
        <v>48</v>
      </c>
      <c r="D1" s="3" t="s">
        <v>13</v>
      </c>
      <c r="E1" s="3" t="s">
        <v>12</v>
      </c>
      <c r="F1" s="3" t="s">
        <v>15</v>
      </c>
      <c r="G1" s="3" t="s">
        <v>16</v>
      </c>
      <c r="H1" s="3" t="s">
        <v>17</v>
      </c>
      <c r="I1" s="3" t="s">
        <v>18</v>
      </c>
      <c r="J1" s="3" t="s">
        <v>19</v>
      </c>
    </row>
    <row r="2" customFormat="false" ht="15" hidden="false" customHeight="false" outlineLevel="0" collapsed="false">
      <c r="A2" s="13" t="s">
        <v>49</v>
      </c>
      <c r="B2" s="13" t="s">
        <v>50</v>
      </c>
      <c r="C2" s="13" t="n">
        <v>575</v>
      </c>
      <c r="D2" s="13" t="s">
        <v>23</v>
      </c>
      <c r="E2" s="13" t="s">
        <v>22</v>
      </c>
      <c r="F2" s="13" t="n">
        <v>342</v>
      </c>
      <c r="G2" s="13" t="n">
        <v>343</v>
      </c>
      <c r="H2" s="13" t="n">
        <v>343</v>
      </c>
      <c r="I2" s="13" t="n">
        <f aca="false">H2-G2</f>
        <v>0</v>
      </c>
      <c r="J2" s="13" t="n">
        <f aca="false">H2-F2</f>
        <v>1</v>
      </c>
    </row>
    <row r="3" customFormat="false" ht="15" hidden="false" customHeight="false" outlineLevel="0" collapsed="false">
      <c r="A3" s="13" t="s">
        <v>49</v>
      </c>
      <c r="B3" s="13" t="s">
        <v>50</v>
      </c>
      <c r="C3" s="13" t="n">
        <v>575</v>
      </c>
      <c r="D3" s="13" t="s">
        <v>23</v>
      </c>
      <c r="E3" s="13" t="s">
        <v>24</v>
      </c>
      <c r="F3" s="13" t="n">
        <v>575</v>
      </c>
      <c r="G3" s="13" t="n">
        <v>575</v>
      </c>
      <c r="H3" s="13" t="n">
        <v>575</v>
      </c>
      <c r="I3" s="13" t="n">
        <f aca="false">H3-G3</f>
        <v>0</v>
      </c>
      <c r="J3" s="13" t="n">
        <f aca="false">H3-F3</f>
        <v>0</v>
      </c>
    </row>
    <row r="4" customFormat="false" ht="15" hidden="false" customHeight="false" outlineLevel="0" collapsed="false">
      <c r="A4" s="13" t="s">
        <v>49</v>
      </c>
      <c r="B4" s="13" t="s">
        <v>50</v>
      </c>
      <c r="C4" s="13" t="n">
        <v>575</v>
      </c>
      <c r="D4" s="13" t="s">
        <v>23</v>
      </c>
      <c r="E4" s="13" t="s">
        <v>25</v>
      </c>
      <c r="F4" s="13" t="n">
        <v>569</v>
      </c>
      <c r="G4" s="13" t="n">
        <v>570</v>
      </c>
      <c r="H4" s="13" t="n">
        <v>570</v>
      </c>
      <c r="I4" s="13" t="n">
        <f aca="false">H4-G4</f>
        <v>0</v>
      </c>
      <c r="J4" s="13" t="n">
        <f aca="false">H4-F4</f>
        <v>1</v>
      </c>
    </row>
    <row r="5" customFormat="false" ht="15" hidden="false" customHeight="false" outlineLevel="0" collapsed="false">
      <c r="A5" s="13" t="s">
        <v>49</v>
      </c>
      <c r="B5" s="13" t="s">
        <v>50</v>
      </c>
      <c r="C5" s="13" t="n">
        <v>575</v>
      </c>
      <c r="D5" s="13" t="s">
        <v>23</v>
      </c>
      <c r="E5" s="13" t="s">
        <v>26</v>
      </c>
      <c r="F5" s="13" t="n">
        <v>270</v>
      </c>
      <c r="G5" s="13" t="n">
        <v>189</v>
      </c>
      <c r="H5" s="13" t="n">
        <v>189</v>
      </c>
      <c r="I5" s="13" t="n">
        <f aca="false">H5-G5</f>
        <v>0</v>
      </c>
      <c r="J5" s="13" t="n">
        <f aca="false">H5-F5</f>
        <v>-81</v>
      </c>
    </row>
    <row r="6" customFormat="false" ht="15" hidden="false" customHeight="false" outlineLevel="0" collapsed="false">
      <c r="A6" s="13" t="s">
        <v>49</v>
      </c>
      <c r="B6" s="13" t="s">
        <v>50</v>
      </c>
      <c r="C6" s="13" t="n">
        <v>575</v>
      </c>
      <c r="D6" s="13" t="s">
        <v>23</v>
      </c>
      <c r="E6" s="13" t="s">
        <v>27</v>
      </c>
      <c r="F6" s="13" t="n">
        <v>441</v>
      </c>
      <c r="G6" s="13" t="n">
        <v>316</v>
      </c>
      <c r="H6" s="13" t="n">
        <v>316</v>
      </c>
      <c r="I6" s="13" t="n">
        <f aca="false">H6-G6</f>
        <v>0</v>
      </c>
      <c r="J6" s="13" t="n">
        <f aca="false">H6-F6</f>
        <v>-125</v>
      </c>
    </row>
    <row r="7" customFormat="false" ht="15" hidden="false" customHeight="false" outlineLevel="0" collapsed="false">
      <c r="A7" s="13" t="s">
        <v>49</v>
      </c>
      <c r="B7" s="13" t="s">
        <v>50</v>
      </c>
      <c r="C7" s="13" t="n">
        <v>575</v>
      </c>
      <c r="D7" s="13" t="s">
        <v>23</v>
      </c>
      <c r="E7" s="13" t="s">
        <v>28</v>
      </c>
      <c r="F7" s="13" t="n">
        <v>465</v>
      </c>
      <c r="G7" s="13" t="n">
        <v>314</v>
      </c>
      <c r="H7" s="13" t="n">
        <v>314</v>
      </c>
      <c r="I7" s="13" t="n">
        <f aca="false">H7-G7</f>
        <v>0</v>
      </c>
      <c r="J7" s="13" t="n">
        <f aca="false">H7-F7</f>
        <v>-151</v>
      </c>
    </row>
    <row r="8" customFormat="false" ht="15" hidden="false" customHeight="false" outlineLevel="0" collapsed="false">
      <c r="A8" s="13" t="s">
        <v>49</v>
      </c>
      <c r="B8" s="13" t="s">
        <v>50</v>
      </c>
      <c r="C8" s="13" t="n">
        <v>575</v>
      </c>
      <c r="D8" s="13" t="s">
        <v>23</v>
      </c>
      <c r="E8" s="13" t="s">
        <v>29</v>
      </c>
      <c r="F8" s="13" t="n">
        <v>465</v>
      </c>
      <c r="G8" s="13" t="n">
        <v>314</v>
      </c>
      <c r="H8" s="13" t="n">
        <v>314</v>
      </c>
      <c r="I8" s="13" t="n">
        <f aca="false">H8-G8</f>
        <v>0</v>
      </c>
      <c r="J8" s="13" t="n">
        <f aca="false">H8-F8</f>
        <v>-151</v>
      </c>
    </row>
    <row r="9" customFormat="false" ht="15" hidden="false" customHeight="false" outlineLevel="0" collapsed="false">
      <c r="A9" s="13" t="s">
        <v>49</v>
      </c>
      <c r="B9" s="13" t="s">
        <v>50</v>
      </c>
      <c r="C9" s="13" t="n">
        <v>575</v>
      </c>
      <c r="D9" s="13" t="s">
        <v>23</v>
      </c>
      <c r="E9" s="13" t="s">
        <v>30</v>
      </c>
      <c r="F9" s="13" t="n">
        <v>575</v>
      </c>
      <c r="G9" s="13" t="n">
        <v>575</v>
      </c>
      <c r="H9" s="13" t="n">
        <v>575</v>
      </c>
      <c r="I9" s="13" t="n">
        <f aca="false">H9-G9</f>
        <v>0</v>
      </c>
      <c r="J9" s="13" t="n">
        <f aca="false">H9-F9</f>
        <v>0</v>
      </c>
    </row>
    <row r="10" customFormat="false" ht="15" hidden="false" customHeight="false" outlineLevel="0" collapsed="false">
      <c r="A10" s="13" t="s">
        <v>49</v>
      </c>
      <c r="B10" s="13" t="s">
        <v>50</v>
      </c>
      <c r="C10" s="13" t="n">
        <v>575</v>
      </c>
      <c r="D10" s="13" t="s">
        <v>23</v>
      </c>
      <c r="E10" s="13" t="s">
        <v>31</v>
      </c>
      <c r="F10" s="13" t="n">
        <v>275</v>
      </c>
      <c r="G10" s="13" t="n">
        <v>275</v>
      </c>
      <c r="H10" s="13" t="n">
        <v>275</v>
      </c>
      <c r="I10" s="13" t="n">
        <f aca="false">H10-G10</f>
        <v>0</v>
      </c>
      <c r="J10" s="13" t="n">
        <f aca="false">H10-F10</f>
        <v>0</v>
      </c>
    </row>
    <row r="11" customFormat="false" ht="15" hidden="false" customHeight="false" outlineLevel="0" collapsed="false">
      <c r="A11" s="13" t="s">
        <v>49</v>
      </c>
      <c r="B11" s="13" t="s">
        <v>50</v>
      </c>
      <c r="C11" s="13" t="n">
        <v>575</v>
      </c>
      <c r="D11" s="13" t="s">
        <v>23</v>
      </c>
      <c r="E11" s="13" t="s">
        <v>32</v>
      </c>
      <c r="F11" s="13" t="n">
        <v>250</v>
      </c>
      <c r="G11" s="13" t="n">
        <v>252</v>
      </c>
      <c r="H11" s="13" t="n">
        <v>252</v>
      </c>
      <c r="I11" s="13" t="n">
        <f aca="false">H11-G11</f>
        <v>0</v>
      </c>
      <c r="J11" s="13" t="n">
        <f aca="false">H11-F11</f>
        <v>2</v>
      </c>
    </row>
    <row r="12" customFormat="false" ht="15" hidden="false" customHeight="false" outlineLevel="0" collapsed="false">
      <c r="A12" s="13" t="s">
        <v>49</v>
      </c>
      <c r="B12" s="13" t="s">
        <v>50</v>
      </c>
      <c r="C12" s="13" t="n">
        <v>575</v>
      </c>
      <c r="D12" s="13" t="s">
        <v>23</v>
      </c>
      <c r="E12" s="13" t="s">
        <v>33</v>
      </c>
      <c r="F12" s="13" t="n">
        <v>0</v>
      </c>
      <c r="G12" s="13" t="n">
        <v>0</v>
      </c>
      <c r="H12" s="13" t="n">
        <v>0</v>
      </c>
      <c r="I12" s="13" t="n">
        <f aca="false">H12-G12</f>
        <v>0</v>
      </c>
      <c r="J12" s="13" t="n">
        <f aca="false">H12-F12</f>
        <v>0</v>
      </c>
    </row>
    <row r="13" customFormat="false" ht="15" hidden="false" customHeight="false" outlineLevel="0" collapsed="false">
      <c r="A13" s="13" t="s">
        <v>49</v>
      </c>
      <c r="B13" s="13" t="s">
        <v>50</v>
      </c>
      <c r="C13" s="13" t="n">
        <v>575</v>
      </c>
      <c r="D13" s="13" t="s">
        <v>23</v>
      </c>
      <c r="E13" s="13" t="s">
        <v>34</v>
      </c>
      <c r="F13" s="13" t="n">
        <v>539</v>
      </c>
      <c r="G13" s="13" t="n">
        <v>539</v>
      </c>
      <c r="H13" s="13" t="n">
        <v>539</v>
      </c>
      <c r="I13" s="13" t="n">
        <f aca="false">H13-G13</f>
        <v>0</v>
      </c>
      <c r="J13" s="13" t="n">
        <f aca="false">H13-F13</f>
        <v>0</v>
      </c>
    </row>
    <row r="14" customFormat="false" ht="15" hidden="false" customHeight="false" outlineLevel="0" collapsed="false">
      <c r="A14" s="13" t="s">
        <v>49</v>
      </c>
      <c r="B14" s="13" t="s">
        <v>50</v>
      </c>
      <c r="C14" s="13" t="n">
        <v>575</v>
      </c>
      <c r="D14" s="13" t="s">
        <v>23</v>
      </c>
      <c r="E14" s="13" t="s">
        <v>35</v>
      </c>
      <c r="F14" s="13" t="n">
        <v>0</v>
      </c>
      <c r="G14" s="13" t="n">
        <v>0</v>
      </c>
      <c r="H14" s="13" t="n">
        <v>0</v>
      </c>
      <c r="I14" s="13" t="n">
        <f aca="false">H14-G14</f>
        <v>0</v>
      </c>
      <c r="J14" s="13" t="n">
        <f aca="false">H14-F14</f>
        <v>0</v>
      </c>
    </row>
    <row r="15" customFormat="false" ht="15" hidden="false" customHeight="false" outlineLevel="0" collapsed="false">
      <c r="A15" s="13" t="s">
        <v>49</v>
      </c>
      <c r="B15" s="13" t="s">
        <v>50</v>
      </c>
      <c r="C15" s="13" t="n">
        <v>575</v>
      </c>
      <c r="D15" s="13" t="s">
        <v>23</v>
      </c>
      <c r="E15" s="13" t="s">
        <v>36</v>
      </c>
      <c r="F15" s="13" t="n">
        <v>0</v>
      </c>
      <c r="G15" s="13" t="n">
        <v>0</v>
      </c>
      <c r="H15" s="13" t="n">
        <v>0</v>
      </c>
      <c r="I15" s="13" t="n">
        <f aca="false">H15-G15</f>
        <v>0</v>
      </c>
      <c r="J15" s="13" t="n">
        <f aca="false">H15-F15</f>
        <v>0</v>
      </c>
    </row>
    <row r="16" customFormat="false" ht="15" hidden="false" customHeight="false" outlineLevel="0" collapsed="false">
      <c r="A16" s="13" t="s">
        <v>49</v>
      </c>
      <c r="B16" s="13" t="s">
        <v>50</v>
      </c>
      <c r="C16" s="13" t="n">
        <v>575</v>
      </c>
      <c r="D16" s="13" t="s">
        <v>155</v>
      </c>
      <c r="E16" s="13" t="s">
        <v>37</v>
      </c>
      <c r="F16" s="13" t="n">
        <v>1</v>
      </c>
      <c r="G16" s="13" t="n">
        <v>1</v>
      </c>
      <c r="H16" s="13" t="n">
        <v>1</v>
      </c>
      <c r="I16" s="13" t="n">
        <f aca="false">H16-G16</f>
        <v>0</v>
      </c>
      <c r="J16" s="13" t="n">
        <f aca="false">H16-F16</f>
        <v>0</v>
      </c>
    </row>
    <row r="17" customFormat="false" ht="15" hidden="false" customHeight="false" outlineLevel="0" collapsed="false">
      <c r="A17" s="13" t="s">
        <v>49</v>
      </c>
      <c r="B17" s="13" t="s">
        <v>50</v>
      </c>
      <c r="C17" s="13" t="n">
        <v>575</v>
      </c>
      <c r="D17" s="13" t="s">
        <v>155</v>
      </c>
      <c r="E17" s="13" t="s">
        <v>39</v>
      </c>
      <c r="F17" s="13" t="n">
        <v>1</v>
      </c>
      <c r="G17" s="13" t="n">
        <v>1</v>
      </c>
      <c r="H17" s="13" t="n">
        <v>1</v>
      </c>
      <c r="I17" s="13" t="n">
        <f aca="false">H17-G17</f>
        <v>0</v>
      </c>
      <c r="J17" s="13" t="n">
        <f aca="false">H17-F17</f>
        <v>0</v>
      </c>
    </row>
    <row r="18" customFormat="false" ht="15" hidden="false" customHeight="false" outlineLevel="0" collapsed="false">
      <c r="A18" s="13" t="s">
        <v>49</v>
      </c>
      <c r="B18" s="13" t="s">
        <v>50</v>
      </c>
      <c r="C18" s="13" t="n">
        <v>575</v>
      </c>
      <c r="D18" s="13" t="s">
        <v>155</v>
      </c>
      <c r="E18" s="13" t="s">
        <v>40</v>
      </c>
      <c r="F18" s="13" t="n">
        <v>1</v>
      </c>
      <c r="G18" s="13" t="n">
        <v>1</v>
      </c>
      <c r="H18" s="13" t="n">
        <v>1</v>
      </c>
      <c r="I18" s="13" t="n">
        <f aca="false">H18-G18</f>
        <v>0</v>
      </c>
      <c r="J18" s="13" t="n">
        <f aca="false">H18-F18</f>
        <v>0</v>
      </c>
    </row>
    <row r="19" customFormat="false" ht="15" hidden="false" customHeight="false" outlineLevel="0" collapsed="false">
      <c r="A19" s="13" t="s">
        <v>49</v>
      </c>
      <c r="B19" s="13" t="s">
        <v>50</v>
      </c>
      <c r="C19" s="13" t="n">
        <v>575</v>
      </c>
      <c r="D19" s="13" t="s">
        <v>155</v>
      </c>
      <c r="E19" s="13" t="s">
        <v>41</v>
      </c>
      <c r="F19" s="13" t="n">
        <v>0</v>
      </c>
      <c r="G19" s="13" t="n">
        <v>0</v>
      </c>
      <c r="H19" s="13" t="n">
        <v>0</v>
      </c>
      <c r="I19" s="13" t="n">
        <f aca="false">H19-G19</f>
        <v>0</v>
      </c>
      <c r="J19" s="13" t="n">
        <f aca="false">H19-F19</f>
        <v>0</v>
      </c>
    </row>
    <row r="20" customFormat="false" ht="15" hidden="false" customHeight="false" outlineLevel="0" collapsed="false">
      <c r="A20" s="13" t="s">
        <v>49</v>
      </c>
      <c r="B20" s="13" t="s">
        <v>50</v>
      </c>
      <c r="C20" s="13" t="n">
        <v>575</v>
      </c>
      <c r="D20" s="13" t="s">
        <v>155</v>
      </c>
      <c r="E20" s="13" t="s">
        <v>42</v>
      </c>
      <c r="F20" s="13" t="n">
        <v>1</v>
      </c>
      <c r="G20" s="13" t="n">
        <v>1</v>
      </c>
      <c r="H20" s="13" t="n">
        <v>1</v>
      </c>
      <c r="I20" s="13" t="n">
        <f aca="false">H20-G20</f>
        <v>0</v>
      </c>
      <c r="J20" s="13" t="n">
        <f aca="false">H20-F20</f>
        <v>0</v>
      </c>
    </row>
    <row r="21" customFormat="false" ht="15" hidden="false" customHeight="false" outlineLevel="0" collapsed="false">
      <c r="A21" s="13" t="s">
        <v>49</v>
      </c>
      <c r="B21" s="13" t="s">
        <v>50</v>
      </c>
      <c r="C21" s="13" t="n">
        <v>575</v>
      </c>
      <c r="D21" s="13" t="s">
        <v>155</v>
      </c>
      <c r="E21" s="13" t="s">
        <v>43</v>
      </c>
      <c r="F21" s="13" t="n">
        <v>1</v>
      </c>
      <c r="G21" s="13" t="n">
        <v>1</v>
      </c>
      <c r="H21" s="13" t="n">
        <v>1</v>
      </c>
      <c r="I21" s="13" t="n">
        <f aca="false">H21-G21</f>
        <v>0</v>
      </c>
      <c r="J21" s="13" t="n">
        <f aca="false">H21-F21</f>
        <v>0</v>
      </c>
    </row>
    <row r="22" customFormat="false" ht="15" hidden="false" customHeight="false" outlineLevel="0" collapsed="false">
      <c r="A22" s="13" t="s">
        <v>49</v>
      </c>
      <c r="B22" s="13" t="s">
        <v>50</v>
      </c>
      <c r="C22" s="13" t="n">
        <v>575</v>
      </c>
      <c r="D22" s="13" t="s">
        <v>155</v>
      </c>
      <c r="E22" s="13" t="s">
        <v>44</v>
      </c>
      <c r="F22" s="13" t="n">
        <v>0</v>
      </c>
      <c r="G22" s="13" t="n">
        <v>0</v>
      </c>
      <c r="H22" s="13" t="n">
        <v>0</v>
      </c>
      <c r="I22" s="13" t="n">
        <f aca="false">H22-G22</f>
        <v>0</v>
      </c>
      <c r="J22" s="13" t="n">
        <f aca="false">H22-F22</f>
        <v>0</v>
      </c>
    </row>
    <row r="23" customFormat="false" ht="15" hidden="false" customHeight="false" outlineLevel="0" collapsed="false">
      <c r="A23" s="13" t="s">
        <v>49</v>
      </c>
      <c r="B23" s="13" t="s">
        <v>50</v>
      </c>
      <c r="C23" s="13" t="n">
        <v>575</v>
      </c>
      <c r="D23" s="13" t="s">
        <v>155</v>
      </c>
      <c r="E23" s="13" t="s">
        <v>45</v>
      </c>
      <c r="F23" s="13" t="n">
        <v>1</v>
      </c>
      <c r="G23" s="13" t="n">
        <v>1</v>
      </c>
      <c r="H23" s="13" t="n">
        <v>1</v>
      </c>
      <c r="I23" s="13" t="n">
        <f aca="false">H23-G23</f>
        <v>0</v>
      </c>
      <c r="J23" s="13" t="n">
        <f aca="false">H23-F23</f>
        <v>0</v>
      </c>
    </row>
    <row r="24" customFormat="false" ht="15" hidden="false" customHeight="false" outlineLevel="0" collapsed="false">
      <c r="A24" s="13" t="s">
        <v>49</v>
      </c>
      <c r="B24" s="13" t="s">
        <v>50</v>
      </c>
      <c r="C24" s="13" t="n">
        <v>575</v>
      </c>
      <c r="D24" s="13" t="s">
        <v>155</v>
      </c>
      <c r="E24" s="13" t="s">
        <v>46</v>
      </c>
      <c r="F24" s="13" t="n">
        <v>0</v>
      </c>
      <c r="G24" s="13" t="n">
        <v>0</v>
      </c>
      <c r="H24" s="13" t="n">
        <v>0</v>
      </c>
      <c r="I24" s="13" t="n">
        <f aca="false">H24-G24</f>
        <v>0</v>
      </c>
      <c r="J24" s="13" t="n">
        <f aca="false">H24-F24</f>
        <v>0</v>
      </c>
    </row>
    <row r="25" customFormat="false" ht="15" hidden="false" customHeight="false" outlineLevel="0" collapsed="false">
      <c r="A25" s="13" t="s">
        <v>53</v>
      </c>
      <c r="B25" s="13" t="s">
        <v>54</v>
      </c>
      <c r="C25" s="13" t="n">
        <v>379</v>
      </c>
      <c r="D25" s="13" t="s">
        <v>23</v>
      </c>
      <c r="E25" s="13" t="s">
        <v>22</v>
      </c>
      <c r="F25" s="13" t="n">
        <v>222</v>
      </c>
      <c r="G25" s="13" t="n">
        <v>222</v>
      </c>
      <c r="H25" s="13" t="n">
        <v>222</v>
      </c>
      <c r="I25" s="13" t="n">
        <f aca="false">H25-G25</f>
        <v>0</v>
      </c>
      <c r="J25" s="13" t="n">
        <f aca="false">H25-F25</f>
        <v>0</v>
      </c>
    </row>
    <row r="26" customFormat="false" ht="15" hidden="false" customHeight="false" outlineLevel="0" collapsed="false">
      <c r="A26" s="13" t="s">
        <v>53</v>
      </c>
      <c r="B26" s="13" t="s">
        <v>54</v>
      </c>
      <c r="C26" s="13" t="n">
        <v>379</v>
      </c>
      <c r="D26" s="13" t="s">
        <v>23</v>
      </c>
      <c r="E26" s="13" t="s">
        <v>24</v>
      </c>
      <c r="F26" s="13" t="n">
        <v>379</v>
      </c>
      <c r="G26" s="13" t="n">
        <v>379</v>
      </c>
      <c r="H26" s="13" t="n">
        <v>379</v>
      </c>
      <c r="I26" s="13" t="n">
        <f aca="false">H26-G26</f>
        <v>0</v>
      </c>
      <c r="J26" s="13" t="n">
        <f aca="false">H26-F26</f>
        <v>0</v>
      </c>
    </row>
    <row r="27" customFormat="false" ht="15" hidden="false" customHeight="false" outlineLevel="0" collapsed="false">
      <c r="A27" s="13" t="s">
        <v>53</v>
      </c>
      <c r="B27" s="13" t="s">
        <v>54</v>
      </c>
      <c r="C27" s="13" t="n">
        <v>379</v>
      </c>
      <c r="D27" s="13" t="s">
        <v>23</v>
      </c>
      <c r="E27" s="13" t="s">
        <v>25</v>
      </c>
      <c r="F27" s="13" t="n">
        <v>371</v>
      </c>
      <c r="G27" s="13" t="n">
        <v>372</v>
      </c>
      <c r="H27" s="13" t="n">
        <v>372</v>
      </c>
      <c r="I27" s="13" t="n">
        <f aca="false">H27-G27</f>
        <v>0</v>
      </c>
      <c r="J27" s="13" t="n">
        <f aca="false">H27-F27</f>
        <v>1</v>
      </c>
    </row>
    <row r="28" customFormat="false" ht="15" hidden="false" customHeight="false" outlineLevel="0" collapsed="false">
      <c r="A28" s="13" t="s">
        <v>53</v>
      </c>
      <c r="B28" s="13" t="s">
        <v>54</v>
      </c>
      <c r="C28" s="13" t="n">
        <v>379</v>
      </c>
      <c r="D28" s="13" t="s">
        <v>23</v>
      </c>
      <c r="E28" s="13" t="s">
        <v>26</v>
      </c>
      <c r="F28" s="13" t="n">
        <v>17</v>
      </c>
      <c r="G28" s="13" t="n">
        <v>9</v>
      </c>
      <c r="H28" s="13" t="n">
        <v>9</v>
      </c>
      <c r="I28" s="13" t="n">
        <f aca="false">H28-G28</f>
        <v>0</v>
      </c>
      <c r="J28" s="13" t="n">
        <f aca="false">H28-F28</f>
        <v>-8</v>
      </c>
    </row>
    <row r="29" customFormat="false" ht="15" hidden="false" customHeight="false" outlineLevel="0" collapsed="false">
      <c r="A29" s="13" t="s">
        <v>53</v>
      </c>
      <c r="B29" s="13" t="s">
        <v>54</v>
      </c>
      <c r="C29" s="13" t="n">
        <v>379</v>
      </c>
      <c r="D29" s="13" t="s">
        <v>23</v>
      </c>
      <c r="E29" s="13" t="s">
        <v>27</v>
      </c>
      <c r="F29" s="13" t="n">
        <v>134</v>
      </c>
      <c r="G29" s="13" t="n">
        <v>91</v>
      </c>
      <c r="H29" s="13" t="n">
        <v>91</v>
      </c>
      <c r="I29" s="13" t="n">
        <f aca="false">H29-G29</f>
        <v>0</v>
      </c>
      <c r="J29" s="13" t="n">
        <f aca="false">H29-F29</f>
        <v>-43</v>
      </c>
    </row>
    <row r="30" customFormat="false" ht="15" hidden="false" customHeight="false" outlineLevel="0" collapsed="false">
      <c r="A30" s="13" t="s">
        <v>53</v>
      </c>
      <c r="B30" s="13" t="s">
        <v>54</v>
      </c>
      <c r="C30" s="13" t="n">
        <v>379</v>
      </c>
      <c r="D30" s="13" t="s">
        <v>23</v>
      </c>
      <c r="E30" s="13" t="s">
        <v>28</v>
      </c>
      <c r="F30" s="13" t="n">
        <v>172</v>
      </c>
      <c r="G30" s="13" t="n">
        <v>130</v>
      </c>
      <c r="H30" s="13" t="n">
        <v>130</v>
      </c>
      <c r="I30" s="13" t="n">
        <f aca="false">H30-G30</f>
        <v>0</v>
      </c>
      <c r="J30" s="13" t="n">
        <f aca="false">H30-F30</f>
        <v>-42</v>
      </c>
    </row>
    <row r="31" customFormat="false" ht="15" hidden="false" customHeight="false" outlineLevel="0" collapsed="false">
      <c r="A31" s="13" t="s">
        <v>53</v>
      </c>
      <c r="B31" s="13" t="s">
        <v>54</v>
      </c>
      <c r="C31" s="13" t="n">
        <v>379</v>
      </c>
      <c r="D31" s="13" t="s">
        <v>23</v>
      </c>
      <c r="E31" s="13" t="s">
        <v>29</v>
      </c>
      <c r="F31" s="13" t="n">
        <v>172</v>
      </c>
      <c r="G31" s="13" t="n">
        <v>130</v>
      </c>
      <c r="H31" s="13" t="n">
        <v>130</v>
      </c>
      <c r="I31" s="13" t="n">
        <f aca="false">H31-G31</f>
        <v>0</v>
      </c>
      <c r="J31" s="13" t="n">
        <f aca="false">H31-F31</f>
        <v>-42</v>
      </c>
    </row>
    <row r="32" customFormat="false" ht="15" hidden="false" customHeight="false" outlineLevel="0" collapsed="false">
      <c r="A32" s="13" t="s">
        <v>53</v>
      </c>
      <c r="B32" s="13" t="s">
        <v>54</v>
      </c>
      <c r="C32" s="13" t="n">
        <v>379</v>
      </c>
      <c r="D32" s="13" t="s">
        <v>23</v>
      </c>
      <c r="E32" s="13" t="s">
        <v>30</v>
      </c>
      <c r="F32" s="13" t="n">
        <v>379</v>
      </c>
      <c r="G32" s="13" t="n">
        <v>379</v>
      </c>
      <c r="H32" s="13" t="n">
        <v>379</v>
      </c>
      <c r="I32" s="13" t="n">
        <f aca="false">H32-G32</f>
        <v>0</v>
      </c>
      <c r="J32" s="13" t="n">
        <f aca="false">H32-F32</f>
        <v>0</v>
      </c>
    </row>
    <row r="33" customFormat="false" ht="15" hidden="false" customHeight="false" outlineLevel="0" collapsed="false">
      <c r="A33" s="13" t="s">
        <v>53</v>
      </c>
      <c r="B33" s="13" t="s">
        <v>54</v>
      </c>
      <c r="C33" s="13" t="n">
        <v>379</v>
      </c>
      <c r="D33" s="13" t="s">
        <v>23</v>
      </c>
      <c r="E33" s="13" t="s">
        <v>31</v>
      </c>
      <c r="F33" s="13" t="n">
        <v>0</v>
      </c>
      <c r="G33" s="13" t="n">
        <v>0</v>
      </c>
      <c r="H33" s="13" t="n">
        <v>0</v>
      </c>
      <c r="I33" s="13" t="n">
        <f aca="false">H33-G33</f>
        <v>0</v>
      </c>
      <c r="J33" s="13" t="n">
        <f aca="false">H33-F33</f>
        <v>0</v>
      </c>
    </row>
    <row r="34" customFormat="false" ht="15" hidden="false" customHeight="false" outlineLevel="0" collapsed="false">
      <c r="A34" s="13" t="s">
        <v>53</v>
      </c>
      <c r="B34" s="13" t="s">
        <v>54</v>
      </c>
      <c r="C34" s="13" t="n">
        <v>379</v>
      </c>
      <c r="D34" s="13" t="s">
        <v>23</v>
      </c>
      <c r="E34" s="13" t="s">
        <v>32</v>
      </c>
      <c r="F34" s="13" t="n">
        <v>1</v>
      </c>
      <c r="G34" s="13" t="n">
        <v>1</v>
      </c>
      <c r="H34" s="13" t="n">
        <v>1</v>
      </c>
      <c r="I34" s="13" t="n">
        <f aca="false">H34-G34</f>
        <v>0</v>
      </c>
      <c r="J34" s="13" t="n">
        <f aca="false">H34-F34</f>
        <v>0</v>
      </c>
    </row>
    <row r="35" customFormat="false" ht="15" hidden="false" customHeight="false" outlineLevel="0" collapsed="false">
      <c r="A35" s="13" t="s">
        <v>53</v>
      </c>
      <c r="B35" s="13" t="s">
        <v>54</v>
      </c>
      <c r="C35" s="13" t="n">
        <v>379</v>
      </c>
      <c r="D35" s="13" t="s">
        <v>23</v>
      </c>
      <c r="E35" s="13" t="s">
        <v>33</v>
      </c>
      <c r="F35" s="13" t="n">
        <v>0</v>
      </c>
      <c r="G35" s="13" t="n">
        <v>0</v>
      </c>
      <c r="H35" s="13" t="n">
        <v>0</v>
      </c>
      <c r="I35" s="13" t="n">
        <f aca="false">H35-G35</f>
        <v>0</v>
      </c>
      <c r="J35" s="13" t="n">
        <f aca="false">H35-F35</f>
        <v>0</v>
      </c>
    </row>
    <row r="36" customFormat="false" ht="15" hidden="false" customHeight="false" outlineLevel="0" collapsed="false">
      <c r="A36" s="13" t="s">
        <v>53</v>
      </c>
      <c r="B36" s="13" t="s">
        <v>54</v>
      </c>
      <c r="C36" s="13" t="n">
        <v>379</v>
      </c>
      <c r="D36" s="13" t="s">
        <v>23</v>
      </c>
      <c r="E36" s="13" t="s">
        <v>34</v>
      </c>
      <c r="F36" s="13" t="n">
        <v>337</v>
      </c>
      <c r="G36" s="13" t="n">
        <v>337</v>
      </c>
      <c r="H36" s="13" t="n">
        <v>337</v>
      </c>
      <c r="I36" s="13" t="n">
        <f aca="false">H36-G36</f>
        <v>0</v>
      </c>
      <c r="J36" s="13" t="n">
        <f aca="false">H36-F36</f>
        <v>0</v>
      </c>
    </row>
    <row r="37" customFormat="false" ht="15" hidden="false" customHeight="false" outlineLevel="0" collapsed="false">
      <c r="A37" s="13" t="s">
        <v>53</v>
      </c>
      <c r="B37" s="13" t="s">
        <v>54</v>
      </c>
      <c r="C37" s="13" t="n">
        <v>379</v>
      </c>
      <c r="D37" s="13" t="s">
        <v>23</v>
      </c>
      <c r="E37" s="13" t="s">
        <v>35</v>
      </c>
      <c r="F37" s="13" t="n">
        <v>0</v>
      </c>
      <c r="G37" s="13" t="n">
        <v>0</v>
      </c>
      <c r="H37" s="13" t="n">
        <v>0</v>
      </c>
      <c r="I37" s="13" t="n">
        <f aca="false">H37-G37</f>
        <v>0</v>
      </c>
      <c r="J37" s="13" t="n">
        <f aca="false">H37-F37</f>
        <v>0</v>
      </c>
    </row>
    <row r="38" customFormat="false" ht="15" hidden="false" customHeight="false" outlineLevel="0" collapsed="false">
      <c r="A38" s="13" t="s">
        <v>53</v>
      </c>
      <c r="B38" s="13" t="s">
        <v>54</v>
      </c>
      <c r="C38" s="13" t="n">
        <v>379</v>
      </c>
      <c r="D38" s="13" t="s">
        <v>23</v>
      </c>
      <c r="E38" s="13" t="s">
        <v>36</v>
      </c>
      <c r="F38" s="13" t="n">
        <v>0</v>
      </c>
      <c r="G38" s="13" t="n">
        <v>0</v>
      </c>
      <c r="H38" s="13" t="n">
        <v>0</v>
      </c>
      <c r="I38" s="13" t="n">
        <f aca="false">H38-G38</f>
        <v>0</v>
      </c>
      <c r="J38" s="13" t="n">
        <f aca="false">H38-F38</f>
        <v>0</v>
      </c>
    </row>
    <row r="39" customFormat="false" ht="15" hidden="false" customHeight="false" outlineLevel="0" collapsed="false">
      <c r="A39" s="13" t="s">
        <v>53</v>
      </c>
      <c r="B39" s="13" t="s">
        <v>54</v>
      </c>
      <c r="C39" s="13" t="n">
        <v>379</v>
      </c>
      <c r="D39" s="13" t="s">
        <v>155</v>
      </c>
      <c r="E39" s="13" t="s">
        <v>37</v>
      </c>
      <c r="F39" s="13" t="n">
        <v>1</v>
      </c>
      <c r="G39" s="13" t="n">
        <v>1</v>
      </c>
      <c r="H39" s="13" t="n">
        <v>1</v>
      </c>
      <c r="I39" s="13" t="n">
        <f aca="false">H39-G39</f>
        <v>0</v>
      </c>
      <c r="J39" s="13" t="n">
        <f aca="false">H39-F39</f>
        <v>0</v>
      </c>
    </row>
    <row r="40" customFormat="false" ht="15" hidden="false" customHeight="false" outlineLevel="0" collapsed="false">
      <c r="A40" s="13" t="s">
        <v>53</v>
      </c>
      <c r="B40" s="13" t="s">
        <v>54</v>
      </c>
      <c r="C40" s="13" t="n">
        <v>379</v>
      </c>
      <c r="D40" s="13" t="s">
        <v>155</v>
      </c>
      <c r="E40" s="13" t="s">
        <v>39</v>
      </c>
      <c r="F40" s="13" t="n">
        <v>0</v>
      </c>
      <c r="G40" s="13" t="n">
        <v>0</v>
      </c>
      <c r="H40" s="13" t="n">
        <v>0</v>
      </c>
      <c r="I40" s="13" t="n">
        <f aca="false">H40-G40</f>
        <v>0</v>
      </c>
      <c r="J40" s="13" t="n">
        <f aca="false">H40-F40</f>
        <v>0</v>
      </c>
    </row>
    <row r="41" customFormat="false" ht="15" hidden="false" customHeight="false" outlineLevel="0" collapsed="false">
      <c r="A41" s="13" t="s">
        <v>53</v>
      </c>
      <c r="B41" s="13" t="s">
        <v>54</v>
      </c>
      <c r="C41" s="13" t="n">
        <v>379</v>
      </c>
      <c r="D41" s="13" t="s">
        <v>155</v>
      </c>
      <c r="E41" s="13" t="s">
        <v>40</v>
      </c>
      <c r="F41" s="13" t="n">
        <v>1</v>
      </c>
      <c r="G41" s="13" t="n">
        <v>1</v>
      </c>
      <c r="H41" s="13" t="n">
        <v>1</v>
      </c>
      <c r="I41" s="13" t="n">
        <f aca="false">H41-G41</f>
        <v>0</v>
      </c>
      <c r="J41" s="13" t="n">
        <f aca="false">H41-F41</f>
        <v>0</v>
      </c>
    </row>
    <row r="42" customFormat="false" ht="15" hidden="false" customHeight="false" outlineLevel="0" collapsed="false">
      <c r="A42" s="13" t="s">
        <v>53</v>
      </c>
      <c r="B42" s="13" t="s">
        <v>54</v>
      </c>
      <c r="C42" s="13" t="n">
        <v>379</v>
      </c>
      <c r="D42" s="13" t="s">
        <v>155</v>
      </c>
      <c r="E42" s="13" t="s">
        <v>41</v>
      </c>
      <c r="F42" s="13" t="n">
        <v>0</v>
      </c>
      <c r="G42" s="13" t="n">
        <v>0</v>
      </c>
      <c r="H42" s="13" t="n">
        <v>0</v>
      </c>
      <c r="I42" s="13" t="n">
        <f aca="false">H42-G42</f>
        <v>0</v>
      </c>
      <c r="J42" s="13" t="n">
        <f aca="false">H42-F42</f>
        <v>0</v>
      </c>
    </row>
    <row r="43" customFormat="false" ht="15" hidden="false" customHeight="false" outlineLevel="0" collapsed="false">
      <c r="A43" s="13" t="s">
        <v>53</v>
      </c>
      <c r="B43" s="13" t="s">
        <v>54</v>
      </c>
      <c r="C43" s="13" t="n">
        <v>379</v>
      </c>
      <c r="D43" s="13" t="s">
        <v>155</v>
      </c>
      <c r="E43" s="13" t="s">
        <v>42</v>
      </c>
      <c r="F43" s="13" t="n">
        <v>1</v>
      </c>
      <c r="G43" s="13" t="n">
        <v>1</v>
      </c>
      <c r="H43" s="13" t="n">
        <v>1</v>
      </c>
      <c r="I43" s="13" t="n">
        <f aca="false">H43-G43</f>
        <v>0</v>
      </c>
      <c r="J43" s="13" t="n">
        <f aca="false">H43-F43</f>
        <v>0</v>
      </c>
    </row>
    <row r="44" customFormat="false" ht="15" hidden="false" customHeight="false" outlineLevel="0" collapsed="false">
      <c r="A44" s="13" t="s">
        <v>53</v>
      </c>
      <c r="B44" s="13" t="s">
        <v>54</v>
      </c>
      <c r="C44" s="13" t="n">
        <v>379</v>
      </c>
      <c r="D44" s="13" t="s">
        <v>155</v>
      </c>
      <c r="E44" s="13" t="s">
        <v>43</v>
      </c>
      <c r="F44" s="13" t="n">
        <v>1</v>
      </c>
      <c r="G44" s="13" t="n">
        <v>1</v>
      </c>
      <c r="H44" s="13" t="n">
        <v>1</v>
      </c>
      <c r="I44" s="13" t="n">
        <f aca="false">H44-G44</f>
        <v>0</v>
      </c>
      <c r="J44" s="13" t="n">
        <f aca="false">H44-F44</f>
        <v>0</v>
      </c>
    </row>
    <row r="45" customFormat="false" ht="15" hidden="false" customHeight="false" outlineLevel="0" collapsed="false">
      <c r="A45" s="13" t="s">
        <v>53</v>
      </c>
      <c r="B45" s="13" t="s">
        <v>54</v>
      </c>
      <c r="C45" s="13" t="n">
        <v>379</v>
      </c>
      <c r="D45" s="13" t="s">
        <v>155</v>
      </c>
      <c r="E45" s="13" t="s">
        <v>44</v>
      </c>
      <c r="F45" s="13" t="n">
        <v>1</v>
      </c>
      <c r="G45" s="13" t="n">
        <v>1</v>
      </c>
      <c r="H45" s="13" t="n">
        <v>1</v>
      </c>
      <c r="I45" s="13" t="n">
        <f aca="false">H45-G45</f>
        <v>0</v>
      </c>
      <c r="J45" s="13" t="n">
        <f aca="false">H45-F45</f>
        <v>0</v>
      </c>
    </row>
    <row r="46" customFormat="false" ht="15" hidden="false" customHeight="false" outlineLevel="0" collapsed="false">
      <c r="A46" s="13" t="s">
        <v>53</v>
      </c>
      <c r="B46" s="13" t="s">
        <v>54</v>
      </c>
      <c r="C46" s="13" t="n">
        <v>379</v>
      </c>
      <c r="D46" s="13" t="s">
        <v>155</v>
      </c>
      <c r="E46" s="13" t="s">
        <v>45</v>
      </c>
      <c r="F46" s="13" t="n">
        <v>0</v>
      </c>
      <c r="G46" s="13" t="n">
        <v>0</v>
      </c>
      <c r="H46" s="13" t="n">
        <v>0</v>
      </c>
      <c r="I46" s="13" t="n">
        <f aca="false">H46-G46</f>
        <v>0</v>
      </c>
      <c r="J46" s="13" t="n">
        <f aca="false">H46-F46</f>
        <v>0</v>
      </c>
    </row>
    <row r="47" customFormat="false" ht="15" hidden="false" customHeight="false" outlineLevel="0" collapsed="false">
      <c r="A47" s="13" t="s">
        <v>53</v>
      </c>
      <c r="B47" s="13" t="s">
        <v>54</v>
      </c>
      <c r="C47" s="13" t="n">
        <v>379</v>
      </c>
      <c r="D47" s="13" t="s">
        <v>155</v>
      </c>
      <c r="E47" s="13" t="s">
        <v>46</v>
      </c>
      <c r="F47" s="13" t="n">
        <v>0</v>
      </c>
      <c r="G47" s="13" t="n">
        <v>0</v>
      </c>
      <c r="H47" s="13" t="n">
        <v>0</v>
      </c>
      <c r="I47" s="13" t="n">
        <f aca="false">H47-G47</f>
        <v>0</v>
      </c>
      <c r="J47" s="13" t="n">
        <f aca="false">H47-F47</f>
        <v>0</v>
      </c>
    </row>
    <row r="48" customFormat="false" ht="15" hidden="false" customHeight="false" outlineLevel="0" collapsed="false">
      <c r="A48" s="13" t="s">
        <v>55</v>
      </c>
      <c r="B48" s="13" t="s">
        <v>56</v>
      </c>
      <c r="C48" s="13" t="n">
        <v>270</v>
      </c>
      <c r="D48" s="13" t="s">
        <v>23</v>
      </c>
      <c r="E48" s="13" t="s">
        <v>22</v>
      </c>
      <c r="F48" s="13" t="n">
        <v>270</v>
      </c>
      <c r="G48" s="13" t="n">
        <v>264</v>
      </c>
      <c r="H48" s="13" t="n">
        <v>264</v>
      </c>
      <c r="I48" s="13" t="n">
        <f aca="false">H48-G48</f>
        <v>0</v>
      </c>
      <c r="J48" s="13" t="n">
        <f aca="false">H48-F48</f>
        <v>-6</v>
      </c>
    </row>
    <row r="49" customFormat="false" ht="15" hidden="false" customHeight="false" outlineLevel="0" collapsed="false">
      <c r="A49" s="13" t="s">
        <v>55</v>
      </c>
      <c r="B49" s="13" t="s">
        <v>56</v>
      </c>
      <c r="C49" s="13" t="n">
        <v>270</v>
      </c>
      <c r="D49" s="13" t="s">
        <v>23</v>
      </c>
      <c r="E49" s="13" t="s">
        <v>24</v>
      </c>
      <c r="F49" s="13" t="n">
        <v>34</v>
      </c>
      <c r="G49" s="13" t="n">
        <v>270</v>
      </c>
      <c r="H49" s="13" t="n">
        <v>270</v>
      </c>
      <c r="I49" s="13" t="n">
        <f aca="false">H49-G49</f>
        <v>0</v>
      </c>
      <c r="J49" s="13" t="n">
        <f aca="false">H49-F49</f>
        <v>236</v>
      </c>
    </row>
    <row r="50" customFormat="false" ht="15" hidden="false" customHeight="false" outlineLevel="0" collapsed="false">
      <c r="A50" s="13" t="s">
        <v>55</v>
      </c>
      <c r="B50" s="13" t="s">
        <v>56</v>
      </c>
      <c r="C50" s="13" t="n">
        <v>270</v>
      </c>
      <c r="D50" s="13" t="s">
        <v>23</v>
      </c>
      <c r="E50" s="13" t="s">
        <v>25</v>
      </c>
      <c r="F50" s="13" t="n">
        <v>312</v>
      </c>
      <c r="G50" s="13" t="n">
        <v>270</v>
      </c>
      <c r="H50" s="13" t="n">
        <v>270</v>
      </c>
      <c r="I50" s="13" t="n">
        <f aca="false">H50-G50</f>
        <v>0</v>
      </c>
      <c r="J50" s="13" t="n">
        <f aca="false">H50-F50</f>
        <v>-42</v>
      </c>
    </row>
    <row r="51" customFormat="false" ht="15" hidden="false" customHeight="false" outlineLevel="0" collapsed="false">
      <c r="A51" s="13" t="s">
        <v>55</v>
      </c>
      <c r="B51" s="13" t="s">
        <v>56</v>
      </c>
      <c r="C51" s="13" t="n">
        <v>270</v>
      </c>
      <c r="D51" s="13" t="s">
        <v>23</v>
      </c>
      <c r="E51" s="13" t="s">
        <v>26</v>
      </c>
      <c r="F51" s="13" t="n">
        <v>157</v>
      </c>
      <c r="G51" s="13" t="n">
        <v>186</v>
      </c>
      <c r="H51" s="13" t="n">
        <v>186</v>
      </c>
      <c r="I51" s="13" t="n">
        <f aca="false">H51-G51</f>
        <v>0</v>
      </c>
      <c r="J51" s="13" t="n">
        <f aca="false">H51-F51</f>
        <v>29</v>
      </c>
    </row>
    <row r="52" customFormat="false" ht="15" hidden="false" customHeight="false" outlineLevel="0" collapsed="false">
      <c r="A52" s="13" t="s">
        <v>55</v>
      </c>
      <c r="B52" s="13" t="s">
        <v>56</v>
      </c>
      <c r="C52" s="13" t="n">
        <v>270</v>
      </c>
      <c r="D52" s="13" t="s">
        <v>23</v>
      </c>
      <c r="E52" s="13" t="s">
        <v>27</v>
      </c>
      <c r="F52" s="13" t="n">
        <v>275</v>
      </c>
      <c r="G52" s="13" t="n">
        <v>262</v>
      </c>
      <c r="H52" s="13" t="n">
        <v>262</v>
      </c>
      <c r="I52" s="13" t="n">
        <f aca="false">H52-G52</f>
        <v>0</v>
      </c>
      <c r="J52" s="13" t="n">
        <f aca="false">H52-F52</f>
        <v>-13</v>
      </c>
    </row>
    <row r="53" customFormat="false" ht="15" hidden="false" customHeight="false" outlineLevel="0" collapsed="false">
      <c r="A53" s="13" t="s">
        <v>55</v>
      </c>
      <c r="B53" s="13" t="s">
        <v>56</v>
      </c>
      <c r="C53" s="13" t="n">
        <v>270</v>
      </c>
      <c r="D53" s="13" t="s">
        <v>23</v>
      </c>
      <c r="E53" s="13" t="s">
        <v>28</v>
      </c>
      <c r="F53" s="13" t="n">
        <v>131</v>
      </c>
      <c r="G53" s="13" t="n">
        <v>124</v>
      </c>
      <c r="H53" s="13" t="n">
        <v>124</v>
      </c>
      <c r="I53" s="13" t="n">
        <f aca="false">H53-G53</f>
        <v>0</v>
      </c>
      <c r="J53" s="13" t="n">
        <f aca="false">H53-F53</f>
        <v>-7</v>
      </c>
    </row>
    <row r="54" customFormat="false" ht="15" hidden="false" customHeight="false" outlineLevel="0" collapsed="false">
      <c r="A54" s="13" t="s">
        <v>55</v>
      </c>
      <c r="B54" s="13" t="s">
        <v>56</v>
      </c>
      <c r="C54" s="13" t="n">
        <v>270</v>
      </c>
      <c r="D54" s="13" t="s">
        <v>23</v>
      </c>
      <c r="E54" s="13" t="s">
        <v>29</v>
      </c>
      <c r="F54" s="13" t="n">
        <v>131</v>
      </c>
      <c r="G54" s="13" t="n">
        <v>124</v>
      </c>
      <c r="H54" s="13" t="n">
        <v>124</v>
      </c>
      <c r="I54" s="13" t="n">
        <f aca="false">H54-G54</f>
        <v>0</v>
      </c>
      <c r="J54" s="13" t="n">
        <f aca="false">H54-F54</f>
        <v>-7</v>
      </c>
    </row>
    <row r="55" customFormat="false" ht="15" hidden="false" customHeight="false" outlineLevel="0" collapsed="false">
      <c r="A55" s="13" t="s">
        <v>55</v>
      </c>
      <c r="B55" s="13" t="s">
        <v>56</v>
      </c>
      <c r="C55" s="13" t="n">
        <v>270</v>
      </c>
      <c r="D55" s="13" t="s">
        <v>23</v>
      </c>
      <c r="E55" s="13" t="s">
        <v>30</v>
      </c>
      <c r="F55" s="13" t="n">
        <v>315</v>
      </c>
      <c r="G55" s="13" t="n">
        <v>270</v>
      </c>
      <c r="H55" s="13" t="n">
        <v>270</v>
      </c>
      <c r="I55" s="13" t="n">
        <f aca="false">H55-G55</f>
        <v>0</v>
      </c>
      <c r="J55" s="13" t="n">
        <f aca="false">H55-F55</f>
        <v>-45</v>
      </c>
    </row>
    <row r="56" customFormat="false" ht="15" hidden="false" customHeight="false" outlineLevel="0" collapsed="false">
      <c r="A56" s="13" t="s">
        <v>55</v>
      </c>
      <c r="B56" s="13" t="s">
        <v>56</v>
      </c>
      <c r="C56" s="13" t="n">
        <v>270</v>
      </c>
      <c r="D56" s="13" t="s">
        <v>23</v>
      </c>
      <c r="E56" s="13" t="s">
        <v>31</v>
      </c>
      <c r="F56" s="13" t="n">
        <v>0</v>
      </c>
      <c r="G56" s="13" t="n">
        <v>16</v>
      </c>
      <c r="H56" s="13" t="n">
        <v>16</v>
      </c>
      <c r="I56" s="13" t="n">
        <f aca="false">H56-G56</f>
        <v>0</v>
      </c>
      <c r="J56" s="13" t="n">
        <f aca="false">H56-F56</f>
        <v>16</v>
      </c>
    </row>
    <row r="57" customFormat="false" ht="15" hidden="false" customHeight="false" outlineLevel="0" collapsed="false">
      <c r="A57" s="13" t="s">
        <v>55</v>
      </c>
      <c r="B57" s="13" t="s">
        <v>56</v>
      </c>
      <c r="C57" s="13" t="n">
        <v>270</v>
      </c>
      <c r="D57" s="13" t="s">
        <v>23</v>
      </c>
      <c r="E57" s="13" t="s">
        <v>32</v>
      </c>
      <c r="F57" s="13" t="n">
        <v>0</v>
      </c>
      <c r="G57" s="13" t="n">
        <v>132</v>
      </c>
      <c r="H57" s="13" t="n">
        <v>132</v>
      </c>
      <c r="I57" s="13" t="n">
        <f aca="false">H57-G57</f>
        <v>0</v>
      </c>
      <c r="J57" s="13" t="n">
        <f aca="false">H57-F57</f>
        <v>132</v>
      </c>
    </row>
    <row r="58" customFormat="false" ht="15" hidden="false" customHeight="false" outlineLevel="0" collapsed="false">
      <c r="A58" s="13" t="s">
        <v>55</v>
      </c>
      <c r="B58" s="13" t="s">
        <v>56</v>
      </c>
      <c r="C58" s="13" t="n">
        <v>270</v>
      </c>
      <c r="D58" s="13" t="s">
        <v>23</v>
      </c>
      <c r="E58" s="13" t="s">
        <v>33</v>
      </c>
      <c r="F58" s="13" t="n">
        <v>0</v>
      </c>
      <c r="G58" s="13" t="n">
        <v>0</v>
      </c>
      <c r="H58" s="13" t="n">
        <v>0</v>
      </c>
      <c r="I58" s="13" t="n">
        <f aca="false">H58-G58</f>
        <v>0</v>
      </c>
      <c r="J58" s="13" t="n">
        <f aca="false">H58-F58</f>
        <v>0</v>
      </c>
    </row>
    <row r="59" customFormat="false" ht="15" hidden="false" customHeight="false" outlineLevel="0" collapsed="false">
      <c r="A59" s="13" t="s">
        <v>55</v>
      </c>
      <c r="B59" s="13" t="s">
        <v>56</v>
      </c>
      <c r="C59" s="13" t="n">
        <v>270</v>
      </c>
      <c r="D59" s="13" t="s">
        <v>23</v>
      </c>
      <c r="E59" s="13" t="s">
        <v>34</v>
      </c>
      <c r="F59" s="13" t="n">
        <v>0</v>
      </c>
      <c r="G59" s="13" t="n">
        <v>0</v>
      </c>
      <c r="H59" s="13" t="n">
        <v>0</v>
      </c>
      <c r="I59" s="13" t="n">
        <f aca="false">H59-G59</f>
        <v>0</v>
      </c>
      <c r="J59" s="13" t="n">
        <f aca="false">H59-F59</f>
        <v>0</v>
      </c>
    </row>
    <row r="60" customFormat="false" ht="15" hidden="false" customHeight="false" outlineLevel="0" collapsed="false">
      <c r="A60" s="13" t="s">
        <v>55</v>
      </c>
      <c r="B60" s="13" t="s">
        <v>56</v>
      </c>
      <c r="C60" s="13" t="n">
        <v>270</v>
      </c>
      <c r="D60" s="13" t="s">
        <v>23</v>
      </c>
      <c r="E60" s="13" t="s">
        <v>35</v>
      </c>
      <c r="F60" s="13" t="n">
        <v>0</v>
      </c>
      <c r="G60" s="13" t="n">
        <v>0</v>
      </c>
      <c r="H60" s="13" t="n">
        <v>0</v>
      </c>
      <c r="I60" s="13" t="n">
        <f aca="false">H60-G60</f>
        <v>0</v>
      </c>
      <c r="J60" s="13" t="n">
        <f aca="false">H60-F60</f>
        <v>0</v>
      </c>
    </row>
    <row r="61" customFormat="false" ht="15" hidden="false" customHeight="false" outlineLevel="0" collapsed="false">
      <c r="A61" s="13" t="s">
        <v>55</v>
      </c>
      <c r="B61" s="13" t="s">
        <v>56</v>
      </c>
      <c r="C61" s="13" t="n">
        <v>270</v>
      </c>
      <c r="D61" s="13" t="s">
        <v>23</v>
      </c>
      <c r="E61" s="13" t="s">
        <v>36</v>
      </c>
      <c r="F61" s="13" t="n">
        <v>0</v>
      </c>
      <c r="G61" s="13" t="n">
        <v>0</v>
      </c>
      <c r="H61" s="13" t="n">
        <v>0</v>
      </c>
      <c r="I61" s="13" t="n">
        <f aca="false">H61-G61</f>
        <v>0</v>
      </c>
      <c r="J61" s="13" t="n">
        <f aca="false">H61-F61</f>
        <v>0</v>
      </c>
    </row>
    <row r="62" customFormat="false" ht="15" hidden="false" customHeight="false" outlineLevel="0" collapsed="false">
      <c r="A62" s="13" t="s">
        <v>55</v>
      </c>
      <c r="B62" s="13" t="s">
        <v>56</v>
      </c>
      <c r="C62" s="13" t="n">
        <v>270</v>
      </c>
      <c r="D62" s="13" t="s">
        <v>155</v>
      </c>
      <c r="E62" s="13" t="s">
        <v>37</v>
      </c>
      <c r="F62" s="13" t="n">
        <v>1</v>
      </c>
      <c r="G62" s="13" t="n">
        <v>1</v>
      </c>
      <c r="H62" s="13" t="n">
        <v>1</v>
      </c>
      <c r="I62" s="13" t="n">
        <f aca="false">H62-G62</f>
        <v>0</v>
      </c>
      <c r="J62" s="13" t="n">
        <f aca="false">H62-F62</f>
        <v>0</v>
      </c>
    </row>
    <row r="63" customFormat="false" ht="15" hidden="false" customHeight="false" outlineLevel="0" collapsed="false">
      <c r="A63" s="13" t="s">
        <v>55</v>
      </c>
      <c r="B63" s="13" t="s">
        <v>56</v>
      </c>
      <c r="C63" s="13" t="n">
        <v>270</v>
      </c>
      <c r="D63" s="13" t="s">
        <v>155</v>
      </c>
      <c r="E63" s="13" t="s">
        <v>39</v>
      </c>
      <c r="F63" s="13" t="n">
        <v>1</v>
      </c>
      <c r="G63" s="13" t="n">
        <v>1</v>
      </c>
      <c r="H63" s="13" t="n">
        <v>1</v>
      </c>
      <c r="I63" s="13" t="n">
        <f aca="false">H63-G63</f>
        <v>0</v>
      </c>
      <c r="J63" s="13" t="n">
        <f aca="false">H63-F63</f>
        <v>0</v>
      </c>
    </row>
    <row r="64" customFormat="false" ht="15" hidden="false" customHeight="false" outlineLevel="0" collapsed="false">
      <c r="A64" s="13" t="s">
        <v>55</v>
      </c>
      <c r="B64" s="13" t="s">
        <v>56</v>
      </c>
      <c r="C64" s="13" t="n">
        <v>270</v>
      </c>
      <c r="D64" s="13" t="s">
        <v>155</v>
      </c>
      <c r="E64" s="13" t="s">
        <v>40</v>
      </c>
      <c r="F64" s="13" t="n">
        <v>1</v>
      </c>
      <c r="G64" s="13" t="n">
        <v>1</v>
      </c>
      <c r="H64" s="13" t="n">
        <v>1</v>
      </c>
      <c r="I64" s="13" t="n">
        <f aca="false">H64-G64</f>
        <v>0</v>
      </c>
      <c r="J64" s="13" t="n">
        <f aca="false">H64-F64</f>
        <v>0</v>
      </c>
    </row>
    <row r="65" customFormat="false" ht="15" hidden="false" customHeight="false" outlineLevel="0" collapsed="false">
      <c r="A65" s="13" t="s">
        <v>55</v>
      </c>
      <c r="B65" s="13" t="s">
        <v>56</v>
      </c>
      <c r="C65" s="13" t="n">
        <v>270</v>
      </c>
      <c r="D65" s="13" t="s">
        <v>155</v>
      </c>
      <c r="E65" s="13" t="s">
        <v>41</v>
      </c>
      <c r="F65" s="13" t="n">
        <v>0</v>
      </c>
      <c r="G65" s="13" t="n">
        <v>0</v>
      </c>
      <c r="H65" s="13" t="n">
        <v>0</v>
      </c>
      <c r="I65" s="13" t="n">
        <f aca="false">H65-G65</f>
        <v>0</v>
      </c>
      <c r="J65" s="13" t="n">
        <f aca="false">H65-F65</f>
        <v>0</v>
      </c>
    </row>
    <row r="66" customFormat="false" ht="15" hidden="false" customHeight="false" outlineLevel="0" collapsed="false">
      <c r="A66" s="13" t="s">
        <v>55</v>
      </c>
      <c r="B66" s="13" t="s">
        <v>56</v>
      </c>
      <c r="C66" s="13" t="n">
        <v>270</v>
      </c>
      <c r="D66" s="13" t="s">
        <v>155</v>
      </c>
      <c r="E66" s="13" t="s">
        <v>42</v>
      </c>
      <c r="F66" s="13" t="n">
        <v>1</v>
      </c>
      <c r="G66" s="13" t="n">
        <v>1</v>
      </c>
      <c r="H66" s="13" t="n">
        <v>1</v>
      </c>
      <c r="I66" s="13" t="n">
        <f aca="false">H66-G66</f>
        <v>0</v>
      </c>
      <c r="J66" s="13" t="n">
        <f aca="false">H66-F66</f>
        <v>0</v>
      </c>
    </row>
    <row r="67" customFormat="false" ht="15" hidden="false" customHeight="false" outlineLevel="0" collapsed="false">
      <c r="A67" s="13" t="s">
        <v>55</v>
      </c>
      <c r="B67" s="13" t="s">
        <v>56</v>
      </c>
      <c r="C67" s="13" t="n">
        <v>270</v>
      </c>
      <c r="D67" s="13" t="s">
        <v>155</v>
      </c>
      <c r="E67" s="13" t="s">
        <v>43</v>
      </c>
      <c r="F67" s="13" t="n">
        <v>1</v>
      </c>
      <c r="G67" s="13" t="n">
        <v>1</v>
      </c>
      <c r="H67" s="13" t="n">
        <v>1</v>
      </c>
      <c r="I67" s="13" t="n">
        <f aca="false">H67-G67</f>
        <v>0</v>
      </c>
      <c r="J67" s="13" t="n">
        <f aca="false">H67-F67</f>
        <v>0</v>
      </c>
    </row>
    <row r="68" customFormat="false" ht="15" hidden="false" customHeight="false" outlineLevel="0" collapsed="false">
      <c r="A68" s="13" t="s">
        <v>55</v>
      </c>
      <c r="B68" s="13" t="s">
        <v>56</v>
      </c>
      <c r="C68" s="13" t="n">
        <v>270</v>
      </c>
      <c r="D68" s="13" t="s">
        <v>155</v>
      </c>
      <c r="E68" s="13" t="s">
        <v>44</v>
      </c>
      <c r="F68" s="13" t="n">
        <v>1</v>
      </c>
      <c r="G68" s="13" t="n">
        <v>1</v>
      </c>
      <c r="H68" s="13" t="n">
        <v>1</v>
      </c>
      <c r="I68" s="13" t="n">
        <f aca="false">H68-G68</f>
        <v>0</v>
      </c>
      <c r="J68" s="13" t="n">
        <f aca="false">H68-F68</f>
        <v>0</v>
      </c>
    </row>
    <row r="69" customFormat="false" ht="15" hidden="false" customHeight="false" outlineLevel="0" collapsed="false">
      <c r="A69" s="13" t="s">
        <v>55</v>
      </c>
      <c r="B69" s="13" t="s">
        <v>56</v>
      </c>
      <c r="C69" s="13" t="n">
        <v>270</v>
      </c>
      <c r="D69" s="13" t="s">
        <v>155</v>
      </c>
      <c r="E69" s="13" t="s">
        <v>45</v>
      </c>
      <c r="F69" s="13" t="n">
        <v>0</v>
      </c>
      <c r="G69" s="13" t="n">
        <v>0</v>
      </c>
      <c r="H69" s="13" t="n">
        <v>0</v>
      </c>
      <c r="I69" s="13" t="n">
        <f aca="false">H69-G69</f>
        <v>0</v>
      </c>
      <c r="J69" s="13" t="n">
        <f aca="false">H69-F69</f>
        <v>0</v>
      </c>
    </row>
    <row r="70" customFormat="false" ht="15" hidden="false" customHeight="false" outlineLevel="0" collapsed="false">
      <c r="A70" s="13" t="s">
        <v>55</v>
      </c>
      <c r="B70" s="13" t="s">
        <v>56</v>
      </c>
      <c r="C70" s="13" t="n">
        <v>270</v>
      </c>
      <c r="D70" s="13" t="s">
        <v>155</v>
      </c>
      <c r="E70" s="13" t="s">
        <v>46</v>
      </c>
      <c r="F70" s="13" t="n">
        <v>0</v>
      </c>
      <c r="G70" s="13" t="n">
        <v>0</v>
      </c>
      <c r="H70" s="13" t="n">
        <v>0</v>
      </c>
      <c r="I70" s="13" t="n">
        <f aca="false">H70-G70</f>
        <v>0</v>
      </c>
      <c r="J70" s="13" t="n">
        <f aca="false">H70-F70</f>
        <v>0</v>
      </c>
    </row>
    <row r="71" customFormat="false" ht="15" hidden="false" customHeight="false" outlineLevel="0" collapsed="false">
      <c r="A71" s="13" t="s">
        <v>57</v>
      </c>
      <c r="B71" s="13" t="s">
        <v>58</v>
      </c>
      <c r="C71" s="13" t="n">
        <v>234</v>
      </c>
      <c r="D71" s="13" t="s">
        <v>23</v>
      </c>
      <c r="E71" s="13" t="s">
        <v>22</v>
      </c>
      <c r="F71" s="13" t="n">
        <v>139</v>
      </c>
      <c r="G71" s="13" t="n">
        <v>140</v>
      </c>
      <c r="H71" s="13" t="n">
        <v>140</v>
      </c>
      <c r="I71" s="13" t="n">
        <f aca="false">H71-G71</f>
        <v>0</v>
      </c>
      <c r="J71" s="13" t="n">
        <f aca="false">H71-F71</f>
        <v>1</v>
      </c>
    </row>
    <row r="72" customFormat="false" ht="15" hidden="false" customHeight="false" outlineLevel="0" collapsed="false">
      <c r="A72" s="13" t="s">
        <v>57</v>
      </c>
      <c r="B72" s="13" t="s">
        <v>58</v>
      </c>
      <c r="C72" s="13" t="n">
        <v>234</v>
      </c>
      <c r="D72" s="13" t="s">
        <v>23</v>
      </c>
      <c r="E72" s="13" t="s">
        <v>24</v>
      </c>
      <c r="F72" s="13" t="n">
        <v>234</v>
      </c>
      <c r="G72" s="13" t="n">
        <v>234</v>
      </c>
      <c r="H72" s="13" t="n">
        <v>234</v>
      </c>
      <c r="I72" s="13" t="n">
        <f aca="false">H72-G72</f>
        <v>0</v>
      </c>
      <c r="J72" s="13" t="n">
        <f aca="false">H72-F72</f>
        <v>0</v>
      </c>
    </row>
    <row r="73" customFormat="false" ht="15" hidden="false" customHeight="false" outlineLevel="0" collapsed="false">
      <c r="A73" s="13" t="s">
        <v>57</v>
      </c>
      <c r="B73" s="13" t="s">
        <v>58</v>
      </c>
      <c r="C73" s="13" t="n">
        <v>234</v>
      </c>
      <c r="D73" s="13" t="s">
        <v>23</v>
      </c>
      <c r="E73" s="13" t="s">
        <v>25</v>
      </c>
      <c r="F73" s="13" t="n">
        <v>227</v>
      </c>
      <c r="G73" s="13" t="n">
        <v>227</v>
      </c>
      <c r="H73" s="13" t="n">
        <v>227</v>
      </c>
      <c r="I73" s="13" t="n">
        <f aca="false">H73-G73</f>
        <v>0</v>
      </c>
      <c r="J73" s="13" t="n">
        <f aca="false">H73-F73</f>
        <v>0</v>
      </c>
    </row>
    <row r="74" customFormat="false" ht="15" hidden="false" customHeight="false" outlineLevel="0" collapsed="false">
      <c r="A74" s="13" t="s">
        <v>57</v>
      </c>
      <c r="B74" s="13" t="s">
        <v>58</v>
      </c>
      <c r="C74" s="13" t="n">
        <v>234</v>
      </c>
      <c r="D74" s="13" t="s">
        <v>23</v>
      </c>
      <c r="E74" s="13" t="s">
        <v>26</v>
      </c>
      <c r="F74" s="13" t="n">
        <v>112</v>
      </c>
      <c r="G74" s="13" t="n">
        <v>101</v>
      </c>
      <c r="H74" s="13" t="n">
        <v>101</v>
      </c>
      <c r="I74" s="13" t="n">
        <f aca="false">H74-G74</f>
        <v>0</v>
      </c>
      <c r="J74" s="13" t="n">
        <f aca="false">H74-F74</f>
        <v>-11</v>
      </c>
    </row>
    <row r="75" customFormat="false" ht="15" hidden="false" customHeight="false" outlineLevel="0" collapsed="false">
      <c r="A75" s="13" t="s">
        <v>57</v>
      </c>
      <c r="B75" s="13" t="s">
        <v>58</v>
      </c>
      <c r="C75" s="13" t="n">
        <v>234</v>
      </c>
      <c r="D75" s="13" t="s">
        <v>23</v>
      </c>
      <c r="E75" s="13" t="s">
        <v>27</v>
      </c>
      <c r="F75" s="13" t="n">
        <v>132</v>
      </c>
      <c r="G75" s="13" t="n">
        <v>116</v>
      </c>
      <c r="H75" s="13" t="n">
        <v>116</v>
      </c>
      <c r="I75" s="13" t="n">
        <f aca="false">H75-G75</f>
        <v>0</v>
      </c>
      <c r="J75" s="13" t="n">
        <f aca="false">H75-F75</f>
        <v>-16</v>
      </c>
    </row>
    <row r="76" customFormat="false" ht="15" hidden="false" customHeight="false" outlineLevel="0" collapsed="false">
      <c r="A76" s="13" t="s">
        <v>57</v>
      </c>
      <c r="B76" s="13" t="s">
        <v>58</v>
      </c>
      <c r="C76" s="13" t="n">
        <v>234</v>
      </c>
      <c r="D76" s="13" t="s">
        <v>23</v>
      </c>
      <c r="E76" s="13" t="s">
        <v>28</v>
      </c>
      <c r="F76" s="13" t="n">
        <v>105</v>
      </c>
      <c r="G76" s="13" t="n">
        <v>98</v>
      </c>
      <c r="H76" s="13" t="n">
        <v>98</v>
      </c>
      <c r="I76" s="13" t="n">
        <f aca="false">H76-G76</f>
        <v>0</v>
      </c>
      <c r="J76" s="13" t="n">
        <f aca="false">H76-F76</f>
        <v>-7</v>
      </c>
    </row>
    <row r="77" customFormat="false" ht="15" hidden="false" customHeight="false" outlineLevel="0" collapsed="false">
      <c r="A77" s="13" t="s">
        <v>57</v>
      </c>
      <c r="B77" s="13" t="s">
        <v>58</v>
      </c>
      <c r="C77" s="13" t="n">
        <v>234</v>
      </c>
      <c r="D77" s="13" t="s">
        <v>23</v>
      </c>
      <c r="E77" s="13" t="s">
        <v>29</v>
      </c>
      <c r="F77" s="13" t="n">
        <v>105</v>
      </c>
      <c r="G77" s="13" t="n">
        <v>98</v>
      </c>
      <c r="H77" s="13" t="n">
        <v>98</v>
      </c>
      <c r="I77" s="13" t="n">
        <f aca="false">H77-G77</f>
        <v>0</v>
      </c>
      <c r="J77" s="13" t="n">
        <f aca="false">H77-F77</f>
        <v>-7</v>
      </c>
    </row>
    <row r="78" customFormat="false" ht="15" hidden="false" customHeight="false" outlineLevel="0" collapsed="false">
      <c r="A78" s="13" t="s">
        <v>57</v>
      </c>
      <c r="B78" s="13" t="s">
        <v>58</v>
      </c>
      <c r="C78" s="13" t="n">
        <v>234</v>
      </c>
      <c r="D78" s="13" t="s">
        <v>23</v>
      </c>
      <c r="E78" s="13" t="s">
        <v>30</v>
      </c>
      <c r="F78" s="13" t="n">
        <v>234</v>
      </c>
      <c r="G78" s="13" t="n">
        <v>234</v>
      </c>
      <c r="H78" s="13" t="n">
        <v>234</v>
      </c>
      <c r="I78" s="13" t="n">
        <f aca="false">H78-G78</f>
        <v>0</v>
      </c>
      <c r="J78" s="13" t="n">
        <f aca="false">H78-F78</f>
        <v>0</v>
      </c>
    </row>
    <row r="79" customFormat="false" ht="15" hidden="false" customHeight="false" outlineLevel="0" collapsed="false">
      <c r="A79" s="13" t="s">
        <v>57</v>
      </c>
      <c r="B79" s="13" t="s">
        <v>58</v>
      </c>
      <c r="C79" s="13" t="n">
        <v>234</v>
      </c>
      <c r="D79" s="13" t="s">
        <v>23</v>
      </c>
      <c r="E79" s="13" t="s">
        <v>31</v>
      </c>
      <c r="F79" s="13" t="n">
        <v>1</v>
      </c>
      <c r="G79" s="13" t="n">
        <v>2</v>
      </c>
      <c r="H79" s="13" t="n">
        <v>2</v>
      </c>
      <c r="I79" s="13" t="n">
        <f aca="false">H79-G79</f>
        <v>0</v>
      </c>
      <c r="J79" s="13" t="n">
        <f aca="false">H79-F79</f>
        <v>1</v>
      </c>
    </row>
    <row r="80" customFormat="false" ht="15" hidden="false" customHeight="false" outlineLevel="0" collapsed="false">
      <c r="A80" s="13" t="s">
        <v>57</v>
      </c>
      <c r="B80" s="13" t="s">
        <v>58</v>
      </c>
      <c r="C80" s="13" t="n">
        <v>234</v>
      </c>
      <c r="D80" s="13" t="s">
        <v>23</v>
      </c>
      <c r="E80" s="13" t="s">
        <v>32</v>
      </c>
      <c r="F80" s="13" t="n">
        <v>95</v>
      </c>
      <c r="G80" s="13" t="n">
        <v>96</v>
      </c>
      <c r="H80" s="13" t="n">
        <v>96</v>
      </c>
      <c r="I80" s="13" t="n">
        <f aca="false">H80-G80</f>
        <v>0</v>
      </c>
      <c r="J80" s="13" t="n">
        <f aca="false">H80-F80</f>
        <v>1</v>
      </c>
    </row>
    <row r="81" customFormat="false" ht="15" hidden="false" customHeight="false" outlineLevel="0" collapsed="false">
      <c r="A81" s="13" t="s">
        <v>57</v>
      </c>
      <c r="B81" s="13" t="s">
        <v>58</v>
      </c>
      <c r="C81" s="13" t="n">
        <v>234</v>
      </c>
      <c r="D81" s="13" t="s">
        <v>23</v>
      </c>
      <c r="E81" s="13" t="s">
        <v>33</v>
      </c>
      <c r="F81" s="13" t="n">
        <v>0</v>
      </c>
      <c r="G81" s="13" t="n">
        <v>0</v>
      </c>
      <c r="H81" s="13" t="n">
        <v>0</v>
      </c>
      <c r="I81" s="13" t="n">
        <f aca="false">H81-G81</f>
        <v>0</v>
      </c>
      <c r="J81" s="13" t="n">
        <f aca="false">H81-F81</f>
        <v>0</v>
      </c>
    </row>
    <row r="82" customFormat="false" ht="15" hidden="false" customHeight="false" outlineLevel="0" collapsed="false">
      <c r="A82" s="13" t="s">
        <v>57</v>
      </c>
      <c r="B82" s="13" t="s">
        <v>58</v>
      </c>
      <c r="C82" s="13" t="n">
        <v>234</v>
      </c>
      <c r="D82" s="13" t="s">
        <v>23</v>
      </c>
      <c r="E82" s="13" t="s">
        <v>34</v>
      </c>
      <c r="F82" s="13" t="n">
        <v>193</v>
      </c>
      <c r="G82" s="13" t="n">
        <v>193</v>
      </c>
      <c r="H82" s="13" t="n">
        <v>193</v>
      </c>
      <c r="I82" s="13" t="n">
        <f aca="false">H82-G82</f>
        <v>0</v>
      </c>
      <c r="J82" s="13" t="n">
        <f aca="false">H82-F82</f>
        <v>0</v>
      </c>
    </row>
    <row r="83" customFormat="false" ht="15" hidden="false" customHeight="false" outlineLevel="0" collapsed="false">
      <c r="A83" s="13" t="s">
        <v>57</v>
      </c>
      <c r="B83" s="13" t="s">
        <v>58</v>
      </c>
      <c r="C83" s="13" t="n">
        <v>234</v>
      </c>
      <c r="D83" s="13" t="s">
        <v>23</v>
      </c>
      <c r="E83" s="13" t="s">
        <v>35</v>
      </c>
      <c r="F83" s="13" t="n">
        <v>0</v>
      </c>
      <c r="G83" s="13" t="n">
        <v>0</v>
      </c>
      <c r="H83" s="13" t="n">
        <v>0</v>
      </c>
      <c r="I83" s="13" t="n">
        <f aca="false">H83-G83</f>
        <v>0</v>
      </c>
      <c r="J83" s="13" t="n">
        <f aca="false">H83-F83</f>
        <v>0</v>
      </c>
    </row>
    <row r="84" customFormat="false" ht="15" hidden="false" customHeight="false" outlineLevel="0" collapsed="false">
      <c r="A84" s="13" t="s">
        <v>57</v>
      </c>
      <c r="B84" s="13" t="s">
        <v>58</v>
      </c>
      <c r="C84" s="13" t="n">
        <v>234</v>
      </c>
      <c r="D84" s="13" t="s">
        <v>23</v>
      </c>
      <c r="E84" s="13" t="s">
        <v>36</v>
      </c>
      <c r="F84" s="13" t="n">
        <v>0</v>
      </c>
      <c r="G84" s="13" t="n">
        <v>0</v>
      </c>
      <c r="H84" s="13" t="n">
        <v>0</v>
      </c>
      <c r="I84" s="13" t="n">
        <f aca="false">H84-G84</f>
        <v>0</v>
      </c>
      <c r="J84" s="13" t="n">
        <f aca="false">H84-F84</f>
        <v>0</v>
      </c>
    </row>
    <row r="85" customFormat="false" ht="15" hidden="false" customHeight="false" outlineLevel="0" collapsed="false">
      <c r="A85" s="13" t="s">
        <v>57</v>
      </c>
      <c r="B85" s="13" t="s">
        <v>58</v>
      </c>
      <c r="C85" s="13" t="n">
        <v>234</v>
      </c>
      <c r="D85" s="13" t="s">
        <v>155</v>
      </c>
      <c r="E85" s="13" t="s">
        <v>37</v>
      </c>
      <c r="F85" s="13" t="n">
        <v>1</v>
      </c>
      <c r="G85" s="13" t="n">
        <v>1</v>
      </c>
      <c r="H85" s="13" t="n">
        <v>1</v>
      </c>
      <c r="I85" s="13" t="n">
        <f aca="false">H85-G85</f>
        <v>0</v>
      </c>
      <c r="J85" s="13" t="n">
        <f aca="false">H85-F85</f>
        <v>0</v>
      </c>
    </row>
    <row r="86" customFormat="false" ht="15" hidden="false" customHeight="false" outlineLevel="0" collapsed="false">
      <c r="A86" s="13" t="s">
        <v>57</v>
      </c>
      <c r="B86" s="13" t="s">
        <v>58</v>
      </c>
      <c r="C86" s="13" t="n">
        <v>234</v>
      </c>
      <c r="D86" s="13" t="s">
        <v>155</v>
      </c>
      <c r="E86" s="13" t="s">
        <v>39</v>
      </c>
      <c r="F86" s="13" t="n">
        <v>1</v>
      </c>
      <c r="G86" s="13" t="n">
        <v>1</v>
      </c>
      <c r="H86" s="13" t="n">
        <v>1</v>
      </c>
      <c r="I86" s="13" t="n">
        <f aca="false">H86-G86</f>
        <v>0</v>
      </c>
      <c r="J86" s="13" t="n">
        <f aca="false">H86-F86</f>
        <v>0</v>
      </c>
    </row>
    <row r="87" customFormat="false" ht="15" hidden="false" customHeight="false" outlineLevel="0" collapsed="false">
      <c r="A87" s="13" t="s">
        <v>57</v>
      </c>
      <c r="B87" s="13" t="s">
        <v>58</v>
      </c>
      <c r="C87" s="13" t="n">
        <v>234</v>
      </c>
      <c r="D87" s="13" t="s">
        <v>155</v>
      </c>
      <c r="E87" s="13" t="s">
        <v>40</v>
      </c>
      <c r="F87" s="13" t="n">
        <v>1</v>
      </c>
      <c r="G87" s="13" t="n">
        <v>1</v>
      </c>
      <c r="H87" s="13" t="n">
        <v>1</v>
      </c>
      <c r="I87" s="13" t="n">
        <f aca="false">H87-G87</f>
        <v>0</v>
      </c>
      <c r="J87" s="13" t="n">
        <f aca="false">H87-F87</f>
        <v>0</v>
      </c>
    </row>
    <row r="88" customFormat="false" ht="15" hidden="false" customHeight="false" outlineLevel="0" collapsed="false">
      <c r="A88" s="13" t="s">
        <v>57</v>
      </c>
      <c r="B88" s="13" t="s">
        <v>58</v>
      </c>
      <c r="C88" s="13" t="n">
        <v>234</v>
      </c>
      <c r="D88" s="13" t="s">
        <v>155</v>
      </c>
      <c r="E88" s="13" t="s">
        <v>41</v>
      </c>
      <c r="F88" s="13" t="n">
        <v>0</v>
      </c>
      <c r="G88" s="13" t="n">
        <v>0</v>
      </c>
      <c r="H88" s="13" t="n">
        <v>0</v>
      </c>
      <c r="I88" s="13" t="n">
        <f aca="false">H88-G88</f>
        <v>0</v>
      </c>
      <c r="J88" s="13" t="n">
        <f aca="false">H88-F88</f>
        <v>0</v>
      </c>
    </row>
    <row r="89" customFormat="false" ht="15" hidden="false" customHeight="false" outlineLevel="0" collapsed="false">
      <c r="A89" s="13" t="s">
        <v>57</v>
      </c>
      <c r="B89" s="13" t="s">
        <v>58</v>
      </c>
      <c r="C89" s="13" t="n">
        <v>234</v>
      </c>
      <c r="D89" s="13" t="s">
        <v>155</v>
      </c>
      <c r="E89" s="13" t="s">
        <v>42</v>
      </c>
      <c r="F89" s="13" t="n">
        <v>1</v>
      </c>
      <c r="G89" s="13" t="n">
        <v>1</v>
      </c>
      <c r="H89" s="13" t="n">
        <v>1</v>
      </c>
      <c r="I89" s="13" t="n">
        <f aca="false">H89-G89</f>
        <v>0</v>
      </c>
      <c r="J89" s="13" t="n">
        <f aca="false">H89-F89</f>
        <v>0</v>
      </c>
    </row>
    <row r="90" customFormat="false" ht="15" hidden="false" customHeight="false" outlineLevel="0" collapsed="false">
      <c r="A90" s="13" t="s">
        <v>57</v>
      </c>
      <c r="B90" s="13" t="s">
        <v>58</v>
      </c>
      <c r="C90" s="13" t="n">
        <v>234</v>
      </c>
      <c r="D90" s="13" t="s">
        <v>155</v>
      </c>
      <c r="E90" s="13" t="s">
        <v>43</v>
      </c>
      <c r="F90" s="13" t="n">
        <v>1</v>
      </c>
      <c r="G90" s="13" t="n">
        <v>1</v>
      </c>
      <c r="H90" s="13" t="n">
        <v>1</v>
      </c>
      <c r="I90" s="13" t="n">
        <f aca="false">H90-G90</f>
        <v>0</v>
      </c>
      <c r="J90" s="13" t="n">
        <f aca="false">H90-F90</f>
        <v>0</v>
      </c>
    </row>
    <row r="91" customFormat="false" ht="15" hidden="false" customHeight="false" outlineLevel="0" collapsed="false">
      <c r="A91" s="13" t="s">
        <v>57</v>
      </c>
      <c r="B91" s="13" t="s">
        <v>58</v>
      </c>
      <c r="C91" s="13" t="n">
        <v>234</v>
      </c>
      <c r="D91" s="13" t="s">
        <v>155</v>
      </c>
      <c r="E91" s="13" t="s">
        <v>44</v>
      </c>
      <c r="F91" s="13" t="n">
        <v>1</v>
      </c>
      <c r="G91" s="13" t="n">
        <v>1</v>
      </c>
      <c r="H91" s="13" t="n">
        <v>1</v>
      </c>
      <c r="I91" s="13" t="n">
        <f aca="false">H91-G91</f>
        <v>0</v>
      </c>
      <c r="J91" s="13" t="n">
        <f aca="false">H91-F91</f>
        <v>0</v>
      </c>
    </row>
    <row r="92" customFormat="false" ht="15" hidden="false" customHeight="false" outlineLevel="0" collapsed="false">
      <c r="A92" s="13" t="s">
        <v>57</v>
      </c>
      <c r="B92" s="13" t="s">
        <v>58</v>
      </c>
      <c r="C92" s="13" t="n">
        <v>234</v>
      </c>
      <c r="D92" s="13" t="s">
        <v>155</v>
      </c>
      <c r="E92" s="13" t="s">
        <v>45</v>
      </c>
      <c r="F92" s="13" t="n">
        <v>0</v>
      </c>
      <c r="G92" s="13" t="n">
        <v>1</v>
      </c>
      <c r="H92" s="13" t="n">
        <v>1</v>
      </c>
      <c r="I92" s="13" t="n">
        <f aca="false">H92-G92</f>
        <v>0</v>
      </c>
      <c r="J92" s="13" t="n">
        <f aca="false">H92-F92</f>
        <v>1</v>
      </c>
    </row>
    <row r="93" customFormat="false" ht="15" hidden="false" customHeight="false" outlineLevel="0" collapsed="false">
      <c r="A93" s="13" t="s">
        <v>57</v>
      </c>
      <c r="B93" s="13" t="s">
        <v>58</v>
      </c>
      <c r="C93" s="13" t="n">
        <v>234</v>
      </c>
      <c r="D93" s="13" t="s">
        <v>155</v>
      </c>
      <c r="E93" s="13" t="s">
        <v>46</v>
      </c>
      <c r="F93" s="13" t="n">
        <v>0</v>
      </c>
      <c r="G93" s="13" t="n">
        <v>0</v>
      </c>
      <c r="H93" s="13" t="n">
        <v>0</v>
      </c>
      <c r="I93" s="13" t="n">
        <f aca="false">H93-G93</f>
        <v>0</v>
      </c>
      <c r="J93" s="13" t="n">
        <f aca="false">H93-F93</f>
        <v>0</v>
      </c>
    </row>
    <row r="94" customFormat="false" ht="15" hidden="false" customHeight="false" outlineLevel="0" collapsed="false">
      <c r="A94" s="13" t="s">
        <v>59</v>
      </c>
      <c r="B94" s="13" t="s">
        <v>60</v>
      </c>
      <c r="C94" s="13" t="n">
        <v>208</v>
      </c>
      <c r="D94" s="13" t="s">
        <v>23</v>
      </c>
      <c r="E94" s="13" t="s">
        <v>22</v>
      </c>
      <c r="F94" s="13" t="n">
        <v>153</v>
      </c>
      <c r="G94" s="13" t="n">
        <v>153</v>
      </c>
      <c r="H94" s="13" t="n">
        <v>153</v>
      </c>
      <c r="I94" s="13" t="n">
        <f aca="false">H94-G94</f>
        <v>0</v>
      </c>
      <c r="J94" s="13" t="n">
        <f aca="false">H94-F94</f>
        <v>0</v>
      </c>
    </row>
    <row r="95" customFormat="false" ht="15" hidden="false" customHeight="false" outlineLevel="0" collapsed="false">
      <c r="A95" s="13" t="s">
        <v>59</v>
      </c>
      <c r="B95" s="13" t="s">
        <v>60</v>
      </c>
      <c r="C95" s="13" t="n">
        <v>208</v>
      </c>
      <c r="D95" s="13" t="s">
        <v>23</v>
      </c>
      <c r="E95" s="13" t="s">
        <v>24</v>
      </c>
      <c r="F95" s="13" t="n">
        <v>208</v>
      </c>
      <c r="G95" s="13" t="n">
        <v>208</v>
      </c>
      <c r="H95" s="13" t="n">
        <v>208</v>
      </c>
      <c r="I95" s="13" t="n">
        <f aca="false">H95-G95</f>
        <v>0</v>
      </c>
      <c r="J95" s="13" t="n">
        <f aca="false">H95-F95</f>
        <v>0</v>
      </c>
    </row>
    <row r="96" customFormat="false" ht="15" hidden="false" customHeight="false" outlineLevel="0" collapsed="false">
      <c r="A96" s="13" t="s">
        <v>59</v>
      </c>
      <c r="B96" s="13" t="s">
        <v>60</v>
      </c>
      <c r="C96" s="13" t="n">
        <v>208</v>
      </c>
      <c r="D96" s="13" t="s">
        <v>23</v>
      </c>
      <c r="E96" s="13" t="s">
        <v>25</v>
      </c>
      <c r="F96" s="13" t="n">
        <v>208</v>
      </c>
      <c r="G96" s="13" t="n">
        <v>208</v>
      </c>
      <c r="H96" s="13" t="n">
        <v>208</v>
      </c>
      <c r="I96" s="13" t="n">
        <f aca="false">H96-G96</f>
        <v>0</v>
      </c>
      <c r="J96" s="13" t="n">
        <f aca="false">H96-F96</f>
        <v>0</v>
      </c>
    </row>
    <row r="97" customFormat="false" ht="15" hidden="false" customHeight="false" outlineLevel="0" collapsed="false">
      <c r="A97" s="13" t="s">
        <v>59</v>
      </c>
      <c r="B97" s="13" t="s">
        <v>60</v>
      </c>
      <c r="C97" s="13" t="n">
        <v>208</v>
      </c>
      <c r="D97" s="13" t="s">
        <v>23</v>
      </c>
      <c r="E97" s="13" t="s">
        <v>26</v>
      </c>
      <c r="F97" s="13" t="n">
        <v>53</v>
      </c>
      <c r="G97" s="13" t="n">
        <v>43</v>
      </c>
      <c r="H97" s="13" t="n">
        <v>43</v>
      </c>
      <c r="I97" s="13" t="n">
        <f aca="false">H97-G97</f>
        <v>0</v>
      </c>
      <c r="J97" s="13" t="n">
        <f aca="false">H97-F97</f>
        <v>-10</v>
      </c>
    </row>
    <row r="98" customFormat="false" ht="15" hidden="false" customHeight="false" outlineLevel="0" collapsed="false">
      <c r="A98" s="13" t="s">
        <v>59</v>
      </c>
      <c r="B98" s="13" t="s">
        <v>60</v>
      </c>
      <c r="C98" s="13" t="n">
        <v>208</v>
      </c>
      <c r="D98" s="13" t="s">
        <v>23</v>
      </c>
      <c r="E98" s="13" t="s">
        <v>27</v>
      </c>
      <c r="F98" s="13" t="n">
        <v>103</v>
      </c>
      <c r="G98" s="13" t="n">
        <v>77</v>
      </c>
      <c r="H98" s="13" t="n">
        <v>77</v>
      </c>
      <c r="I98" s="13" t="n">
        <f aca="false">H98-G98</f>
        <v>0</v>
      </c>
      <c r="J98" s="13" t="n">
        <f aca="false">H98-F98</f>
        <v>-26</v>
      </c>
    </row>
    <row r="99" customFormat="false" ht="15" hidden="false" customHeight="false" outlineLevel="0" collapsed="false">
      <c r="A99" s="13" t="s">
        <v>59</v>
      </c>
      <c r="B99" s="13" t="s">
        <v>60</v>
      </c>
      <c r="C99" s="13" t="n">
        <v>208</v>
      </c>
      <c r="D99" s="13" t="s">
        <v>23</v>
      </c>
      <c r="E99" s="13" t="s">
        <v>28</v>
      </c>
      <c r="F99" s="13" t="n">
        <v>75</v>
      </c>
      <c r="G99" s="13" t="n">
        <v>72</v>
      </c>
      <c r="H99" s="13" t="n">
        <v>72</v>
      </c>
      <c r="I99" s="13" t="n">
        <f aca="false">H99-G99</f>
        <v>0</v>
      </c>
      <c r="J99" s="13" t="n">
        <f aca="false">H99-F99</f>
        <v>-3</v>
      </c>
    </row>
    <row r="100" customFormat="false" ht="15" hidden="false" customHeight="false" outlineLevel="0" collapsed="false">
      <c r="A100" s="13" t="s">
        <v>59</v>
      </c>
      <c r="B100" s="13" t="s">
        <v>60</v>
      </c>
      <c r="C100" s="13" t="n">
        <v>208</v>
      </c>
      <c r="D100" s="13" t="s">
        <v>23</v>
      </c>
      <c r="E100" s="13" t="s">
        <v>29</v>
      </c>
      <c r="F100" s="13" t="n">
        <v>75</v>
      </c>
      <c r="G100" s="13" t="n">
        <v>72</v>
      </c>
      <c r="H100" s="13" t="n">
        <v>72</v>
      </c>
      <c r="I100" s="13" t="n">
        <f aca="false">H100-G100</f>
        <v>0</v>
      </c>
      <c r="J100" s="13" t="n">
        <f aca="false">H100-F100</f>
        <v>-3</v>
      </c>
    </row>
    <row r="101" customFormat="false" ht="15" hidden="false" customHeight="false" outlineLevel="0" collapsed="false">
      <c r="A101" s="13" t="s">
        <v>59</v>
      </c>
      <c r="B101" s="13" t="s">
        <v>60</v>
      </c>
      <c r="C101" s="13" t="n">
        <v>208</v>
      </c>
      <c r="D101" s="13" t="s">
        <v>23</v>
      </c>
      <c r="E101" s="13" t="s">
        <v>30</v>
      </c>
      <c r="F101" s="13" t="n">
        <v>208</v>
      </c>
      <c r="G101" s="13" t="n">
        <v>208</v>
      </c>
      <c r="H101" s="13" t="n">
        <v>208</v>
      </c>
      <c r="I101" s="13" t="n">
        <f aca="false">H101-G101</f>
        <v>0</v>
      </c>
      <c r="J101" s="13" t="n">
        <f aca="false">H101-F101</f>
        <v>0</v>
      </c>
    </row>
    <row r="102" customFormat="false" ht="15" hidden="false" customHeight="false" outlineLevel="0" collapsed="false">
      <c r="A102" s="13" t="s">
        <v>59</v>
      </c>
      <c r="B102" s="13" t="s">
        <v>60</v>
      </c>
      <c r="C102" s="13" t="n">
        <v>208</v>
      </c>
      <c r="D102" s="13" t="s">
        <v>23</v>
      </c>
      <c r="E102" s="13" t="s">
        <v>31</v>
      </c>
      <c r="F102" s="13" t="n">
        <v>0</v>
      </c>
      <c r="G102" s="13" t="n">
        <v>4</v>
      </c>
      <c r="H102" s="13" t="n">
        <v>4</v>
      </c>
      <c r="I102" s="13" t="n">
        <f aca="false">H102-G102</f>
        <v>0</v>
      </c>
      <c r="J102" s="13" t="n">
        <f aca="false">H102-F102</f>
        <v>4</v>
      </c>
    </row>
    <row r="103" customFormat="false" ht="15" hidden="false" customHeight="false" outlineLevel="0" collapsed="false">
      <c r="A103" s="13" t="s">
        <v>59</v>
      </c>
      <c r="B103" s="13" t="s">
        <v>60</v>
      </c>
      <c r="C103" s="13" t="n">
        <v>208</v>
      </c>
      <c r="D103" s="13" t="s">
        <v>23</v>
      </c>
      <c r="E103" s="13" t="s">
        <v>32</v>
      </c>
      <c r="F103" s="13" t="n">
        <v>40</v>
      </c>
      <c r="G103" s="13" t="n">
        <v>68</v>
      </c>
      <c r="H103" s="13" t="n">
        <v>68</v>
      </c>
      <c r="I103" s="13" t="n">
        <f aca="false">H103-G103</f>
        <v>0</v>
      </c>
      <c r="J103" s="13" t="n">
        <f aca="false">H103-F103</f>
        <v>28</v>
      </c>
    </row>
    <row r="104" customFormat="false" ht="15" hidden="false" customHeight="false" outlineLevel="0" collapsed="false">
      <c r="A104" s="13" t="s">
        <v>59</v>
      </c>
      <c r="B104" s="13" t="s">
        <v>60</v>
      </c>
      <c r="C104" s="13" t="n">
        <v>208</v>
      </c>
      <c r="D104" s="13" t="s">
        <v>23</v>
      </c>
      <c r="E104" s="13" t="s">
        <v>33</v>
      </c>
      <c r="F104" s="13" t="n">
        <v>0</v>
      </c>
      <c r="G104" s="13" t="n">
        <v>0</v>
      </c>
      <c r="H104" s="13" t="n">
        <v>0</v>
      </c>
      <c r="I104" s="13" t="n">
        <f aca="false">H104-G104</f>
        <v>0</v>
      </c>
      <c r="J104" s="13" t="n">
        <f aca="false">H104-F104</f>
        <v>0</v>
      </c>
    </row>
    <row r="105" customFormat="false" ht="15" hidden="false" customHeight="false" outlineLevel="0" collapsed="false">
      <c r="A105" s="13" t="s">
        <v>59</v>
      </c>
      <c r="B105" s="13" t="s">
        <v>60</v>
      </c>
      <c r="C105" s="13" t="n">
        <v>208</v>
      </c>
      <c r="D105" s="13" t="s">
        <v>23</v>
      </c>
      <c r="E105" s="13" t="s">
        <v>34</v>
      </c>
      <c r="F105" s="13" t="n">
        <v>0</v>
      </c>
      <c r="G105" s="13" t="n">
        <v>74</v>
      </c>
      <c r="H105" s="13" t="n">
        <v>74</v>
      </c>
      <c r="I105" s="13" t="n">
        <f aca="false">H105-G105</f>
        <v>0</v>
      </c>
      <c r="J105" s="13" t="n">
        <f aca="false">H105-F105</f>
        <v>74</v>
      </c>
    </row>
    <row r="106" customFormat="false" ht="15" hidden="false" customHeight="false" outlineLevel="0" collapsed="false">
      <c r="A106" s="13" t="s">
        <v>59</v>
      </c>
      <c r="B106" s="13" t="s">
        <v>60</v>
      </c>
      <c r="C106" s="13" t="n">
        <v>208</v>
      </c>
      <c r="D106" s="13" t="s">
        <v>23</v>
      </c>
      <c r="E106" s="13" t="s">
        <v>35</v>
      </c>
      <c r="F106" s="13" t="n">
        <v>0</v>
      </c>
      <c r="G106" s="13" t="n">
        <v>0</v>
      </c>
      <c r="H106" s="13" t="n">
        <v>0</v>
      </c>
      <c r="I106" s="13" t="n">
        <f aca="false">H106-G106</f>
        <v>0</v>
      </c>
      <c r="J106" s="13" t="n">
        <f aca="false">H106-F106</f>
        <v>0</v>
      </c>
    </row>
    <row r="107" customFormat="false" ht="15" hidden="false" customHeight="false" outlineLevel="0" collapsed="false">
      <c r="A107" s="13" t="s">
        <v>59</v>
      </c>
      <c r="B107" s="13" t="s">
        <v>60</v>
      </c>
      <c r="C107" s="13" t="n">
        <v>208</v>
      </c>
      <c r="D107" s="13" t="s">
        <v>23</v>
      </c>
      <c r="E107" s="13" t="s">
        <v>36</v>
      </c>
      <c r="F107" s="13" t="n">
        <v>0</v>
      </c>
      <c r="G107" s="13" t="n">
        <v>0</v>
      </c>
      <c r="H107" s="13" t="n">
        <v>0</v>
      </c>
      <c r="I107" s="13" t="n">
        <f aca="false">H107-G107</f>
        <v>0</v>
      </c>
      <c r="J107" s="13" t="n">
        <f aca="false">H107-F107</f>
        <v>0</v>
      </c>
    </row>
    <row r="108" customFormat="false" ht="15" hidden="false" customHeight="false" outlineLevel="0" collapsed="false">
      <c r="A108" s="13" t="s">
        <v>59</v>
      </c>
      <c r="B108" s="13" t="s">
        <v>60</v>
      </c>
      <c r="C108" s="13" t="n">
        <v>208</v>
      </c>
      <c r="D108" s="13" t="s">
        <v>155</v>
      </c>
      <c r="E108" s="13" t="s">
        <v>37</v>
      </c>
      <c r="F108" s="13" t="n">
        <v>1</v>
      </c>
      <c r="G108" s="13" t="n">
        <v>1</v>
      </c>
      <c r="H108" s="13" t="n">
        <v>1</v>
      </c>
      <c r="I108" s="13" t="n">
        <f aca="false">H108-G108</f>
        <v>0</v>
      </c>
      <c r="J108" s="13" t="n">
        <f aca="false">H108-F108</f>
        <v>0</v>
      </c>
    </row>
    <row r="109" customFormat="false" ht="15" hidden="false" customHeight="false" outlineLevel="0" collapsed="false">
      <c r="A109" s="13" t="s">
        <v>59</v>
      </c>
      <c r="B109" s="13" t="s">
        <v>60</v>
      </c>
      <c r="C109" s="13" t="n">
        <v>208</v>
      </c>
      <c r="D109" s="13" t="s">
        <v>155</v>
      </c>
      <c r="E109" s="13" t="s">
        <v>39</v>
      </c>
      <c r="F109" s="13" t="n">
        <v>0</v>
      </c>
      <c r="G109" s="13" t="n">
        <v>0</v>
      </c>
      <c r="H109" s="13" t="n">
        <v>0</v>
      </c>
      <c r="I109" s="13" t="n">
        <f aca="false">H109-G109</f>
        <v>0</v>
      </c>
      <c r="J109" s="13" t="n">
        <f aca="false">H109-F109</f>
        <v>0</v>
      </c>
    </row>
    <row r="110" customFormat="false" ht="15" hidden="false" customHeight="false" outlineLevel="0" collapsed="false">
      <c r="A110" s="13" t="s">
        <v>59</v>
      </c>
      <c r="B110" s="13" t="s">
        <v>60</v>
      </c>
      <c r="C110" s="13" t="n">
        <v>208</v>
      </c>
      <c r="D110" s="13" t="s">
        <v>155</v>
      </c>
      <c r="E110" s="13" t="s">
        <v>40</v>
      </c>
      <c r="F110" s="13" t="n">
        <v>1</v>
      </c>
      <c r="G110" s="13" t="n">
        <v>1</v>
      </c>
      <c r="H110" s="13" t="n">
        <v>1</v>
      </c>
      <c r="I110" s="13" t="n">
        <f aca="false">H110-G110</f>
        <v>0</v>
      </c>
      <c r="J110" s="13" t="n">
        <f aca="false">H110-F110</f>
        <v>0</v>
      </c>
    </row>
    <row r="111" customFormat="false" ht="15" hidden="false" customHeight="false" outlineLevel="0" collapsed="false">
      <c r="A111" s="13" t="s">
        <v>59</v>
      </c>
      <c r="B111" s="13" t="s">
        <v>60</v>
      </c>
      <c r="C111" s="13" t="n">
        <v>208</v>
      </c>
      <c r="D111" s="13" t="s">
        <v>155</v>
      </c>
      <c r="E111" s="13" t="s">
        <v>41</v>
      </c>
      <c r="F111" s="13" t="n">
        <v>0</v>
      </c>
      <c r="G111" s="13" t="n">
        <v>0</v>
      </c>
      <c r="H111" s="13" t="n">
        <v>0</v>
      </c>
      <c r="I111" s="13" t="n">
        <f aca="false">H111-G111</f>
        <v>0</v>
      </c>
      <c r="J111" s="13" t="n">
        <f aca="false">H111-F111</f>
        <v>0</v>
      </c>
    </row>
    <row r="112" customFormat="false" ht="15" hidden="false" customHeight="false" outlineLevel="0" collapsed="false">
      <c r="A112" s="13" t="s">
        <v>59</v>
      </c>
      <c r="B112" s="13" t="s">
        <v>60</v>
      </c>
      <c r="C112" s="13" t="n">
        <v>208</v>
      </c>
      <c r="D112" s="13" t="s">
        <v>155</v>
      </c>
      <c r="E112" s="13" t="s">
        <v>42</v>
      </c>
      <c r="F112" s="13" t="n">
        <v>1</v>
      </c>
      <c r="G112" s="13" t="n">
        <v>1</v>
      </c>
      <c r="H112" s="13" t="n">
        <v>1</v>
      </c>
      <c r="I112" s="13" t="n">
        <f aca="false">H112-G112</f>
        <v>0</v>
      </c>
      <c r="J112" s="13" t="n">
        <f aca="false">H112-F112</f>
        <v>0</v>
      </c>
    </row>
    <row r="113" customFormat="false" ht="15" hidden="false" customHeight="false" outlineLevel="0" collapsed="false">
      <c r="A113" s="13" t="s">
        <v>59</v>
      </c>
      <c r="B113" s="13" t="s">
        <v>60</v>
      </c>
      <c r="C113" s="13" t="n">
        <v>208</v>
      </c>
      <c r="D113" s="13" t="s">
        <v>155</v>
      </c>
      <c r="E113" s="13" t="s">
        <v>43</v>
      </c>
      <c r="F113" s="13" t="n">
        <v>1</v>
      </c>
      <c r="G113" s="13" t="n">
        <v>1</v>
      </c>
      <c r="H113" s="13" t="n">
        <v>1</v>
      </c>
      <c r="I113" s="13" t="n">
        <f aca="false">H113-G113</f>
        <v>0</v>
      </c>
      <c r="J113" s="13" t="n">
        <f aca="false">H113-F113</f>
        <v>0</v>
      </c>
    </row>
    <row r="114" customFormat="false" ht="15" hidden="false" customHeight="false" outlineLevel="0" collapsed="false">
      <c r="A114" s="13" t="s">
        <v>59</v>
      </c>
      <c r="B114" s="13" t="s">
        <v>60</v>
      </c>
      <c r="C114" s="13" t="n">
        <v>208</v>
      </c>
      <c r="D114" s="13" t="s">
        <v>155</v>
      </c>
      <c r="E114" s="13" t="s">
        <v>44</v>
      </c>
      <c r="F114" s="13" t="n">
        <v>1</v>
      </c>
      <c r="G114" s="13" t="n">
        <v>1</v>
      </c>
      <c r="H114" s="13" t="n">
        <v>1</v>
      </c>
      <c r="I114" s="13" t="n">
        <f aca="false">H114-G114</f>
        <v>0</v>
      </c>
      <c r="J114" s="13" t="n">
        <f aca="false">H114-F114</f>
        <v>0</v>
      </c>
    </row>
    <row r="115" customFormat="false" ht="15" hidden="false" customHeight="false" outlineLevel="0" collapsed="false">
      <c r="A115" s="13" t="s">
        <v>59</v>
      </c>
      <c r="B115" s="13" t="s">
        <v>60</v>
      </c>
      <c r="C115" s="13" t="n">
        <v>208</v>
      </c>
      <c r="D115" s="13" t="s">
        <v>155</v>
      </c>
      <c r="E115" s="13" t="s">
        <v>45</v>
      </c>
      <c r="F115" s="13" t="n">
        <v>1</v>
      </c>
      <c r="G115" s="13" t="n">
        <v>1</v>
      </c>
      <c r="H115" s="13" t="n">
        <v>1</v>
      </c>
      <c r="I115" s="13" t="n">
        <f aca="false">H115-G115</f>
        <v>0</v>
      </c>
      <c r="J115" s="13" t="n">
        <f aca="false">H115-F115</f>
        <v>0</v>
      </c>
    </row>
    <row r="116" customFormat="false" ht="15" hidden="false" customHeight="false" outlineLevel="0" collapsed="false">
      <c r="A116" s="13" t="s">
        <v>59</v>
      </c>
      <c r="B116" s="13" t="s">
        <v>60</v>
      </c>
      <c r="C116" s="13" t="n">
        <v>208</v>
      </c>
      <c r="D116" s="13" t="s">
        <v>155</v>
      </c>
      <c r="E116" s="13" t="s">
        <v>46</v>
      </c>
      <c r="F116" s="13" t="n">
        <v>0</v>
      </c>
      <c r="G116" s="13" t="n">
        <v>0</v>
      </c>
      <c r="H116" s="13" t="n">
        <v>0</v>
      </c>
      <c r="I116" s="13" t="n">
        <f aca="false">H116-G116</f>
        <v>0</v>
      </c>
      <c r="J116" s="13" t="n">
        <f aca="false">H116-F116</f>
        <v>0</v>
      </c>
    </row>
    <row r="117" customFormat="false" ht="15" hidden="false" customHeight="false" outlineLevel="0" collapsed="false">
      <c r="A117" s="13" t="s">
        <v>61</v>
      </c>
      <c r="B117" s="13" t="s">
        <v>62</v>
      </c>
      <c r="C117" s="13" t="n">
        <v>199</v>
      </c>
      <c r="D117" s="13" t="s">
        <v>23</v>
      </c>
      <c r="E117" s="13" t="s">
        <v>22</v>
      </c>
      <c r="F117" s="13" t="n">
        <v>164</v>
      </c>
      <c r="G117" s="13" t="n">
        <v>164</v>
      </c>
      <c r="H117" s="13" t="n">
        <v>164</v>
      </c>
      <c r="I117" s="13" t="n">
        <f aca="false">H117-G117</f>
        <v>0</v>
      </c>
      <c r="J117" s="13" t="n">
        <f aca="false">H117-F117</f>
        <v>0</v>
      </c>
    </row>
    <row r="118" customFormat="false" ht="15" hidden="false" customHeight="false" outlineLevel="0" collapsed="false">
      <c r="A118" s="13" t="s">
        <v>61</v>
      </c>
      <c r="B118" s="13" t="s">
        <v>62</v>
      </c>
      <c r="C118" s="13" t="n">
        <v>199</v>
      </c>
      <c r="D118" s="13" t="s">
        <v>23</v>
      </c>
      <c r="E118" s="13" t="s">
        <v>24</v>
      </c>
      <c r="F118" s="13" t="n">
        <v>199</v>
      </c>
      <c r="G118" s="13" t="n">
        <v>199</v>
      </c>
      <c r="H118" s="13" t="n">
        <v>199</v>
      </c>
      <c r="I118" s="13" t="n">
        <f aca="false">H118-G118</f>
        <v>0</v>
      </c>
      <c r="J118" s="13" t="n">
        <f aca="false">H118-F118</f>
        <v>0</v>
      </c>
    </row>
    <row r="119" customFormat="false" ht="15" hidden="false" customHeight="false" outlineLevel="0" collapsed="false">
      <c r="A119" s="13" t="s">
        <v>61</v>
      </c>
      <c r="B119" s="13" t="s">
        <v>62</v>
      </c>
      <c r="C119" s="13" t="n">
        <v>199</v>
      </c>
      <c r="D119" s="13" t="s">
        <v>23</v>
      </c>
      <c r="E119" s="13" t="s">
        <v>25</v>
      </c>
      <c r="F119" s="13" t="n">
        <v>196</v>
      </c>
      <c r="G119" s="13" t="n">
        <v>196</v>
      </c>
      <c r="H119" s="13" t="n">
        <v>196</v>
      </c>
      <c r="I119" s="13" t="n">
        <f aca="false">H119-G119</f>
        <v>0</v>
      </c>
      <c r="J119" s="13" t="n">
        <f aca="false">H119-F119</f>
        <v>0</v>
      </c>
    </row>
    <row r="120" customFormat="false" ht="15" hidden="false" customHeight="false" outlineLevel="0" collapsed="false">
      <c r="A120" s="13" t="s">
        <v>61</v>
      </c>
      <c r="B120" s="13" t="s">
        <v>62</v>
      </c>
      <c r="C120" s="13" t="n">
        <v>199</v>
      </c>
      <c r="D120" s="13" t="s">
        <v>23</v>
      </c>
      <c r="E120" s="13" t="s">
        <v>26</v>
      </c>
      <c r="F120" s="13" t="n">
        <v>76</v>
      </c>
      <c r="G120" s="13" t="n">
        <v>88</v>
      </c>
      <c r="H120" s="13" t="n">
        <v>88</v>
      </c>
      <c r="I120" s="13" t="n">
        <f aca="false">H120-G120</f>
        <v>0</v>
      </c>
      <c r="J120" s="13" t="n">
        <f aca="false">H120-F120</f>
        <v>12</v>
      </c>
    </row>
    <row r="121" customFormat="false" ht="15" hidden="false" customHeight="false" outlineLevel="0" collapsed="false">
      <c r="A121" s="13" t="s">
        <v>61</v>
      </c>
      <c r="B121" s="13" t="s">
        <v>62</v>
      </c>
      <c r="C121" s="13" t="n">
        <v>199</v>
      </c>
      <c r="D121" s="13" t="s">
        <v>23</v>
      </c>
      <c r="E121" s="13" t="s">
        <v>27</v>
      </c>
      <c r="F121" s="13" t="n">
        <v>160</v>
      </c>
      <c r="G121" s="13" t="n">
        <v>174</v>
      </c>
      <c r="H121" s="13" t="n">
        <v>174</v>
      </c>
      <c r="I121" s="13" t="n">
        <f aca="false">H121-G121</f>
        <v>0</v>
      </c>
      <c r="J121" s="13" t="n">
        <f aca="false">H121-F121</f>
        <v>14</v>
      </c>
    </row>
    <row r="122" customFormat="false" ht="15" hidden="false" customHeight="false" outlineLevel="0" collapsed="false">
      <c r="A122" s="13" t="s">
        <v>61</v>
      </c>
      <c r="B122" s="13" t="s">
        <v>62</v>
      </c>
      <c r="C122" s="13" t="n">
        <v>199</v>
      </c>
      <c r="D122" s="13" t="s">
        <v>23</v>
      </c>
      <c r="E122" s="13" t="s">
        <v>28</v>
      </c>
      <c r="F122" s="13" t="n">
        <v>159</v>
      </c>
      <c r="G122" s="13" t="n">
        <v>173</v>
      </c>
      <c r="H122" s="13" t="n">
        <v>173</v>
      </c>
      <c r="I122" s="13" t="n">
        <f aca="false">H122-G122</f>
        <v>0</v>
      </c>
      <c r="J122" s="13" t="n">
        <f aca="false">H122-F122</f>
        <v>14</v>
      </c>
    </row>
    <row r="123" customFormat="false" ht="15" hidden="false" customHeight="false" outlineLevel="0" collapsed="false">
      <c r="A123" s="13" t="s">
        <v>61</v>
      </c>
      <c r="B123" s="13" t="s">
        <v>62</v>
      </c>
      <c r="C123" s="13" t="n">
        <v>199</v>
      </c>
      <c r="D123" s="13" t="s">
        <v>23</v>
      </c>
      <c r="E123" s="13" t="s">
        <v>29</v>
      </c>
      <c r="F123" s="13" t="n">
        <v>159</v>
      </c>
      <c r="G123" s="13" t="n">
        <v>173</v>
      </c>
      <c r="H123" s="13" t="n">
        <v>173</v>
      </c>
      <c r="I123" s="13" t="n">
        <f aca="false">H123-G123</f>
        <v>0</v>
      </c>
      <c r="J123" s="13" t="n">
        <f aca="false">H123-F123</f>
        <v>14</v>
      </c>
    </row>
    <row r="124" customFormat="false" ht="15" hidden="false" customHeight="false" outlineLevel="0" collapsed="false">
      <c r="A124" s="13" t="s">
        <v>61</v>
      </c>
      <c r="B124" s="13" t="s">
        <v>62</v>
      </c>
      <c r="C124" s="13" t="n">
        <v>199</v>
      </c>
      <c r="D124" s="13" t="s">
        <v>23</v>
      </c>
      <c r="E124" s="13" t="s">
        <v>30</v>
      </c>
      <c r="F124" s="13" t="n">
        <v>199</v>
      </c>
      <c r="G124" s="13" t="n">
        <v>199</v>
      </c>
      <c r="H124" s="13" t="n">
        <v>199</v>
      </c>
      <c r="I124" s="13" t="n">
        <f aca="false">H124-G124</f>
        <v>0</v>
      </c>
      <c r="J124" s="13" t="n">
        <f aca="false">H124-F124</f>
        <v>0</v>
      </c>
    </row>
    <row r="125" customFormat="false" ht="15" hidden="false" customHeight="false" outlineLevel="0" collapsed="false">
      <c r="A125" s="13" t="s">
        <v>61</v>
      </c>
      <c r="B125" s="13" t="s">
        <v>62</v>
      </c>
      <c r="C125" s="13" t="n">
        <v>199</v>
      </c>
      <c r="D125" s="13" t="s">
        <v>23</v>
      </c>
      <c r="E125" s="13" t="s">
        <v>31</v>
      </c>
      <c r="F125" s="13" t="n">
        <v>0</v>
      </c>
      <c r="G125" s="13" t="n">
        <v>0</v>
      </c>
      <c r="H125" s="13" t="n">
        <v>0</v>
      </c>
      <c r="I125" s="13" t="n">
        <f aca="false">H125-G125</f>
        <v>0</v>
      </c>
      <c r="J125" s="13" t="n">
        <f aca="false">H125-F125</f>
        <v>0</v>
      </c>
    </row>
    <row r="126" customFormat="false" ht="15" hidden="false" customHeight="false" outlineLevel="0" collapsed="false">
      <c r="A126" s="13" t="s">
        <v>61</v>
      </c>
      <c r="B126" s="13" t="s">
        <v>62</v>
      </c>
      <c r="C126" s="13" t="n">
        <v>199</v>
      </c>
      <c r="D126" s="13" t="s">
        <v>23</v>
      </c>
      <c r="E126" s="13" t="s">
        <v>32</v>
      </c>
      <c r="F126" s="13" t="n">
        <v>155</v>
      </c>
      <c r="G126" s="13" t="n">
        <v>169</v>
      </c>
      <c r="H126" s="13" t="n">
        <v>169</v>
      </c>
      <c r="I126" s="13" t="n">
        <f aca="false">H126-G126</f>
        <v>0</v>
      </c>
      <c r="J126" s="13" t="n">
        <f aca="false">H126-F126</f>
        <v>14</v>
      </c>
    </row>
    <row r="127" customFormat="false" ht="15" hidden="false" customHeight="false" outlineLevel="0" collapsed="false">
      <c r="A127" s="13" t="s">
        <v>61</v>
      </c>
      <c r="B127" s="13" t="s">
        <v>62</v>
      </c>
      <c r="C127" s="13" t="n">
        <v>199</v>
      </c>
      <c r="D127" s="13" t="s">
        <v>23</v>
      </c>
      <c r="E127" s="13" t="s">
        <v>33</v>
      </c>
      <c r="F127" s="13" t="n">
        <v>0</v>
      </c>
      <c r="G127" s="13" t="n">
        <v>0</v>
      </c>
      <c r="H127" s="13" t="n">
        <v>0</v>
      </c>
      <c r="I127" s="13" t="n">
        <f aca="false">H127-G127</f>
        <v>0</v>
      </c>
      <c r="J127" s="13" t="n">
        <f aca="false">H127-F127</f>
        <v>0</v>
      </c>
    </row>
    <row r="128" customFormat="false" ht="15" hidden="false" customHeight="false" outlineLevel="0" collapsed="false">
      <c r="A128" s="13" t="s">
        <v>61</v>
      </c>
      <c r="B128" s="13" t="s">
        <v>62</v>
      </c>
      <c r="C128" s="13" t="n">
        <v>199</v>
      </c>
      <c r="D128" s="13" t="s">
        <v>23</v>
      </c>
      <c r="E128" s="13" t="s">
        <v>34</v>
      </c>
      <c r="F128" s="13" t="n">
        <v>184</v>
      </c>
      <c r="G128" s="13" t="n">
        <v>184</v>
      </c>
      <c r="H128" s="13" t="n">
        <v>184</v>
      </c>
      <c r="I128" s="13" t="n">
        <f aca="false">H128-G128</f>
        <v>0</v>
      </c>
      <c r="J128" s="13" t="n">
        <f aca="false">H128-F128</f>
        <v>0</v>
      </c>
    </row>
    <row r="129" customFormat="false" ht="15" hidden="false" customHeight="false" outlineLevel="0" collapsed="false">
      <c r="A129" s="13" t="s">
        <v>61</v>
      </c>
      <c r="B129" s="13" t="s">
        <v>62</v>
      </c>
      <c r="C129" s="13" t="n">
        <v>199</v>
      </c>
      <c r="D129" s="13" t="s">
        <v>23</v>
      </c>
      <c r="E129" s="13" t="s">
        <v>35</v>
      </c>
      <c r="F129" s="13" t="n">
        <v>0</v>
      </c>
      <c r="G129" s="13" t="n">
        <v>0</v>
      </c>
      <c r="H129" s="13" t="n">
        <v>0</v>
      </c>
      <c r="I129" s="13" t="n">
        <f aca="false">H129-G129</f>
        <v>0</v>
      </c>
      <c r="J129" s="13" t="n">
        <f aca="false">H129-F129</f>
        <v>0</v>
      </c>
    </row>
    <row r="130" customFormat="false" ht="15" hidden="false" customHeight="false" outlineLevel="0" collapsed="false">
      <c r="A130" s="13" t="s">
        <v>61</v>
      </c>
      <c r="B130" s="13" t="s">
        <v>62</v>
      </c>
      <c r="C130" s="13" t="n">
        <v>199</v>
      </c>
      <c r="D130" s="13" t="s">
        <v>23</v>
      </c>
      <c r="E130" s="13" t="s">
        <v>36</v>
      </c>
      <c r="F130" s="13" t="n">
        <v>0</v>
      </c>
      <c r="G130" s="13" t="n">
        <v>0</v>
      </c>
      <c r="H130" s="13" t="n">
        <v>0</v>
      </c>
      <c r="I130" s="13" t="n">
        <f aca="false">H130-G130</f>
        <v>0</v>
      </c>
      <c r="J130" s="13" t="n">
        <f aca="false">H130-F130</f>
        <v>0</v>
      </c>
    </row>
    <row r="131" customFormat="false" ht="15" hidden="false" customHeight="false" outlineLevel="0" collapsed="false">
      <c r="A131" s="13" t="s">
        <v>61</v>
      </c>
      <c r="B131" s="13" t="s">
        <v>62</v>
      </c>
      <c r="C131" s="13" t="n">
        <v>199</v>
      </c>
      <c r="D131" s="13" t="s">
        <v>155</v>
      </c>
      <c r="E131" s="13" t="s">
        <v>37</v>
      </c>
      <c r="F131" s="13" t="n">
        <v>1</v>
      </c>
      <c r="G131" s="13" t="n">
        <v>1</v>
      </c>
      <c r="H131" s="13" t="n">
        <v>1</v>
      </c>
      <c r="I131" s="13" t="n">
        <f aca="false">H131-G131</f>
        <v>0</v>
      </c>
      <c r="J131" s="13" t="n">
        <f aca="false">H131-F131</f>
        <v>0</v>
      </c>
    </row>
    <row r="132" customFormat="false" ht="15" hidden="false" customHeight="false" outlineLevel="0" collapsed="false">
      <c r="A132" s="13" t="s">
        <v>61</v>
      </c>
      <c r="B132" s="13" t="s">
        <v>62</v>
      </c>
      <c r="C132" s="13" t="n">
        <v>199</v>
      </c>
      <c r="D132" s="13" t="s">
        <v>155</v>
      </c>
      <c r="E132" s="13" t="s">
        <v>39</v>
      </c>
      <c r="F132" s="13" t="n">
        <v>1</v>
      </c>
      <c r="G132" s="13" t="n">
        <v>1</v>
      </c>
      <c r="H132" s="13" t="n">
        <v>1</v>
      </c>
      <c r="I132" s="13" t="n">
        <f aca="false">H132-G132</f>
        <v>0</v>
      </c>
      <c r="J132" s="13" t="n">
        <f aca="false">H132-F132</f>
        <v>0</v>
      </c>
    </row>
    <row r="133" customFormat="false" ht="15" hidden="false" customHeight="false" outlineLevel="0" collapsed="false">
      <c r="A133" s="13" t="s">
        <v>61</v>
      </c>
      <c r="B133" s="13" t="s">
        <v>62</v>
      </c>
      <c r="C133" s="13" t="n">
        <v>199</v>
      </c>
      <c r="D133" s="13" t="s">
        <v>155</v>
      </c>
      <c r="E133" s="13" t="s">
        <v>40</v>
      </c>
      <c r="F133" s="13" t="n">
        <v>1</v>
      </c>
      <c r="G133" s="13" t="n">
        <v>1</v>
      </c>
      <c r="H133" s="13" t="n">
        <v>1</v>
      </c>
      <c r="I133" s="13" t="n">
        <f aca="false">H133-G133</f>
        <v>0</v>
      </c>
      <c r="J133" s="13" t="n">
        <f aca="false">H133-F133</f>
        <v>0</v>
      </c>
    </row>
    <row r="134" customFormat="false" ht="15" hidden="false" customHeight="false" outlineLevel="0" collapsed="false">
      <c r="A134" s="13" t="s">
        <v>61</v>
      </c>
      <c r="B134" s="13" t="s">
        <v>62</v>
      </c>
      <c r="C134" s="13" t="n">
        <v>199</v>
      </c>
      <c r="D134" s="13" t="s">
        <v>155</v>
      </c>
      <c r="E134" s="13" t="s">
        <v>41</v>
      </c>
      <c r="F134" s="13" t="n">
        <v>0</v>
      </c>
      <c r="G134" s="13" t="n">
        <v>0</v>
      </c>
      <c r="H134" s="13" t="n">
        <v>0</v>
      </c>
      <c r="I134" s="13" t="n">
        <f aca="false">H134-G134</f>
        <v>0</v>
      </c>
      <c r="J134" s="13" t="n">
        <f aca="false">H134-F134</f>
        <v>0</v>
      </c>
    </row>
    <row r="135" customFormat="false" ht="15" hidden="false" customHeight="false" outlineLevel="0" collapsed="false">
      <c r="A135" s="13" t="s">
        <v>61</v>
      </c>
      <c r="B135" s="13" t="s">
        <v>62</v>
      </c>
      <c r="C135" s="13" t="n">
        <v>199</v>
      </c>
      <c r="D135" s="13" t="s">
        <v>155</v>
      </c>
      <c r="E135" s="13" t="s">
        <v>42</v>
      </c>
      <c r="F135" s="13" t="n">
        <v>1</v>
      </c>
      <c r="G135" s="13" t="n">
        <v>1</v>
      </c>
      <c r="H135" s="13" t="n">
        <v>1</v>
      </c>
      <c r="I135" s="13" t="n">
        <f aca="false">H135-G135</f>
        <v>0</v>
      </c>
      <c r="J135" s="13" t="n">
        <f aca="false">H135-F135</f>
        <v>0</v>
      </c>
    </row>
    <row r="136" customFormat="false" ht="15" hidden="false" customHeight="false" outlineLevel="0" collapsed="false">
      <c r="A136" s="13" t="s">
        <v>61</v>
      </c>
      <c r="B136" s="13" t="s">
        <v>62</v>
      </c>
      <c r="C136" s="13" t="n">
        <v>199</v>
      </c>
      <c r="D136" s="13" t="s">
        <v>155</v>
      </c>
      <c r="E136" s="13" t="s">
        <v>43</v>
      </c>
      <c r="F136" s="13" t="n">
        <v>1</v>
      </c>
      <c r="G136" s="13" t="n">
        <v>1</v>
      </c>
      <c r="H136" s="13" t="n">
        <v>1</v>
      </c>
      <c r="I136" s="13" t="n">
        <f aca="false">H136-G136</f>
        <v>0</v>
      </c>
      <c r="J136" s="13" t="n">
        <f aca="false">H136-F136</f>
        <v>0</v>
      </c>
    </row>
    <row r="137" customFormat="false" ht="15" hidden="false" customHeight="false" outlineLevel="0" collapsed="false">
      <c r="A137" s="13" t="s">
        <v>61</v>
      </c>
      <c r="B137" s="13" t="s">
        <v>62</v>
      </c>
      <c r="C137" s="13" t="n">
        <v>199</v>
      </c>
      <c r="D137" s="13" t="s">
        <v>155</v>
      </c>
      <c r="E137" s="13" t="s">
        <v>44</v>
      </c>
      <c r="F137" s="13" t="n">
        <v>1</v>
      </c>
      <c r="G137" s="13" t="n">
        <v>1</v>
      </c>
      <c r="H137" s="13" t="n">
        <v>1</v>
      </c>
      <c r="I137" s="13" t="n">
        <f aca="false">H137-G137</f>
        <v>0</v>
      </c>
      <c r="J137" s="13" t="n">
        <f aca="false">H137-F137</f>
        <v>0</v>
      </c>
    </row>
    <row r="138" customFormat="false" ht="15" hidden="false" customHeight="false" outlineLevel="0" collapsed="false">
      <c r="A138" s="13" t="s">
        <v>61</v>
      </c>
      <c r="B138" s="13" t="s">
        <v>62</v>
      </c>
      <c r="C138" s="13" t="n">
        <v>199</v>
      </c>
      <c r="D138" s="13" t="s">
        <v>155</v>
      </c>
      <c r="E138" s="13" t="s">
        <v>45</v>
      </c>
      <c r="F138" s="13" t="n">
        <v>1</v>
      </c>
      <c r="G138" s="13" t="n">
        <v>1</v>
      </c>
      <c r="H138" s="13" t="n">
        <v>1</v>
      </c>
      <c r="I138" s="13" t="n">
        <f aca="false">H138-G138</f>
        <v>0</v>
      </c>
      <c r="J138" s="13" t="n">
        <f aca="false">H138-F138</f>
        <v>0</v>
      </c>
    </row>
    <row r="139" customFormat="false" ht="15" hidden="false" customHeight="false" outlineLevel="0" collapsed="false">
      <c r="A139" s="13" t="s">
        <v>61</v>
      </c>
      <c r="B139" s="13" t="s">
        <v>62</v>
      </c>
      <c r="C139" s="13" t="n">
        <v>199</v>
      </c>
      <c r="D139" s="13" t="s">
        <v>155</v>
      </c>
      <c r="E139" s="13" t="s">
        <v>46</v>
      </c>
      <c r="F139" s="13" t="n">
        <v>0</v>
      </c>
      <c r="G139" s="13" t="n">
        <v>0</v>
      </c>
      <c r="H139" s="13" t="n">
        <v>0</v>
      </c>
      <c r="I139" s="13" t="n">
        <f aca="false">H139-G139</f>
        <v>0</v>
      </c>
      <c r="J139" s="13" t="n">
        <f aca="false">H139-F139</f>
        <v>0</v>
      </c>
    </row>
    <row r="140" customFormat="false" ht="15" hidden="false" customHeight="false" outlineLevel="0" collapsed="false">
      <c r="A140" s="13" t="s">
        <v>63</v>
      </c>
      <c r="B140" s="13" t="s">
        <v>64</v>
      </c>
      <c r="C140" s="13" t="n">
        <v>179</v>
      </c>
      <c r="D140" s="13" t="s">
        <v>23</v>
      </c>
      <c r="E140" s="13" t="s">
        <v>22</v>
      </c>
      <c r="F140" s="13" t="n">
        <v>33</v>
      </c>
      <c r="G140" s="13" t="n">
        <v>33</v>
      </c>
      <c r="H140" s="13" t="n">
        <v>33</v>
      </c>
      <c r="I140" s="13" t="n">
        <f aca="false">H140-G140</f>
        <v>0</v>
      </c>
      <c r="J140" s="13" t="n">
        <f aca="false">H140-F140</f>
        <v>0</v>
      </c>
    </row>
    <row r="141" customFormat="false" ht="15" hidden="false" customHeight="false" outlineLevel="0" collapsed="false">
      <c r="A141" s="13" t="s">
        <v>63</v>
      </c>
      <c r="B141" s="13" t="s">
        <v>64</v>
      </c>
      <c r="C141" s="13" t="n">
        <v>179</v>
      </c>
      <c r="D141" s="13" t="s">
        <v>23</v>
      </c>
      <c r="E141" s="13" t="s">
        <v>24</v>
      </c>
      <c r="F141" s="13" t="n">
        <v>179</v>
      </c>
      <c r="G141" s="13" t="n">
        <v>179</v>
      </c>
      <c r="H141" s="13" t="n">
        <v>179</v>
      </c>
      <c r="I141" s="13" t="n">
        <f aca="false">H141-G141</f>
        <v>0</v>
      </c>
      <c r="J141" s="13" t="n">
        <f aca="false">H141-F141</f>
        <v>0</v>
      </c>
    </row>
    <row r="142" customFormat="false" ht="15" hidden="false" customHeight="false" outlineLevel="0" collapsed="false">
      <c r="A142" s="13" t="s">
        <v>63</v>
      </c>
      <c r="B142" s="13" t="s">
        <v>64</v>
      </c>
      <c r="C142" s="13" t="n">
        <v>179</v>
      </c>
      <c r="D142" s="13" t="s">
        <v>23</v>
      </c>
      <c r="E142" s="13" t="s">
        <v>25</v>
      </c>
      <c r="F142" s="13" t="n">
        <v>178</v>
      </c>
      <c r="G142" s="13" t="n">
        <v>179</v>
      </c>
      <c r="H142" s="13" t="n">
        <v>179</v>
      </c>
      <c r="I142" s="13" t="n">
        <f aca="false">H142-G142</f>
        <v>0</v>
      </c>
      <c r="J142" s="13" t="n">
        <f aca="false">H142-F142</f>
        <v>1</v>
      </c>
    </row>
    <row r="143" customFormat="false" ht="15" hidden="false" customHeight="false" outlineLevel="0" collapsed="false">
      <c r="A143" s="13" t="s">
        <v>63</v>
      </c>
      <c r="B143" s="13" t="s">
        <v>64</v>
      </c>
      <c r="C143" s="13" t="n">
        <v>179</v>
      </c>
      <c r="D143" s="13" t="s">
        <v>23</v>
      </c>
      <c r="E143" s="13" t="s">
        <v>26</v>
      </c>
      <c r="F143" s="13" t="n">
        <v>25</v>
      </c>
      <c r="G143" s="13" t="n">
        <v>3</v>
      </c>
      <c r="H143" s="13" t="n">
        <v>3</v>
      </c>
      <c r="I143" s="13" t="n">
        <f aca="false">H143-G143</f>
        <v>0</v>
      </c>
      <c r="J143" s="13" t="n">
        <f aca="false">H143-F143</f>
        <v>-22</v>
      </c>
    </row>
    <row r="144" customFormat="false" ht="15" hidden="false" customHeight="false" outlineLevel="0" collapsed="false">
      <c r="A144" s="13" t="s">
        <v>63</v>
      </c>
      <c r="B144" s="13" t="s">
        <v>64</v>
      </c>
      <c r="C144" s="13" t="n">
        <v>179</v>
      </c>
      <c r="D144" s="13" t="s">
        <v>23</v>
      </c>
      <c r="E144" s="13" t="s">
        <v>27</v>
      </c>
      <c r="F144" s="13" t="n">
        <v>65</v>
      </c>
      <c r="G144" s="13" t="n">
        <v>11</v>
      </c>
      <c r="H144" s="13" t="n">
        <v>11</v>
      </c>
      <c r="I144" s="13" t="n">
        <f aca="false">H144-G144</f>
        <v>0</v>
      </c>
      <c r="J144" s="13" t="n">
        <f aca="false">H144-F144</f>
        <v>-54</v>
      </c>
    </row>
    <row r="145" customFormat="false" ht="15" hidden="false" customHeight="false" outlineLevel="0" collapsed="false">
      <c r="A145" s="13" t="s">
        <v>63</v>
      </c>
      <c r="B145" s="13" t="s">
        <v>64</v>
      </c>
      <c r="C145" s="13" t="n">
        <v>179</v>
      </c>
      <c r="D145" s="13" t="s">
        <v>23</v>
      </c>
      <c r="E145" s="13" t="s">
        <v>28</v>
      </c>
      <c r="F145" s="13" t="n">
        <v>73</v>
      </c>
      <c r="G145" s="13" t="n">
        <v>13</v>
      </c>
      <c r="H145" s="13" t="n">
        <v>13</v>
      </c>
      <c r="I145" s="13" t="n">
        <f aca="false">H145-G145</f>
        <v>0</v>
      </c>
      <c r="J145" s="13" t="n">
        <f aca="false">H145-F145</f>
        <v>-60</v>
      </c>
    </row>
    <row r="146" customFormat="false" ht="15" hidden="false" customHeight="false" outlineLevel="0" collapsed="false">
      <c r="A146" s="13" t="s">
        <v>63</v>
      </c>
      <c r="B146" s="13" t="s">
        <v>64</v>
      </c>
      <c r="C146" s="13" t="n">
        <v>179</v>
      </c>
      <c r="D146" s="13" t="s">
        <v>23</v>
      </c>
      <c r="E146" s="13" t="s">
        <v>29</v>
      </c>
      <c r="F146" s="13" t="n">
        <v>73</v>
      </c>
      <c r="G146" s="13" t="n">
        <v>13</v>
      </c>
      <c r="H146" s="13" t="n">
        <v>13</v>
      </c>
      <c r="I146" s="13" t="n">
        <f aca="false">H146-G146</f>
        <v>0</v>
      </c>
      <c r="J146" s="13" t="n">
        <f aca="false">H146-F146</f>
        <v>-60</v>
      </c>
    </row>
    <row r="147" customFormat="false" ht="15" hidden="false" customHeight="false" outlineLevel="0" collapsed="false">
      <c r="A147" s="13" t="s">
        <v>63</v>
      </c>
      <c r="B147" s="13" t="s">
        <v>64</v>
      </c>
      <c r="C147" s="13" t="n">
        <v>179</v>
      </c>
      <c r="D147" s="13" t="s">
        <v>23</v>
      </c>
      <c r="E147" s="13" t="s">
        <v>30</v>
      </c>
      <c r="F147" s="13" t="n">
        <v>179</v>
      </c>
      <c r="G147" s="13" t="n">
        <v>179</v>
      </c>
      <c r="H147" s="13" t="n">
        <v>179</v>
      </c>
      <c r="I147" s="13" t="n">
        <f aca="false">H147-G147</f>
        <v>0</v>
      </c>
      <c r="J147" s="13" t="n">
        <f aca="false">H147-F147</f>
        <v>0</v>
      </c>
    </row>
    <row r="148" customFormat="false" ht="15" hidden="false" customHeight="false" outlineLevel="0" collapsed="false">
      <c r="A148" s="13" t="s">
        <v>63</v>
      </c>
      <c r="B148" s="13" t="s">
        <v>64</v>
      </c>
      <c r="C148" s="13" t="n">
        <v>179</v>
      </c>
      <c r="D148" s="13" t="s">
        <v>23</v>
      </c>
      <c r="E148" s="13" t="s">
        <v>31</v>
      </c>
      <c r="F148" s="13" t="n">
        <v>0</v>
      </c>
      <c r="G148" s="13" t="n">
        <v>1</v>
      </c>
      <c r="H148" s="13" t="n">
        <v>1</v>
      </c>
      <c r="I148" s="13" t="n">
        <f aca="false">H148-G148</f>
        <v>0</v>
      </c>
      <c r="J148" s="13" t="n">
        <f aca="false">H148-F148</f>
        <v>1</v>
      </c>
    </row>
    <row r="149" customFormat="false" ht="15" hidden="false" customHeight="false" outlineLevel="0" collapsed="false">
      <c r="A149" s="13" t="s">
        <v>63</v>
      </c>
      <c r="B149" s="13" t="s">
        <v>64</v>
      </c>
      <c r="C149" s="13" t="n">
        <v>179</v>
      </c>
      <c r="D149" s="13" t="s">
        <v>23</v>
      </c>
      <c r="E149" s="13" t="s">
        <v>32</v>
      </c>
      <c r="F149" s="13" t="n">
        <v>3</v>
      </c>
      <c r="G149" s="13" t="n">
        <v>5</v>
      </c>
      <c r="H149" s="13" t="n">
        <v>5</v>
      </c>
      <c r="I149" s="13" t="n">
        <f aca="false">H149-G149</f>
        <v>0</v>
      </c>
      <c r="J149" s="13" t="n">
        <f aca="false">H149-F149</f>
        <v>2</v>
      </c>
    </row>
    <row r="150" customFormat="false" ht="15" hidden="false" customHeight="false" outlineLevel="0" collapsed="false">
      <c r="A150" s="13" t="s">
        <v>63</v>
      </c>
      <c r="B150" s="13" t="s">
        <v>64</v>
      </c>
      <c r="C150" s="13" t="n">
        <v>179</v>
      </c>
      <c r="D150" s="13" t="s">
        <v>23</v>
      </c>
      <c r="E150" s="13" t="s">
        <v>33</v>
      </c>
      <c r="F150" s="13" t="n">
        <v>0</v>
      </c>
      <c r="G150" s="13" t="n">
        <v>0</v>
      </c>
      <c r="H150" s="13" t="n">
        <v>0</v>
      </c>
      <c r="I150" s="13" t="n">
        <f aca="false">H150-G150</f>
        <v>0</v>
      </c>
      <c r="J150" s="13" t="n">
        <f aca="false">H150-F150</f>
        <v>0</v>
      </c>
    </row>
    <row r="151" customFormat="false" ht="15" hidden="false" customHeight="false" outlineLevel="0" collapsed="false">
      <c r="A151" s="13" t="s">
        <v>63</v>
      </c>
      <c r="B151" s="13" t="s">
        <v>64</v>
      </c>
      <c r="C151" s="13" t="n">
        <v>179</v>
      </c>
      <c r="D151" s="13" t="s">
        <v>23</v>
      </c>
      <c r="E151" s="13" t="s">
        <v>34</v>
      </c>
      <c r="F151" s="13" t="n">
        <v>60</v>
      </c>
      <c r="G151" s="13" t="n">
        <v>60</v>
      </c>
      <c r="H151" s="13" t="n">
        <v>60</v>
      </c>
      <c r="I151" s="13" t="n">
        <f aca="false">H151-G151</f>
        <v>0</v>
      </c>
      <c r="J151" s="13" t="n">
        <f aca="false">H151-F151</f>
        <v>0</v>
      </c>
    </row>
    <row r="152" customFormat="false" ht="15" hidden="false" customHeight="false" outlineLevel="0" collapsed="false">
      <c r="A152" s="13" t="s">
        <v>63</v>
      </c>
      <c r="B152" s="13" t="s">
        <v>64</v>
      </c>
      <c r="C152" s="13" t="n">
        <v>179</v>
      </c>
      <c r="D152" s="13" t="s">
        <v>23</v>
      </c>
      <c r="E152" s="13" t="s">
        <v>35</v>
      </c>
      <c r="F152" s="13" t="n">
        <v>0</v>
      </c>
      <c r="G152" s="13" t="n">
        <v>0</v>
      </c>
      <c r="H152" s="13" t="n">
        <v>0</v>
      </c>
      <c r="I152" s="13" t="n">
        <f aca="false">H152-G152</f>
        <v>0</v>
      </c>
      <c r="J152" s="13" t="n">
        <f aca="false">H152-F152</f>
        <v>0</v>
      </c>
    </row>
    <row r="153" customFormat="false" ht="15" hidden="false" customHeight="false" outlineLevel="0" collapsed="false">
      <c r="A153" s="13" t="s">
        <v>63</v>
      </c>
      <c r="B153" s="13" t="s">
        <v>64</v>
      </c>
      <c r="C153" s="13" t="n">
        <v>179</v>
      </c>
      <c r="D153" s="13" t="s">
        <v>23</v>
      </c>
      <c r="E153" s="13" t="s">
        <v>36</v>
      </c>
      <c r="F153" s="13" t="n">
        <v>0</v>
      </c>
      <c r="G153" s="13" t="n">
        <v>0</v>
      </c>
      <c r="H153" s="13" t="n">
        <v>0</v>
      </c>
      <c r="I153" s="13" t="n">
        <f aca="false">H153-G153</f>
        <v>0</v>
      </c>
      <c r="J153" s="13" t="n">
        <f aca="false">H153-F153</f>
        <v>0</v>
      </c>
    </row>
    <row r="154" customFormat="false" ht="15" hidden="false" customHeight="false" outlineLevel="0" collapsed="false">
      <c r="A154" s="13" t="s">
        <v>63</v>
      </c>
      <c r="B154" s="13" t="s">
        <v>64</v>
      </c>
      <c r="C154" s="13" t="n">
        <v>179</v>
      </c>
      <c r="D154" s="13" t="s">
        <v>155</v>
      </c>
      <c r="E154" s="13" t="s">
        <v>37</v>
      </c>
      <c r="F154" s="13" t="n">
        <v>1</v>
      </c>
      <c r="G154" s="13" t="n">
        <v>1</v>
      </c>
      <c r="H154" s="13" t="n">
        <v>1</v>
      </c>
      <c r="I154" s="13" t="n">
        <f aca="false">H154-G154</f>
        <v>0</v>
      </c>
      <c r="J154" s="13" t="n">
        <f aca="false">H154-F154</f>
        <v>0</v>
      </c>
    </row>
    <row r="155" customFormat="false" ht="15" hidden="false" customHeight="false" outlineLevel="0" collapsed="false">
      <c r="A155" s="13" t="s">
        <v>63</v>
      </c>
      <c r="B155" s="13" t="s">
        <v>64</v>
      </c>
      <c r="C155" s="13" t="n">
        <v>179</v>
      </c>
      <c r="D155" s="13" t="s">
        <v>155</v>
      </c>
      <c r="E155" s="13" t="s">
        <v>39</v>
      </c>
      <c r="F155" s="13" t="n">
        <v>0</v>
      </c>
      <c r="G155" s="13" t="n">
        <v>0</v>
      </c>
      <c r="H155" s="13" t="n">
        <v>0</v>
      </c>
      <c r="I155" s="13" t="n">
        <f aca="false">H155-G155</f>
        <v>0</v>
      </c>
      <c r="J155" s="13" t="n">
        <f aca="false">H155-F155</f>
        <v>0</v>
      </c>
    </row>
    <row r="156" customFormat="false" ht="15" hidden="false" customHeight="false" outlineLevel="0" collapsed="false">
      <c r="A156" s="13" t="s">
        <v>63</v>
      </c>
      <c r="B156" s="13" t="s">
        <v>64</v>
      </c>
      <c r="C156" s="13" t="n">
        <v>179</v>
      </c>
      <c r="D156" s="13" t="s">
        <v>155</v>
      </c>
      <c r="E156" s="13" t="s">
        <v>40</v>
      </c>
      <c r="F156" s="13" t="n">
        <v>1</v>
      </c>
      <c r="G156" s="13" t="n">
        <v>1</v>
      </c>
      <c r="H156" s="13" t="n">
        <v>1</v>
      </c>
      <c r="I156" s="13" t="n">
        <f aca="false">H156-G156</f>
        <v>0</v>
      </c>
      <c r="J156" s="13" t="n">
        <f aca="false">H156-F156</f>
        <v>0</v>
      </c>
    </row>
    <row r="157" customFormat="false" ht="15" hidden="false" customHeight="false" outlineLevel="0" collapsed="false">
      <c r="A157" s="13" t="s">
        <v>63</v>
      </c>
      <c r="B157" s="13" t="s">
        <v>64</v>
      </c>
      <c r="C157" s="13" t="n">
        <v>179</v>
      </c>
      <c r="D157" s="13" t="s">
        <v>155</v>
      </c>
      <c r="E157" s="13" t="s">
        <v>41</v>
      </c>
      <c r="F157" s="13" t="n">
        <v>0</v>
      </c>
      <c r="G157" s="13" t="n">
        <v>0</v>
      </c>
      <c r="H157" s="13" t="n">
        <v>0</v>
      </c>
      <c r="I157" s="13" t="n">
        <f aca="false">H157-G157</f>
        <v>0</v>
      </c>
      <c r="J157" s="13" t="n">
        <f aca="false">H157-F157</f>
        <v>0</v>
      </c>
    </row>
    <row r="158" customFormat="false" ht="15" hidden="false" customHeight="false" outlineLevel="0" collapsed="false">
      <c r="A158" s="13" t="s">
        <v>63</v>
      </c>
      <c r="B158" s="13" t="s">
        <v>64</v>
      </c>
      <c r="C158" s="13" t="n">
        <v>179</v>
      </c>
      <c r="D158" s="13" t="s">
        <v>155</v>
      </c>
      <c r="E158" s="13" t="s">
        <v>42</v>
      </c>
      <c r="F158" s="13" t="n">
        <v>1</v>
      </c>
      <c r="G158" s="13" t="n">
        <v>1</v>
      </c>
      <c r="H158" s="13" t="n">
        <v>1</v>
      </c>
      <c r="I158" s="13" t="n">
        <f aca="false">H158-G158</f>
        <v>0</v>
      </c>
      <c r="J158" s="13" t="n">
        <f aca="false">H158-F158</f>
        <v>0</v>
      </c>
    </row>
    <row r="159" customFormat="false" ht="15" hidden="false" customHeight="false" outlineLevel="0" collapsed="false">
      <c r="A159" s="13" t="s">
        <v>63</v>
      </c>
      <c r="B159" s="13" t="s">
        <v>64</v>
      </c>
      <c r="C159" s="13" t="n">
        <v>179</v>
      </c>
      <c r="D159" s="13" t="s">
        <v>155</v>
      </c>
      <c r="E159" s="13" t="s">
        <v>43</v>
      </c>
      <c r="F159" s="13" t="n">
        <v>1</v>
      </c>
      <c r="G159" s="13" t="n">
        <v>1</v>
      </c>
      <c r="H159" s="13" t="n">
        <v>1</v>
      </c>
      <c r="I159" s="13" t="n">
        <f aca="false">H159-G159</f>
        <v>0</v>
      </c>
      <c r="J159" s="13" t="n">
        <f aca="false">H159-F159</f>
        <v>0</v>
      </c>
    </row>
    <row r="160" customFormat="false" ht="15" hidden="false" customHeight="false" outlineLevel="0" collapsed="false">
      <c r="A160" s="13" t="s">
        <v>63</v>
      </c>
      <c r="B160" s="13" t="s">
        <v>64</v>
      </c>
      <c r="C160" s="13" t="n">
        <v>179</v>
      </c>
      <c r="D160" s="13" t="s">
        <v>155</v>
      </c>
      <c r="E160" s="13" t="s">
        <v>44</v>
      </c>
      <c r="F160" s="13" t="n">
        <v>1</v>
      </c>
      <c r="G160" s="13" t="n">
        <v>1</v>
      </c>
      <c r="H160" s="13" t="n">
        <v>1</v>
      </c>
      <c r="I160" s="13" t="n">
        <f aca="false">H160-G160</f>
        <v>0</v>
      </c>
      <c r="J160" s="13" t="n">
        <f aca="false">H160-F160</f>
        <v>0</v>
      </c>
    </row>
    <row r="161" customFormat="false" ht="15" hidden="false" customHeight="false" outlineLevel="0" collapsed="false">
      <c r="A161" s="13" t="s">
        <v>63</v>
      </c>
      <c r="B161" s="13" t="s">
        <v>64</v>
      </c>
      <c r="C161" s="13" t="n">
        <v>179</v>
      </c>
      <c r="D161" s="13" t="s">
        <v>155</v>
      </c>
      <c r="E161" s="13" t="s">
        <v>45</v>
      </c>
      <c r="F161" s="13" t="n">
        <v>1</v>
      </c>
      <c r="G161" s="13" t="n">
        <v>1</v>
      </c>
      <c r="H161" s="13" t="n">
        <v>1</v>
      </c>
      <c r="I161" s="13" t="n">
        <f aca="false">H161-G161</f>
        <v>0</v>
      </c>
      <c r="J161" s="13" t="n">
        <f aca="false">H161-F161</f>
        <v>0</v>
      </c>
    </row>
    <row r="162" customFormat="false" ht="15" hidden="false" customHeight="false" outlineLevel="0" collapsed="false">
      <c r="A162" s="13" t="s">
        <v>63</v>
      </c>
      <c r="B162" s="13" t="s">
        <v>64</v>
      </c>
      <c r="C162" s="13" t="n">
        <v>179</v>
      </c>
      <c r="D162" s="13" t="s">
        <v>155</v>
      </c>
      <c r="E162" s="13" t="s">
        <v>46</v>
      </c>
      <c r="F162" s="13" t="n">
        <v>0</v>
      </c>
      <c r="G162" s="13" t="n">
        <v>0</v>
      </c>
      <c r="H162" s="13" t="n">
        <v>0</v>
      </c>
      <c r="I162" s="13" t="n">
        <f aca="false">H162-G162</f>
        <v>0</v>
      </c>
      <c r="J162" s="13" t="n">
        <f aca="false">H162-F162</f>
        <v>0</v>
      </c>
    </row>
    <row r="163" customFormat="false" ht="15" hidden="false" customHeight="false" outlineLevel="0" collapsed="false">
      <c r="A163" s="13" t="s">
        <v>65</v>
      </c>
      <c r="B163" s="13" t="s">
        <v>66</v>
      </c>
      <c r="C163" s="13" t="n">
        <v>144</v>
      </c>
      <c r="D163" s="13" t="s">
        <v>23</v>
      </c>
      <c r="E163" s="13" t="s">
        <v>22</v>
      </c>
      <c r="F163" s="13" t="n">
        <v>142</v>
      </c>
      <c r="G163" s="13" t="n">
        <v>138</v>
      </c>
      <c r="H163" s="13" t="n">
        <v>138</v>
      </c>
      <c r="I163" s="13" t="n">
        <f aca="false">H163-G163</f>
        <v>0</v>
      </c>
      <c r="J163" s="13" t="n">
        <f aca="false">H163-F163</f>
        <v>-4</v>
      </c>
    </row>
    <row r="164" customFormat="false" ht="15" hidden="false" customHeight="false" outlineLevel="0" collapsed="false">
      <c r="A164" s="13" t="s">
        <v>65</v>
      </c>
      <c r="B164" s="13" t="s">
        <v>66</v>
      </c>
      <c r="C164" s="13" t="n">
        <v>144</v>
      </c>
      <c r="D164" s="13" t="s">
        <v>23</v>
      </c>
      <c r="E164" s="13" t="s">
        <v>24</v>
      </c>
      <c r="F164" s="13" t="n">
        <v>36</v>
      </c>
      <c r="G164" s="13" t="n">
        <v>144</v>
      </c>
      <c r="H164" s="13" t="n">
        <v>144</v>
      </c>
      <c r="I164" s="13" t="n">
        <f aca="false">H164-G164</f>
        <v>0</v>
      </c>
      <c r="J164" s="13" t="n">
        <f aca="false">H164-F164</f>
        <v>108</v>
      </c>
    </row>
    <row r="165" customFormat="false" ht="15" hidden="false" customHeight="false" outlineLevel="0" collapsed="false">
      <c r="A165" s="13" t="s">
        <v>65</v>
      </c>
      <c r="B165" s="13" t="s">
        <v>66</v>
      </c>
      <c r="C165" s="13" t="n">
        <v>144</v>
      </c>
      <c r="D165" s="13" t="s">
        <v>23</v>
      </c>
      <c r="E165" s="13" t="s">
        <v>25</v>
      </c>
      <c r="F165" s="13" t="n">
        <v>156</v>
      </c>
      <c r="G165" s="13" t="n">
        <v>144</v>
      </c>
      <c r="H165" s="13" t="n">
        <v>144</v>
      </c>
      <c r="I165" s="13" t="n">
        <f aca="false">H165-G165</f>
        <v>0</v>
      </c>
      <c r="J165" s="13" t="n">
        <f aca="false">H165-F165</f>
        <v>-12</v>
      </c>
    </row>
    <row r="166" customFormat="false" ht="15" hidden="false" customHeight="false" outlineLevel="0" collapsed="false">
      <c r="A166" s="13" t="s">
        <v>65</v>
      </c>
      <c r="B166" s="13" t="s">
        <v>66</v>
      </c>
      <c r="C166" s="13" t="n">
        <v>144</v>
      </c>
      <c r="D166" s="13" t="s">
        <v>23</v>
      </c>
      <c r="E166" s="13" t="s">
        <v>26</v>
      </c>
      <c r="F166" s="13" t="n">
        <v>12</v>
      </c>
      <c r="G166" s="13" t="n">
        <v>12</v>
      </c>
      <c r="H166" s="13" t="n">
        <v>12</v>
      </c>
      <c r="I166" s="13" t="n">
        <f aca="false">H166-G166</f>
        <v>0</v>
      </c>
      <c r="J166" s="13" t="n">
        <f aca="false">H166-F166</f>
        <v>0</v>
      </c>
    </row>
    <row r="167" customFormat="false" ht="15" hidden="false" customHeight="false" outlineLevel="0" collapsed="false">
      <c r="A167" s="13" t="s">
        <v>65</v>
      </c>
      <c r="B167" s="13" t="s">
        <v>66</v>
      </c>
      <c r="C167" s="13" t="n">
        <v>144</v>
      </c>
      <c r="D167" s="13" t="s">
        <v>23</v>
      </c>
      <c r="E167" s="13" t="s">
        <v>27</v>
      </c>
      <c r="F167" s="13" t="n">
        <v>150</v>
      </c>
      <c r="G167" s="13" t="n">
        <v>137</v>
      </c>
      <c r="H167" s="13" t="n">
        <v>137</v>
      </c>
      <c r="I167" s="13" t="n">
        <f aca="false">H167-G167</f>
        <v>0</v>
      </c>
      <c r="J167" s="13" t="n">
        <f aca="false">H167-F167</f>
        <v>-13</v>
      </c>
    </row>
    <row r="168" customFormat="false" ht="15" hidden="false" customHeight="false" outlineLevel="0" collapsed="false">
      <c r="A168" s="13" t="s">
        <v>65</v>
      </c>
      <c r="B168" s="13" t="s">
        <v>66</v>
      </c>
      <c r="C168" s="13" t="n">
        <v>144</v>
      </c>
      <c r="D168" s="13" t="s">
        <v>23</v>
      </c>
      <c r="E168" s="13" t="s">
        <v>28</v>
      </c>
      <c r="F168" s="13" t="n">
        <v>81</v>
      </c>
      <c r="G168" s="13" t="n">
        <v>108</v>
      </c>
      <c r="H168" s="13" t="n">
        <v>108</v>
      </c>
      <c r="I168" s="13" t="n">
        <f aca="false">H168-G168</f>
        <v>0</v>
      </c>
      <c r="J168" s="13" t="n">
        <f aca="false">H168-F168</f>
        <v>27</v>
      </c>
    </row>
    <row r="169" customFormat="false" ht="15" hidden="false" customHeight="false" outlineLevel="0" collapsed="false">
      <c r="A169" s="13" t="s">
        <v>65</v>
      </c>
      <c r="B169" s="13" t="s">
        <v>66</v>
      </c>
      <c r="C169" s="13" t="n">
        <v>144</v>
      </c>
      <c r="D169" s="13" t="s">
        <v>23</v>
      </c>
      <c r="E169" s="13" t="s">
        <v>29</v>
      </c>
      <c r="F169" s="13" t="n">
        <v>2</v>
      </c>
      <c r="G169" s="13" t="n">
        <v>38</v>
      </c>
      <c r="H169" s="13" t="n">
        <v>38</v>
      </c>
      <c r="I169" s="13" t="n">
        <f aca="false">H169-G169</f>
        <v>0</v>
      </c>
      <c r="J169" s="13" t="n">
        <f aca="false">H169-F169</f>
        <v>36</v>
      </c>
    </row>
    <row r="170" customFormat="false" ht="15" hidden="false" customHeight="false" outlineLevel="0" collapsed="false">
      <c r="A170" s="13" t="s">
        <v>65</v>
      </c>
      <c r="B170" s="13" t="s">
        <v>66</v>
      </c>
      <c r="C170" s="13" t="n">
        <v>144</v>
      </c>
      <c r="D170" s="13" t="s">
        <v>23</v>
      </c>
      <c r="E170" s="13" t="s">
        <v>30</v>
      </c>
      <c r="F170" s="13" t="n">
        <v>158</v>
      </c>
      <c r="G170" s="13" t="n">
        <v>144</v>
      </c>
      <c r="H170" s="13" t="n">
        <v>144</v>
      </c>
      <c r="I170" s="13" t="n">
        <f aca="false">H170-G170</f>
        <v>0</v>
      </c>
      <c r="J170" s="13" t="n">
        <f aca="false">H170-F170</f>
        <v>-14</v>
      </c>
    </row>
    <row r="171" customFormat="false" ht="15" hidden="false" customHeight="false" outlineLevel="0" collapsed="false">
      <c r="A171" s="13" t="s">
        <v>65</v>
      </c>
      <c r="B171" s="13" t="s">
        <v>66</v>
      </c>
      <c r="C171" s="13" t="n">
        <v>144</v>
      </c>
      <c r="D171" s="13" t="s">
        <v>23</v>
      </c>
      <c r="E171" s="13" t="s">
        <v>31</v>
      </c>
      <c r="F171" s="13" t="n">
        <v>0</v>
      </c>
      <c r="G171" s="13" t="n">
        <v>0</v>
      </c>
      <c r="H171" s="13" t="n">
        <v>0</v>
      </c>
      <c r="I171" s="13" t="n">
        <f aca="false">H171-G171</f>
        <v>0</v>
      </c>
      <c r="J171" s="13" t="n">
        <f aca="false">H171-F171</f>
        <v>0</v>
      </c>
    </row>
    <row r="172" customFormat="false" ht="15" hidden="false" customHeight="false" outlineLevel="0" collapsed="false">
      <c r="A172" s="13" t="s">
        <v>65</v>
      </c>
      <c r="B172" s="13" t="s">
        <v>66</v>
      </c>
      <c r="C172" s="13" t="n">
        <v>144</v>
      </c>
      <c r="D172" s="13" t="s">
        <v>23</v>
      </c>
      <c r="E172" s="13" t="s">
        <v>32</v>
      </c>
      <c r="F172" s="13" t="n">
        <v>136</v>
      </c>
      <c r="G172" s="13" t="n">
        <v>137</v>
      </c>
      <c r="H172" s="13" t="n">
        <v>137</v>
      </c>
      <c r="I172" s="13" t="n">
        <f aca="false">H172-G172</f>
        <v>0</v>
      </c>
      <c r="J172" s="13" t="n">
        <f aca="false">H172-F172</f>
        <v>1</v>
      </c>
    </row>
    <row r="173" customFormat="false" ht="15" hidden="false" customHeight="false" outlineLevel="0" collapsed="false">
      <c r="A173" s="13" t="s">
        <v>65</v>
      </c>
      <c r="B173" s="13" t="s">
        <v>66</v>
      </c>
      <c r="C173" s="13" t="n">
        <v>144</v>
      </c>
      <c r="D173" s="13" t="s">
        <v>23</v>
      </c>
      <c r="E173" s="13" t="s">
        <v>33</v>
      </c>
      <c r="F173" s="13" t="n">
        <v>0</v>
      </c>
      <c r="G173" s="13" t="n">
        <v>0</v>
      </c>
      <c r="H173" s="13" t="n">
        <v>0</v>
      </c>
      <c r="I173" s="13" t="n">
        <f aca="false">H173-G173</f>
        <v>0</v>
      </c>
      <c r="J173" s="13" t="n">
        <f aca="false">H173-F173</f>
        <v>0</v>
      </c>
    </row>
    <row r="174" customFormat="false" ht="15" hidden="false" customHeight="false" outlineLevel="0" collapsed="false">
      <c r="A174" s="13" t="s">
        <v>65</v>
      </c>
      <c r="B174" s="13" t="s">
        <v>66</v>
      </c>
      <c r="C174" s="13" t="n">
        <v>144</v>
      </c>
      <c r="D174" s="13" t="s">
        <v>23</v>
      </c>
      <c r="E174" s="13" t="s">
        <v>34</v>
      </c>
      <c r="F174" s="13" t="n">
        <v>30</v>
      </c>
      <c r="G174" s="13" t="n">
        <v>32</v>
      </c>
      <c r="H174" s="13" t="n">
        <v>32</v>
      </c>
      <c r="I174" s="13" t="n">
        <f aca="false">H174-G174</f>
        <v>0</v>
      </c>
      <c r="J174" s="13" t="n">
        <f aca="false">H174-F174</f>
        <v>2</v>
      </c>
    </row>
    <row r="175" customFormat="false" ht="15" hidden="false" customHeight="false" outlineLevel="0" collapsed="false">
      <c r="A175" s="13" t="s">
        <v>65</v>
      </c>
      <c r="B175" s="13" t="s">
        <v>66</v>
      </c>
      <c r="C175" s="13" t="n">
        <v>144</v>
      </c>
      <c r="D175" s="13" t="s">
        <v>23</v>
      </c>
      <c r="E175" s="13" t="s">
        <v>35</v>
      </c>
      <c r="F175" s="13" t="n">
        <v>0</v>
      </c>
      <c r="G175" s="13" t="n">
        <v>0</v>
      </c>
      <c r="H175" s="13" t="n">
        <v>0</v>
      </c>
      <c r="I175" s="13" t="n">
        <f aca="false">H175-G175</f>
        <v>0</v>
      </c>
      <c r="J175" s="13" t="n">
        <f aca="false">H175-F175</f>
        <v>0</v>
      </c>
    </row>
    <row r="176" customFormat="false" ht="15" hidden="false" customHeight="false" outlineLevel="0" collapsed="false">
      <c r="A176" s="13" t="s">
        <v>65</v>
      </c>
      <c r="B176" s="13" t="s">
        <v>66</v>
      </c>
      <c r="C176" s="13" t="n">
        <v>144</v>
      </c>
      <c r="D176" s="13" t="s">
        <v>23</v>
      </c>
      <c r="E176" s="13" t="s">
        <v>36</v>
      </c>
      <c r="F176" s="13" t="n">
        <v>0</v>
      </c>
      <c r="G176" s="13" t="n">
        <v>0</v>
      </c>
      <c r="H176" s="13" t="n">
        <v>0</v>
      </c>
      <c r="I176" s="13" t="n">
        <f aca="false">H176-G176</f>
        <v>0</v>
      </c>
      <c r="J176" s="13" t="n">
        <f aca="false">H176-F176</f>
        <v>0</v>
      </c>
    </row>
    <row r="177" customFormat="false" ht="15" hidden="false" customHeight="false" outlineLevel="0" collapsed="false">
      <c r="A177" s="13" t="s">
        <v>65</v>
      </c>
      <c r="B177" s="13" t="s">
        <v>66</v>
      </c>
      <c r="C177" s="13" t="n">
        <v>144</v>
      </c>
      <c r="D177" s="13" t="s">
        <v>155</v>
      </c>
      <c r="E177" s="13" t="s">
        <v>37</v>
      </c>
      <c r="F177" s="13" t="n">
        <v>1</v>
      </c>
      <c r="G177" s="13" t="n">
        <v>1</v>
      </c>
      <c r="H177" s="13" t="n">
        <v>1</v>
      </c>
      <c r="I177" s="13" t="n">
        <f aca="false">H177-G177</f>
        <v>0</v>
      </c>
      <c r="J177" s="13" t="n">
        <f aca="false">H177-F177</f>
        <v>0</v>
      </c>
    </row>
    <row r="178" customFormat="false" ht="15" hidden="false" customHeight="false" outlineLevel="0" collapsed="false">
      <c r="A178" s="13" t="s">
        <v>65</v>
      </c>
      <c r="B178" s="13" t="s">
        <v>66</v>
      </c>
      <c r="C178" s="13" t="n">
        <v>144</v>
      </c>
      <c r="D178" s="13" t="s">
        <v>155</v>
      </c>
      <c r="E178" s="13" t="s">
        <v>39</v>
      </c>
      <c r="F178" s="13" t="n">
        <v>0</v>
      </c>
      <c r="G178" s="13" t="n">
        <v>0</v>
      </c>
      <c r="H178" s="13" t="n">
        <v>0</v>
      </c>
      <c r="I178" s="13" t="n">
        <f aca="false">H178-G178</f>
        <v>0</v>
      </c>
      <c r="J178" s="13" t="n">
        <f aca="false">H178-F178</f>
        <v>0</v>
      </c>
    </row>
    <row r="179" customFormat="false" ht="15" hidden="false" customHeight="false" outlineLevel="0" collapsed="false">
      <c r="A179" s="13" t="s">
        <v>65</v>
      </c>
      <c r="B179" s="13" t="s">
        <v>66</v>
      </c>
      <c r="C179" s="13" t="n">
        <v>144</v>
      </c>
      <c r="D179" s="13" t="s">
        <v>155</v>
      </c>
      <c r="E179" s="13" t="s">
        <v>40</v>
      </c>
      <c r="F179" s="13" t="n">
        <v>1</v>
      </c>
      <c r="G179" s="13" t="n">
        <v>1</v>
      </c>
      <c r="H179" s="13" t="n">
        <v>1</v>
      </c>
      <c r="I179" s="13" t="n">
        <f aca="false">H179-G179</f>
        <v>0</v>
      </c>
      <c r="J179" s="13" t="n">
        <f aca="false">H179-F179</f>
        <v>0</v>
      </c>
    </row>
    <row r="180" customFormat="false" ht="15" hidden="false" customHeight="false" outlineLevel="0" collapsed="false">
      <c r="A180" s="13" t="s">
        <v>65</v>
      </c>
      <c r="B180" s="13" t="s">
        <v>66</v>
      </c>
      <c r="C180" s="13" t="n">
        <v>144</v>
      </c>
      <c r="D180" s="13" t="s">
        <v>155</v>
      </c>
      <c r="E180" s="13" t="s">
        <v>41</v>
      </c>
      <c r="F180" s="13" t="n">
        <v>0</v>
      </c>
      <c r="G180" s="13" t="n">
        <v>0</v>
      </c>
      <c r="H180" s="13" t="n">
        <v>0</v>
      </c>
      <c r="I180" s="13" t="n">
        <f aca="false">H180-G180</f>
        <v>0</v>
      </c>
      <c r="J180" s="13" t="n">
        <f aca="false">H180-F180</f>
        <v>0</v>
      </c>
    </row>
    <row r="181" customFormat="false" ht="15" hidden="false" customHeight="false" outlineLevel="0" collapsed="false">
      <c r="A181" s="13" t="s">
        <v>65</v>
      </c>
      <c r="B181" s="13" t="s">
        <v>66</v>
      </c>
      <c r="C181" s="13" t="n">
        <v>144</v>
      </c>
      <c r="D181" s="13" t="s">
        <v>155</v>
      </c>
      <c r="E181" s="13" t="s">
        <v>42</v>
      </c>
      <c r="F181" s="13" t="n">
        <v>1</v>
      </c>
      <c r="G181" s="13" t="n">
        <v>1</v>
      </c>
      <c r="H181" s="13" t="n">
        <v>1</v>
      </c>
      <c r="I181" s="13" t="n">
        <f aca="false">H181-G181</f>
        <v>0</v>
      </c>
      <c r="J181" s="13" t="n">
        <f aca="false">H181-F181</f>
        <v>0</v>
      </c>
    </row>
    <row r="182" customFormat="false" ht="15" hidden="false" customHeight="false" outlineLevel="0" collapsed="false">
      <c r="A182" s="13" t="s">
        <v>65</v>
      </c>
      <c r="B182" s="13" t="s">
        <v>66</v>
      </c>
      <c r="C182" s="13" t="n">
        <v>144</v>
      </c>
      <c r="D182" s="13" t="s">
        <v>155</v>
      </c>
      <c r="E182" s="13" t="s">
        <v>43</v>
      </c>
      <c r="F182" s="13" t="n">
        <v>1</v>
      </c>
      <c r="G182" s="13" t="n">
        <v>1</v>
      </c>
      <c r="H182" s="13" t="n">
        <v>1</v>
      </c>
      <c r="I182" s="13" t="n">
        <f aca="false">H182-G182</f>
        <v>0</v>
      </c>
      <c r="J182" s="13" t="n">
        <f aca="false">H182-F182</f>
        <v>0</v>
      </c>
    </row>
    <row r="183" customFormat="false" ht="15" hidden="false" customHeight="false" outlineLevel="0" collapsed="false">
      <c r="A183" s="13" t="s">
        <v>65</v>
      </c>
      <c r="B183" s="13" t="s">
        <v>66</v>
      </c>
      <c r="C183" s="13" t="n">
        <v>144</v>
      </c>
      <c r="D183" s="13" t="s">
        <v>155</v>
      </c>
      <c r="E183" s="13" t="s">
        <v>44</v>
      </c>
      <c r="F183" s="13" t="n">
        <v>1</v>
      </c>
      <c r="G183" s="13" t="n">
        <v>1</v>
      </c>
      <c r="H183" s="13" t="n">
        <v>1</v>
      </c>
      <c r="I183" s="13" t="n">
        <f aca="false">H183-G183</f>
        <v>0</v>
      </c>
      <c r="J183" s="13" t="n">
        <f aca="false">H183-F183</f>
        <v>0</v>
      </c>
    </row>
    <row r="184" customFormat="false" ht="15" hidden="false" customHeight="false" outlineLevel="0" collapsed="false">
      <c r="A184" s="13" t="s">
        <v>65</v>
      </c>
      <c r="B184" s="13" t="s">
        <v>66</v>
      </c>
      <c r="C184" s="13" t="n">
        <v>144</v>
      </c>
      <c r="D184" s="13" t="s">
        <v>155</v>
      </c>
      <c r="E184" s="13" t="s">
        <v>45</v>
      </c>
      <c r="F184" s="13" t="n">
        <v>0</v>
      </c>
      <c r="G184" s="13" t="n">
        <v>0</v>
      </c>
      <c r="H184" s="13" t="n">
        <v>0</v>
      </c>
      <c r="I184" s="13" t="n">
        <f aca="false">H184-G184</f>
        <v>0</v>
      </c>
      <c r="J184" s="13" t="n">
        <f aca="false">H184-F184</f>
        <v>0</v>
      </c>
    </row>
    <row r="185" customFormat="false" ht="15" hidden="false" customHeight="false" outlineLevel="0" collapsed="false">
      <c r="A185" s="13" t="s">
        <v>65</v>
      </c>
      <c r="B185" s="13" t="s">
        <v>66</v>
      </c>
      <c r="C185" s="13" t="n">
        <v>144</v>
      </c>
      <c r="D185" s="13" t="s">
        <v>155</v>
      </c>
      <c r="E185" s="13" t="s">
        <v>46</v>
      </c>
      <c r="F185" s="13" t="n">
        <v>0</v>
      </c>
      <c r="G185" s="13" t="n">
        <v>0</v>
      </c>
      <c r="H185" s="13" t="n">
        <v>0</v>
      </c>
      <c r="I185" s="13" t="n">
        <f aca="false">H185-G185</f>
        <v>0</v>
      </c>
      <c r="J185" s="13" t="n">
        <f aca="false">H185-F185</f>
        <v>0</v>
      </c>
    </row>
    <row r="186" customFormat="false" ht="15" hidden="false" customHeight="false" outlineLevel="0" collapsed="false">
      <c r="A186" s="13" t="s">
        <v>67</v>
      </c>
      <c r="B186" s="13" t="s">
        <v>68</v>
      </c>
      <c r="C186" s="13" t="n">
        <v>105</v>
      </c>
      <c r="D186" s="13" t="s">
        <v>23</v>
      </c>
      <c r="E186" s="13" t="s">
        <v>22</v>
      </c>
      <c r="F186" s="13" t="n">
        <v>59</v>
      </c>
      <c r="G186" s="13" t="n">
        <v>51</v>
      </c>
      <c r="H186" s="13" t="n">
        <v>51</v>
      </c>
      <c r="I186" s="13" t="n">
        <f aca="false">H186-G186</f>
        <v>0</v>
      </c>
      <c r="J186" s="13" t="n">
        <f aca="false">H186-F186</f>
        <v>-8</v>
      </c>
    </row>
    <row r="187" customFormat="false" ht="15" hidden="false" customHeight="false" outlineLevel="0" collapsed="false">
      <c r="A187" s="13" t="s">
        <v>67</v>
      </c>
      <c r="B187" s="13" t="s">
        <v>68</v>
      </c>
      <c r="C187" s="13" t="n">
        <v>105</v>
      </c>
      <c r="D187" s="13" t="s">
        <v>23</v>
      </c>
      <c r="E187" s="13" t="s">
        <v>24</v>
      </c>
      <c r="F187" s="13" t="n">
        <v>8</v>
      </c>
      <c r="G187" s="13" t="n">
        <v>105</v>
      </c>
      <c r="H187" s="13" t="n">
        <v>105</v>
      </c>
      <c r="I187" s="13" t="n">
        <f aca="false">H187-G187</f>
        <v>0</v>
      </c>
      <c r="J187" s="13" t="n">
        <f aca="false">H187-F187</f>
        <v>97</v>
      </c>
    </row>
    <row r="188" customFormat="false" ht="15" hidden="false" customHeight="false" outlineLevel="0" collapsed="false">
      <c r="A188" s="13" t="s">
        <v>67</v>
      </c>
      <c r="B188" s="13" t="s">
        <v>68</v>
      </c>
      <c r="C188" s="13" t="n">
        <v>105</v>
      </c>
      <c r="D188" s="13" t="s">
        <v>23</v>
      </c>
      <c r="E188" s="13" t="s">
        <v>25</v>
      </c>
      <c r="F188" s="13" t="n">
        <v>114</v>
      </c>
      <c r="G188" s="13" t="n">
        <v>103</v>
      </c>
      <c r="H188" s="13" t="n">
        <v>103</v>
      </c>
      <c r="I188" s="13" t="n">
        <f aca="false">H188-G188</f>
        <v>0</v>
      </c>
      <c r="J188" s="13" t="n">
        <f aca="false">H188-F188</f>
        <v>-11</v>
      </c>
    </row>
    <row r="189" customFormat="false" ht="15" hidden="false" customHeight="false" outlineLevel="0" collapsed="false">
      <c r="A189" s="13" t="s">
        <v>67</v>
      </c>
      <c r="B189" s="13" t="s">
        <v>68</v>
      </c>
      <c r="C189" s="13" t="n">
        <v>105</v>
      </c>
      <c r="D189" s="13" t="s">
        <v>23</v>
      </c>
      <c r="E189" s="13" t="s">
        <v>26</v>
      </c>
      <c r="F189" s="13" t="n">
        <v>32</v>
      </c>
      <c r="G189" s="13" t="n">
        <v>27</v>
      </c>
      <c r="H189" s="13" t="n">
        <v>27</v>
      </c>
      <c r="I189" s="13" t="n">
        <f aca="false">H189-G189</f>
        <v>0</v>
      </c>
      <c r="J189" s="13" t="n">
        <f aca="false">H189-F189</f>
        <v>-5</v>
      </c>
    </row>
    <row r="190" customFormat="false" ht="15" hidden="false" customHeight="false" outlineLevel="0" collapsed="false">
      <c r="A190" s="13" t="s">
        <v>67</v>
      </c>
      <c r="B190" s="13" t="s">
        <v>68</v>
      </c>
      <c r="C190" s="13" t="n">
        <v>105</v>
      </c>
      <c r="D190" s="13" t="s">
        <v>23</v>
      </c>
      <c r="E190" s="13" t="s">
        <v>27</v>
      </c>
      <c r="F190" s="13" t="n">
        <v>117</v>
      </c>
      <c r="G190" s="13" t="n">
        <v>105</v>
      </c>
      <c r="H190" s="13" t="n">
        <v>105</v>
      </c>
      <c r="I190" s="13" t="n">
        <f aca="false">H190-G190</f>
        <v>0</v>
      </c>
      <c r="J190" s="13" t="n">
        <f aca="false">H190-F190</f>
        <v>-12</v>
      </c>
    </row>
    <row r="191" customFormat="false" ht="15" hidden="false" customHeight="false" outlineLevel="0" collapsed="false">
      <c r="A191" s="13" t="s">
        <v>67</v>
      </c>
      <c r="B191" s="13" t="s">
        <v>68</v>
      </c>
      <c r="C191" s="13" t="n">
        <v>105</v>
      </c>
      <c r="D191" s="13" t="s">
        <v>23</v>
      </c>
      <c r="E191" s="13" t="s">
        <v>28</v>
      </c>
      <c r="F191" s="13" t="n">
        <v>0</v>
      </c>
      <c r="G191" s="13" t="n">
        <v>87</v>
      </c>
      <c r="H191" s="13" t="n">
        <v>87</v>
      </c>
      <c r="I191" s="13" t="n">
        <f aca="false">H191-G191</f>
        <v>0</v>
      </c>
      <c r="J191" s="13" t="n">
        <f aca="false">H191-F191</f>
        <v>87</v>
      </c>
    </row>
    <row r="192" customFormat="false" ht="15" hidden="false" customHeight="false" outlineLevel="0" collapsed="false">
      <c r="A192" s="13" t="s">
        <v>67</v>
      </c>
      <c r="B192" s="13" t="s">
        <v>68</v>
      </c>
      <c r="C192" s="13" t="n">
        <v>105</v>
      </c>
      <c r="D192" s="13" t="s">
        <v>23</v>
      </c>
      <c r="E192" s="13" t="s">
        <v>29</v>
      </c>
      <c r="F192" s="13" t="n">
        <v>0</v>
      </c>
      <c r="G192" s="13" t="n">
        <v>0</v>
      </c>
      <c r="H192" s="13" t="n">
        <v>0</v>
      </c>
      <c r="I192" s="13" t="n">
        <f aca="false">H192-G192</f>
        <v>0</v>
      </c>
      <c r="J192" s="13" t="n">
        <f aca="false">H192-F192</f>
        <v>0</v>
      </c>
    </row>
    <row r="193" customFormat="false" ht="15" hidden="false" customHeight="false" outlineLevel="0" collapsed="false">
      <c r="A193" s="13" t="s">
        <v>67</v>
      </c>
      <c r="B193" s="13" t="s">
        <v>68</v>
      </c>
      <c r="C193" s="13" t="n">
        <v>105</v>
      </c>
      <c r="D193" s="13" t="s">
        <v>23</v>
      </c>
      <c r="E193" s="13" t="s">
        <v>30</v>
      </c>
      <c r="F193" s="13" t="n">
        <v>117</v>
      </c>
      <c r="G193" s="13" t="n">
        <v>105</v>
      </c>
      <c r="H193" s="13" t="n">
        <v>105</v>
      </c>
      <c r="I193" s="13" t="n">
        <f aca="false">H193-G193</f>
        <v>0</v>
      </c>
      <c r="J193" s="13" t="n">
        <f aca="false">H193-F193</f>
        <v>-12</v>
      </c>
    </row>
    <row r="194" customFormat="false" ht="15" hidden="false" customHeight="false" outlineLevel="0" collapsed="false">
      <c r="A194" s="13" t="s">
        <v>67</v>
      </c>
      <c r="B194" s="13" t="s">
        <v>68</v>
      </c>
      <c r="C194" s="13" t="n">
        <v>105</v>
      </c>
      <c r="D194" s="13" t="s">
        <v>23</v>
      </c>
      <c r="E194" s="13" t="s">
        <v>31</v>
      </c>
      <c r="F194" s="13" t="n">
        <v>0</v>
      </c>
      <c r="G194" s="13" t="n">
        <v>35</v>
      </c>
      <c r="H194" s="13" t="n">
        <v>35</v>
      </c>
      <c r="I194" s="13" t="n">
        <f aca="false">H194-G194</f>
        <v>0</v>
      </c>
      <c r="J194" s="13" t="n">
        <f aca="false">H194-F194</f>
        <v>35</v>
      </c>
    </row>
    <row r="195" customFormat="false" ht="15" hidden="false" customHeight="false" outlineLevel="0" collapsed="false">
      <c r="A195" s="13" t="s">
        <v>67</v>
      </c>
      <c r="B195" s="13" t="s">
        <v>68</v>
      </c>
      <c r="C195" s="13" t="n">
        <v>105</v>
      </c>
      <c r="D195" s="13" t="s">
        <v>23</v>
      </c>
      <c r="E195" s="13" t="s">
        <v>32</v>
      </c>
      <c r="F195" s="13" t="n">
        <v>0</v>
      </c>
      <c r="G195" s="13" t="n">
        <v>49</v>
      </c>
      <c r="H195" s="13" t="n">
        <v>49</v>
      </c>
      <c r="I195" s="13" t="n">
        <f aca="false">H195-G195</f>
        <v>0</v>
      </c>
      <c r="J195" s="13" t="n">
        <f aca="false">H195-F195</f>
        <v>49</v>
      </c>
    </row>
    <row r="196" customFormat="false" ht="15" hidden="false" customHeight="false" outlineLevel="0" collapsed="false">
      <c r="A196" s="13" t="s">
        <v>67</v>
      </c>
      <c r="B196" s="13" t="s">
        <v>68</v>
      </c>
      <c r="C196" s="13" t="n">
        <v>105</v>
      </c>
      <c r="D196" s="13" t="s">
        <v>23</v>
      </c>
      <c r="E196" s="13" t="s">
        <v>33</v>
      </c>
      <c r="F196" s="13" t="n">
        <v>0</v>
      </c>
      <c r="G196" s="13" t="n">
        <v>0</v>
      </c>
      <c r="H196" s="13" t="n">
        <v>0</v>
      </c>
      <c r="I196" s="13" t="n">
        <f aca="false">H196-G196</f>
        <v>0</v>
      </c>
      <c r="J196" s="13" t="n">
        <f aca="false">H196-F196</f>
        <v>0</v>
      </c>
    </row>
    <row r="197" customFormat="false" ht="15" hidden="false" customHeight="false" outlineLevel="0" collapsed="false">
      <c r="A197" s="13" t="s">
        <v>67</v>
      </c>
      <c r="B197" s="13" t="s">
        <v>68</v>
      </c>
      <c r="C197" s="13" t="n">
        <v>105</v>
      </c>
      <c r="D197" s="13" t="s">
        <v>23</v>
      </c>
      <c r="E197" s="13" t="s">
        <v>34</v>
      </c>
      <c r="F197" s="13" t="n">
        <v>7</v>
      </c>
      <c r="G197" s="13" t="n">
        <v>7</v>
      </c>
      <c r="H197" s="13" t="n">
        <v>7</v>
      </c>
      <c r="I197" s="13" t="n">
        <f aca="false">H197-G197</f>
        <v>0</v>
      </c>
      <c r="J197" s="13" t="n">
        <f aca="false">H197-F197</f>
        <v>0</v>
      </c>
    </row>
    <row r="198" customFormat="false" ht="15" hidden="false" customHeight="false" outlineLevel="0" collapsed="false">
      <c r="A198" s="13" t="s">
        <v>67</v>
      </c>
      <c r="B198" s="13" t="s">
        <v>68</v>
      </c>
      <c r="C198" s="13" t="n">
        <v>105</v>
      </c>
      <c r="D198" s="13" t="s">
        <v>23</v>
      </c>
      <c r="E198" s="13" t="s">
        <v>35</v>
      </c>
      <c r="F198" s="13" t="n">
        <v>0</v>
      </c>
      <c r="G198" s="13" t="n">
        <v>0</v>
      </c>
      <c r="H198" s="13" t="n">
        <v>0</v>
      </c>
      <c r="I198" s="13" t="n">
        <f aca="false">H198-G198</f>
        <v>0</v>
      </c>
      <c r="J198" s="13" t="n">
        <f aca="false">H198-F198</f>
        <v>0</v>
      </c>
    </row>
    <row r="199" customFormat="false" ht="15" hidden="false" customHeight="false" outlineLevel="0" collapsed="false">
      <c r="A199" s="13" t="s">
        <v>67</v>
      </c>
      <c r="B199" s="13" t="s">
        <v>68</v>
      </c>
      <c r="C199" s="13" t="n">
        <v>105</v>
      </c>
      <c r="D199" s="13" t="s">
        <v>23</v>
      </c>
      <c r="E199" s="13" t="s">
        <v>36</v>
      </c>
      <c r="F199" s="13" t="n">
        <v>0</v>
      </c>
      <c r="G199" s="13" t="n">
        <v>0</v>
      </c>
      <c r="H199" s="13" t="n">
        <v>0</v>
      </c>
      <c r="I199" s="13" t="n">
        <f aca="false">H199-G199</f>
        <v>0</v>
      </c>
      <c r="J199" s="13" t="n">
        <f aca="false">H199-F199</f>
        <v>0</v>
      </c>
    </row>
    <row r="200" customFormat="false" ht="15" hidden="false" customHeight="false" outlineLevel="0" collapsed="false">
      <c r="A200" s="13" t="s">
        <v>67</v>
      </c>
      <c r="B200" s="13" t="s">
        <v>68</v>
      </c>
      <c r="C200" s="13" t="n">
        <v>105</v>
      </c>
      <c r="D200" s="13" t="s">
        <v>155</v>
      </c>
      <c r="E200" s="13" t="s">
        <v>37</v>
      </c>
      <c r="F200" s="13" t="n">
        <v>1</v>
      </c>
      <c r="G200" s="13" t="n">
        <v>1</v>
      </c>
      <c r="H200" s="13" t="n">
        <v>1</v>
      </c>
      <c r="I200" s="13" t="n">
        <f aca="false">H200-G200</f>
        <v>0</v>
      </c>
      <c r="J200" s="13" t="n">
        <f aca="false">H200-F200</f>
        <v>0</v>
      </c>
    </row>
    <row r="201" customFormat="false" ht="15" hidden="false" customHeight="false" outlineLevel="0" collapsed="false">
      <c r="A201" s="13" t="s">
        <v>67</v>
      </c>
      <c r="B201" s="13" t="s">
        <v>68</v>
      </c>
      <c r="C201" s="13" t="n">
        <v>105</v>
      </c>
      <c r="D201" s="13" t="s">
        <v>155</v>
      </c>
      <c r="E201" s="13" t="s">
        <v>39</v>
      </c>
      <c r="F201" s="13" t="n">
        <v>0</v>
      </c>
      <c r="G201" s="13" t="n">
        <v>0</v>
      </c>
      <c r="H201" s="13" t="n">
        <v>0</v>
      </c>
      <c r="I201" s="13" t="n">
        <f aca="false">H201-G201</f>
        <v>0</v>
      </c>
      <c r="J201" s="13" t="n">
        <f aca="false">H201-F201</f>
        <v>0</v>
      </c>
    </row>
    <row r="202" customFormat="false" ht="15" hidden="false" customHeight="false" outlineLevel="0" collapsed="false">
      <c r="A202" s="13" t="s">
        <v>67</v>
      </c>
      <c r="B202" s="13" t="s">
        <v>68</v>
      </c>
      <c r="C202" s="13" t="n">
        <v>105</v>
      </c>
      <c r="D202" s="13" t="s">
        <v>155</v>
      </c>
      <c r="E202" s="13" t="s">
        <v>40</v>
      </c>
      <c r="F202" s="13" t="n">
        <v>0</v>
      </c>
      <c r="G202" s="13" t="n">
        <v>1</v>
      </c>
      <c r="H202" s="13" t="n">
        <v>1</v>
      </c>
      <c r="I202" s="13" t="n">
        <f aca="false">H202-G202</f>
        <v>0</v>
      </c>
      <c r="J202" s="13" t="n">
        <f aca="false">H202-F202</f>
        <v>1</v>
      </c>
    </row>
    <row r="203" customFormat="false" ht="15" hidden="false" customHeight="false" outlineLevel="0" collapsed="false">
      <c r="A203" s="13" t="s">
        <v>67</v>
      </c>
      <c r="B203" s="13" t="s">
        <v>68</v>
      </c>
      <c r="C203" s="13" t="n">
        <v>105</v>
      </c>
      <c r="D203" s="13" t="s">
        <v>155</v>
      </c>
      <c r="E203" s="13" t="s">
        <v>41</v>
      </c>
      <c r="F203" s="13" t="n">
        <v>0</v>
      </c>
      <c r="G203" s="13" t="n">
        <v>0</v>
      </c>
      <c r="H203" s="13" t="n">
        <v>0</v>
      </c>
      <c r="I203" s="13" t="n">
        <f aca="false">H203-G203</f>
        <v>0</v>
      </c>
      <c r="J203" s="13" t="n">
        <f aca="false">H203-F203</f>
        <v>0</v>
      </c>
    </row>
    <row r="204" customFormat="false" ht="15" hidden="false" customHeight="false" outlineLevel="0" collapsed="false">
      <c r="A204" s="13" t="s">
        <v>67</v>
      </c>
      <c r="B204" s="13" t="s">
        <v>68</v>
      </c>
      <c r="C204" s="13" t="n">
        <v>105</v>
      </c>
      <c r="D204" s="13" t="s">
        <v>155</v>
      </c>
      <c r="E204" s="13" t="s">
        <v>42</v>
      </c>
      <c r="F204" s="13" t="n">
        <v>1</v>
      </c>
      <c r="G204" s="13" t="n">
        <v>1</v>
      </c>
      <c r="H204" s="13" t="n">
        <v>1</v>
      </c>
      <c r="I204" s="13" t="n">
        <f aca="false">H204-G204</f>
        <v>0</v>
      </c>
      <c r="J204" s="13" t="n">
        <f aca="false">H204-F204</f>
        <v>0</v>
      </c>
    </row>
    <row r="205" customFormat="false" ht="15" hidden="false" customHeight="false" outlineLevel="0" collapsed="false">
      <c r="A205" s="13" t="s">
        <v>67</v>
      </c>
      <c r="B205" s="13" t="s">
        <v>68</v>
      </c>
      <c r="C205" s="13" t="n">
        <v>105</v>
      </c>
      <c r="D205" s="13" t="s">
        <v>155</v>
      </c>
      <c r="E205" s="13" t="s">
        <v>43</v>
      </c>
      <c r="F205" s="13" t="n">
        <v>1</v>
      </c>
      <c r="G205" s="13" t="n">
        <v>1</v>
      </c>
      <c r="H205" s="13" t="n">
        <v>1</v>
      </c>
      <c r="I205" s="13" t="n">
        <f aca="false">H205-G205</f>
        <v>0</v>
      </c>
      <c r="J205" s="13" t="n">
        <f aca="false">H205-F205</f>
        <v>0</v>
      </c>
    </row>
    <row r="206" customFormat="false" ht="15" hidden="false" customHeight="false" outlineLevel="0" collapsed="false">
      <c r="A206" s="13" t="s">
        <v>67</v>
      </c>
      <c r="B206" s="13" t="s">
        <v>68</v>
      </c>
      <c r="C206" s="13" t="n">
        <v>105</v>
      </c>
      <c r="D206" s="13" t="s">
        <v>155</v>
      </c>
      <c r="E206" s="13" t="s">
        <v>44</v>
      </c>
      <c r="F206" s="13" t="n">
        <v>1</v>
      </c>
      <c r="G206" s="13" t="n">
        <v>1</v>
      </c>
      <c r="H206" s="13" t="n">
        <v>1</v>
      </c>
      <c r="I206" s="13" t="n">
        <f aca="false">H206-G206</f>
        <v>0</v>
      </c>
      <c r="J206" s="13" t="n">
        <f aca="false">H206-F206</f>
        <v>0</v>
      </c>
    </row>
    <row r="207" customFormat="false" ht="15" hidden="false" customHeight="false" outlineLevel="0" collapsed="false">
      <c r="A207" s="13" t="s">
        <v>67</v>
      </c>
      <c r="B207" s="13" t="s">
        <v>68</v>
      </c>
      <c r="C207" s="13" t="n">
        <v>105</v>
      </c>
      <c r="D207" s="13" t="s">
        <v>155</v>
      </c>
      <c r="E207" s="13" t="s">
        <v>45</v>
      </c>
      <c r="F207" s="13" t="n">
        <v>0</v>
      </c>
      <c r="G207" s="13" t="n">
        <v>0</v>
      </c>
      <c r="H207" s="13" t="n">
        <v>0</v>
      </c>
      <c r="I207" s="13" t="n">
        <f aca="false">H207-G207</f>
        <v>0</v>
      </c>
      <c r="J207" s="13" t="n">
        <f aca="false">H207-F207</f>
        <v>0</v>
      </c>
    </row>
    <row r="208" customFormat="false" ht="15" hidden="false" customHeight="false" outlineLevel="0" collapsed="false">
      <c r="A208" s="13" t="s">
        <v>67</v>
      </c>
      <c r="B208" s="13" t="s">
        <v>68</v>
      </c>
      <c r="C208" s="13" t="n">
        <v>105</v>
      </c>
      <c r="D208" s="13" t="s">
        <v>155</v>
      </c>
      <c r="E208" s="13" t="s">
        <v>46</v>
      </c>
      <c r="F208" s="13" t="n">
        <v>0</v>
      </c>
      <c r="G208" s="13" t="n">
        <v>0</v>
      </c>
      <c r="H208" s="13" t="n">
        <v>0</v>
      </c>
      <c r="I208" s="13" t="n">
        <f aca="false">H208-G208</f>
        <v>0</v>
      </c>
      <c r="J208" s="13" t="n">
        <f aca="false">H208-F208</f>
        <v>0</v>
      </c>
    </row>
    <row r="209" customFormat="false" ht="15" hidden="false" customHeight="false" outlineLevel="0" collapsed="false">
      <c r="A209" s="13" t="s">
        <v>69</v>
      </c>
      <c r="B209" s="13" t="s">
        <v>70</v>
      </c>
      <c r="C209" s="13" t="n">
        <v>105</v>
      </c>
      <c r="D209" s="13" t="s">
        <v>23</v>
      </c>
      <c r="E209" s="13" t="s">
        <v>22</v>
      </c>
      <c r="F209" s="13" t="n">
        <v>78</v>
      </c>
      <c r="G209" s="13" t="n">
        <v>77</v>
      </c>
      <c r="H209" s="13" t="n">
        <v>77</v>
      </c>
      <c r="I209" s="13" t="n">
        <f aca="false">H209-G209</f>
        <v>0</v>
      </c>
      <c r="J209" s="13" t="n">
        <f aca="false">H209-F209</f>
        <v>-1</v>
      </c>
    </row>
    <row r="210" customFormat="false" ht="15" hidden="false" customHeight="false" outlineLevel="0" collapsed="false">
      <c r="A210" s="13" t="s">
        <v>69</v>
      </c>
      <c r="B210" s="13" t="s">
        <v>70</v>
      </c>
      <c r="C210" s="13" t="n">
        <v>105</v>
      </c>
      <c r="D210" s="13" t="s">
        <v>23</v>
      </c>
      <c r="E210" s="13" t="s">
        <v>24</v>
      </c>
      <c r="F210" s="13" t="n">
        <v>31</v>
      </c>
      <c r="G210" s="13" t="n">
        <v>105</v>
      </c>
      <c r="H210" s="13" t="n">
        <v>105</v>
      </c>
      <c r="I210" s="13" t="n">
        <f aca="false">H210-G210</f>
        <v>0</v>
      </c>
      <c r="J210" s="13" t="n">
        <f aca="false">H210-F210</f>
        <v>74</v>
      </c>
    </row>
    <row r="211" customFormat="false" ht="15" hidden="false" customHeight="false" outlineLevel="0" collapsed="false">
      <c r="A211" s="13" t="s">
        <v>69</v>
      </c>
      <c r="B211" s="13" t="s">
        <v>70</v>
      </c>
      <c r="C211" s="13" t="n">
        <v>105</v>
      </c>
      <c r="D211" s="13" t="s">
        <v>23</v>
      </c>
      <c r="E211" s="13" t="s">
        <v>25</v>
      </c>
      <c r="F211" s="13" t="n">
        <v>110</v>
      </c>
      <c r="G211" s="13" t="n">
        <v>105</v>
      </c>
      <c r="H211" s="13" t="n">
        <v>105</v>
      </c>
      <c r="I211" s="13" t="n">
        <f aca="false">H211-G211</f>
        <v>0</v>
      </c>
      <c r="J211" s="13" t="n">
        <f aca="false">H211-F211</f>
        <v>-5</v>
      </c>
    </row>
    <row r="212" customFormat="false" ht="15" hidden="false" customHeight="false" outlineLevel="0" collapsed="false">
      <c r="A212" s="13" t="s">
        <v>69</v>
      </c>
      <c r="B212" s="13" t="s">
        <v>70</v>
      </c>
      <c r="C212" s="13" t="n">
        <v>105</v>
      </c>
      <c r="D212" s="13" t="s">
        <v>23</v>
      </c>
      <c r="E212" s="13" t="s">
        <v>26</v>
      </c>
      <c r="F212" s="13" t="n">
        <v>87</v>
      </c>
      <c r="G212" s="13" t="n">
        <v>64</v>
      </c>
      <c r="H212" s="13" t="n">
        <v>64</v>
      </c>
      <c r="I212" s="13" t="n">
        <f aca="false">H212-G212</f>
        <v>0</v>
      </c>
      <c r="J212" s="13" t="n">
        <f aca="false">H212-F212</f>
        <v>-23</v>
      </c>
    </row>
    <row r="213" customFormat="false" ht="15" hidden="false" customHeight="false" outlineLevel="0" collapsed="false">
      <c r="A213" s="13" t="s">
        <v>69</v>
      </c>
      <c r="B213" s="13" t="s">
        <v>70</v>
      </c>
      <c r="C213" s="13" t="n">
        <v>105</v>
      </c>
      <c r="D213" s="13" t="s">
        <v>23</v>
      </c>
      <c r="E213" s="13" t="s">
        <v>27</v>
      </c>
      <c r="F213" s="13" t="n">
        <v>99</v>
      </c>
      <c r="G213" s="13" t="n">
        <v>76</v>
      </c>
      <c r="H213" s="13" t="n">
        <v>76</v>
      </c>
      <c r="I213" s="13" t="n">
        <f aca="false">H213-G213</f>
        <v>0</v>
      </c>
      <c r="J213" s="13" t="n">
        <f aca="false">H213-F213</f>
        <v>-23</v>
      </c>
    </row>
    <row r="214" customFormat="false" ht="15" hidden="false" customHeight="false" outlineLevel="0" collapsed="false">
      <c r="A214" s="13" t="s">
        <v>69</v>
      </c>
      <c r="B214" s="13" t="s">
        <v>70</v>
      </c>
      <c r="C214" s="13" t="n">
        <v>105</v>
      </c>
      <c r="D214" s="13" t="s">
        <v>23</v>
      </c>
      <c r="E214" s="13" t="s">
        <v>28</v>
      </c>
      <c r="F214" s="13" t="n">
        <v>100</v>
      </c>
      <c r="G214" s="13" t="n">
        <v>73</v>
      </c>
      <c r="H214" s="13" t="n">
        <v>73</v>
      </c>
      <c r="I214" s="13" t="n">
        <f aca="false">H214-G214</f>
        <v>0</v>
      </c>
      <c r="J214" s="13" t="n">
        <f aca="false">H214-F214</f>
        <v>-27</v>
      </c>
    </row>
    <row r="215" customFormat="false" ht="15" hidden="false" customHeight="false" outlineLevel="0" collapsed="false">
      <c r="A215" s="13" t="s">
        <v>69</v>
      </c>
      <c r="B215" s="13" t="s">
        <v>70</v>
      </c>
      <c r="C215" s="13" t="n">
        <v>105</v>
      </c>
      <c r="D215" s="13" t="s">
        <v>23</v>
      </c>
      <c r="E215" s="13" t="s">
        <v>29</v>
      </c>
      <c r="F215" s="13" t="n">
        <v>100</v>
      </c>
      <c r="G215" s="13" t="n">
        <v>73</v>
      </c>
      <c r="H215" s="13" t="n">
        <v>73</v>
      </c>
      <c r="I215" s="13" t="n">
        <f aca="false">H215-G215</f>
        <v>0</v>
      </c>
      <c r="J215" s="13" t="n">
        <f aca="false">H215-F215</f>
        <v>-27</v>
      </c>
    </row>
    <row r="216" customFormat="false" ht="15" hidden="false" customHeight="false" outlineLevel="0" collapsed="false">
      <c r="A216" s="13" t="s">
        <v>69</v>
      </c>
      <c r="B216" s="13" t="s">
        <v>70</v>
      </c>
      <c r="C216" s="13" t="n">
        <v>105</v>
      </c>
      <c r="D216" s="13" t="s">
        <v>23</v>
      </c>
      <c r="E216" s="13" t="s">
        <v>30</v>
      </c>
      <c r="F216" s="13" t="n">
        <v>114</v>
      </c>
      <c r="G216" s="13" t="n">
        <v>105</v>
      </c>
      <c r="H216" s="13" t="n">
        <v>105</v>
      </c>
      <c r="I216" s="13" t="n">
        <f aca="false">H216-G216</f>
        <v>0</v>
      </c>
      <c r="J216" s="13" t="n">
        <f aca="false">H216-F216</f>
        <v>-9</v>
      </c>
    </row>
    <row r="217" customFormat="false" ht="15" hidden="false" customHeight="false" outlineLevel="0" collapsed="false">
      <c r="A217" s="13" t="s">
        <v>69</v>
      </c>
      <c r="B217" s="13" t="s">
        <v>70</v>
      </c>
      <c r="C217" s="13" t="n">
        <v>105</v>
      </c>
      <c r="D217" s="13" t="s">
        <v>23</v>
      </c>
      <c r="E217" s="13" t="s">
        <v>31</v>
      </c>
      <c r="F217" s="13" t="n">
        <v>0</v>
      </c>
      <c r="G217" s="13" t="n">
        <v>4</v>
      </c>
      <c r="H217" s="13" t="n">
        <v>4</v>
      </c>
      <c r="I217" s="13" t="n">
        <f aca="false">H217-G217</f>
        <v>0</v>
      </c>
      <c r="J217" s="13" t="n">
        <f aca="false">H217-F217</f>
        <v>4</v>
      </c>
    </row>
    <row r="218" customFormat="false" ht="15" hidden="false" customHeight="false" outlineLevel="0" collapsed="false">
      <c r="A218" s="13" t="s">
        <v>69</v>
      </c>
      <c r="B218" s="13" t="s">
        <v>70</v>
      </c>
      <c r="C218" s="13" t="n">
        <v>105</v>
      </c>
      <c r="D218" s="13" t="s">
        <v>23</v>
      </c>
      <c r="E218" s="13" t="s">
        <v>32</v>
      </c>
      <c r="F218" s="13" t="n">
        <v>72</v>
      </c>
      <c r="G218" s="13" t="n">
        <v>72</v>
      </c>
      <c r="H218" s="13" t="n">
        <v>72</v>
      </c>
      <c r="I218" s="13" t="n">
        <f aca="false">H218-G218</f>
        <v>0</v>
      </c>
      <c r="J218" s="13" t="n">
        <f aca="false">H218-F218</f>
        <v>0</v>
      </c>
    </row>
    <row r="219" customFormat="false" ht="15" hidden="false" customHeight="false" outlineLevel="0" collapsed="false">
      <c r="A219" s="13" t="s">
        <v>69</v>
      </c>
      <c r="B219" s="13" t="s">
        <v>70</v>
      </c>
      <c r="C219" s="13" t="n">
        <v>105</v>
      </c>
      <c r="D219" s="13" t="s">
        <v>23</v>
      </c>
      <c r="E219" s="13" t="s">
        <v>33</v>
      </c>
      <c r="F219" s="13" t="n">
        <v>0</v>
      </c>
      <c r="G219" s="13" t="n">
        <v>0</v>
      </c>
      <c r="H219" s="13" t="n">
        <v>0</v>
      </c>
      <c r="I219" s="13" t="n">
        <f aca="false">H219-G219</f>
        <v>0</v>
      </c>
      <c r="J219" s="13" t="n">
        <f aca="false">H219-F219</f>
        <v>0</v>
      </c>
    </row>
    <row r="220" customFormat="false" ht="15" hidden="false" customHeight="false" outlineLevel="0" collapsed="false">
      <c r="A220" s="13" t="s">
        <v>69</v>
      </c>
      <c r="B220" s="13" t="s">
        <v>70</v>
      </c>
      <c r="C220" s="13" t="n">
        <v>105</v>
      </c>
      <c r="D220" s="13" t="s">
        <v>23</v>
      </c>
      <c r="E220" s="13" t="s">
        <v>34</v>
      </c>
      <c r="F220" s="13" t="n">
        <v>1</v>
      </c>
      <c r="G220" s="13" t="n">
        <v>1</v>
      </c>
      <c r="H220" s="13" t="n">
        <v>1</v>
      </c>
      <c r="I220" s="13" t="n">
        <f aca="false">H220-G220</f>
        <v>0</v>
      </c>
      <c r="J220" s="13" t="n">
        <f aca="false">H220-F220</f>
        <v>0</v>
      </c>
    </row>
    <row r="221" customFormat="false" ht="15" hidden="false" customHeight="false" outlineLevel="0" collapsed="false">
      <c r="A221" s="13" t="s">
        <v>69</v>
      </c>
      <c r="B221" s="13" t="s">
        <v>70</v>
      </c>
      <c r="C221" s="13" t="n">
        <v>105</v>
      </c>
      <c r="D221" s="13" t="s">
        <v>23</v>
      </c>
      <c r="E221" s="13" t="s">
        <v>35</v>
      </c>
      <c r="F221" s="13" t="n">
        <v>0</v>
      </c>
      <c r="G221" s="13" t="n">
        <v>0</v>
      </c>
      <c r="H221" s="13" t="n">
        <v>0</v>
      </c>
      <c r="I221" s="13" t="n">
        <f aca="false">H221-G221</f>
        <v>0</v>
      </c>
      <c r="J221" s="13" t="n">
        <f aca="false">H221-F221</f>
        <v>0</v>
      </c>
    </row>
    <row r="222" customFormat="false" ht="15" hidden="false" customHeight="false" outlineLevel="0" collapsed="false">
      <c r="A222" s="13" t="s">
        <v>69</v>
      </c>
      <c r="B222" s="13" t="s">
        <v>70</v>
      </c>
      <c r="C222" s="13" t="n">
        <v>105</v>
      </c>
      <c r="D222" s="13" t="s">
        <v>23</v>
      </c>
      <c r="E222" s="13" t="s">
        <v>36</v>
      </c>
      <c r="F222" s="13" t="n">
        <v>0</v>
      </c>
      <c r="G222" s="13" t="n">
        <v>0</v>
      </c>
      <c r="H222" s="13" t="n">
        <v>0</v>
      </c>
      <c r="I222" s="13" t="n">
        <f aca="false">H222-G222</f>
        <v>0</v>
      </c>
      <c r="J222" s="13" t="n">
        <f aca="false">H222-F222</f>
        <v>0</v>
      </c>
    </row>
    <row r="223" customFormat="false" ht="15" hidden="false" customHeight="false" outlineLevel="0" collapsed="false">
      <c r="A223" s="13" t="s">
        <v>69</v>
      </c>
      <c r="B223" s="13" t="s">
        <v>70</v>
      </c>
      <c r="C223" s="13" t="n">
        <v>105</v>
      </c>
      <c r="D223" s="13" t="s">
        <v>155</v>
      </c>
      <c r="E223" s="13" t="s">
        <v>37</v>
      </c>
      <c r="F223" s="13" t="n">
        <v>1</v>
      </c>
      <c r="G223" s="13" t="n">
        <v>1</v>
      </c>
      <c r="H223" s="13" t="n">
        <v>1</v>
      </c>
      <c r="I223" s="13" t="n">
        <f aca="false">H223-G223</f>
        <v>0</v>
      </c>
      <c r="J223" s="13" t="n">
        <f aca="false">H223-F223</f>
        <v>0</v>
      </c>
    </row>
    <row r="224" customFormat="false" ht="15" hidden="false" customHeight="false" outlineLevel="0" collapsed="false">
      <c r="A224" s="13" t="s">
        <v>69</v>
      </c>
      <c r="B224" s="13" t="s">
        <v>70</v>
      </c>
      <c r="C224" s="13" t="n">
        <v>105</v>
      </c>
      <c r="D224" s="13" t="s">
        <v>155</v>
      </c>
      <c r="E224" s="13" t="s">
        <v>39</v>
      </c>
      <c r="F224" s="13" t="n">
        <v>0</v>
      </c>
      <c r="G224" s="13" t="n">
        <v>0</v>
      </c>
      <c r="H224" s="13" t="n">
        <v>0</v>
      </c>
      <c r="I224" s="13" t="n">
        <f aca="false">H224-G224</f>
        <v>0</v>
      </c>
      <c r="J224" s="13" t="n">
        <f aca="false">H224-F224</f>
        <v>0</v>
      </c>
    </row>
    <row r="225" customFormat="false" ht="15" hidden="false" customHeight="false" outlineLevel="0" collapsed="false">
      <c r="A225" s="13" t="s">
        <v>69</v>
      </c>
      <c r="B225" s="13" t="s">
        <v>70</v>
      </c>
      <c r="C225" s="13" t="n">
        <v>105</v>
      </c>
      <c r="D225" s="13" t="s">
        <v>155</v>
      </c>
      <c r="E225" s="13" t="s">
        <v>40</v>
      </c>
      <c r="F225" s="13" t="n">
        <v>1</v>
      </c>
      <c r="G225" s="13" t="n">
        <v>1</v>
      </c>
      <c r="H225" s="13" t="n">
        <v>1</v>
      </c>
      <c r="I225" s="13" t="n">
        <f aca="false">H225-G225</f>
        <v>0</v>
      </c>
      <c r="J225" s="13" t="n">
        <f aca="false">H225-F225</f>
        <v>0</v>
      </c>
    </row>
    <row r="226" customFormat="false" ht="15" hidden="false" customHeight="false" outlineLevel="0" collapsed="false">
      <c r="A226" s="13" t="s">
        <v>69</v>
      </c>
      <c r="B226" s="13" t="s">
        <v>70</v>
      </c>
      <c r="C226" s="13" t="n">
        <v>105</v>
      </c>
      <c r="D226" s="13" t="s">
        <v>155</v>
      </c>
      <c r="E226" s="13" t="s">
        <v>41</v>
      </c>
      <c r="F226" s="13" t="n">
        <v>0</v>
      </c>
      <c r="G226" s="13" t="n">
        <v>0</v>
      </c>
      <c r="H226" s="13" t="n">
        <v>0</v>
      </c>
      <c r="I226" s="13" t="n">
        <f aca="false">H226-G226</f>
        <v>0</v>
      </c>
      <c r="J226" s="13" t="n">
        <f aca="false">H226-F226</f>
        <v>0</v>
      </c>
    </row>
    <row r="227" customFormat="false" ht="15" hidden="false" customHeight="false" outlineLevel="0" collapsed="false">
      <c r="A227" s="13" t="s">
        <v>69</v>
      </c>
      <c r="B227" s="13" t="s">
        <v>70</v>
      </c>
      <c r="C227" s="13" t="n">
        <v>105</v>
      </c>
      <c r="D227" s="13" t="s">
        <v>155</v>
      </c>
      <c r="E227" s="13" t="s">
        <v>42</v>
      </c>
      <c r="F227" s="13" t="n">
        <v>1</v>
      </c>
      <c r="G227" s="13" t="n">
        <v>1</v>
      </c>
      <c r="H227" s="13" t="n">
        <v>1</v>
      </c>
      <c r="I227" s="13" t="n">
        <f aca="false">H227-G227</f>
        <v>0</v>
      </c>
      <c r="J227" s="13" t="n">
        <f aca="false">H227-F227</f>
        <v>0</v>
      </c>
    </row>
    <row r="228" customFormat="false" ht="15" hidden="false" customHeight="false" outlineLevel="0" collapsed="false">
      <c r="A228" s="13" t="s">
        <v>69</v>
      </c>
      <c r="B228" s="13" t="s">
        <v>70</v>
      </c>
      <c r="C228" s="13" t="n">
        <v>105</v>
      </c>
      <c r="D228" s="13" t="s">
        <v>155</v>
      </c>
      <c r="E228" s="13" t="s">
        <v>43</v>
      </c>
      <c r="F228" s="13" t="n">
        <v>1</v>
      </c>
      <c r="G228" s="13" t="n">
        <v>1</v>
      </c>
      <c r="H228" s="13" t="n">
        <v>1</v>
      </c>
      <c r="I228" s="13" t="n">
        <f aca="false">H228-G228</f>
        <v>0</v>
      </c>
      <c r="J228" s="13" t="n">
        <f aca="false">H228-F228</f>
        <v>0</v>
      </c>
    </row>
    <row r="229" customFormat="false" ht="15" hidden="false" customHeight="false" outlineLevel="0" collapsed="false">
      <c r="A229" s="13" t="s">
        <v>69</v>
      </c>
      <c r="B229" s="13" t="s">
        <v>70</v>
      </c>
      <c r="C229" s="13" t="n">
        <v>105</v>
      </c>
      <c r="D229" s="13" t="s">
        <v>155</v>
      </c>
      <c r="E229" s="13" t="s">
        <v>44</v>
      </c>
      <c r="F229" s="13" t="n">
        <v>1</v>
      </c>
      <c r="G229" s="13" t="n">
        <v>1</v>
      </c>
      <c r="H229" s="13" t="n">
        <v>1</v>
      </c>
      <c r="I229" s="13" t="n">
        <f aca="false">H229-G229</f>
        <v>0</v>
      </c>
      <c r="J229" s="13" t="n">
        <f aca="false">H229-F229</f>
        <v>0</v>
      </c>
    </row>
    <row r="230" customFormat="false" ht="15" hidden="false" customHeight="false" outlineLevel="0" collapsed="false">
      <c r="A230" s="13" t="s">
        <v>69</v>
      </c>
      <c r="B230" s="13" t="s">
        <v>70</v>
      </c>
      <c r="C230" s="13" t="n">
        <v>105</v>
      </c>
      <c r="D230" s="13" t="s">
        <v>155</v>
      </c>
      <c r="E230" s="13" t="s">
        <v>45</v>
      </c>
      <c r="F230" s="13" t="n">
        <v>0</v>
      </c>
      <c r="G230" s="13" t="n">
        <v>0</v>
      </c>
      <c r="H230" s="13" t="n">
        <v>0</v>
      </c>
      <c r="I230" s="13" t="n">
        <f aca="false">H230-G230</f>
        <v>0</v>
      </c>
      <c r="J230" s="13" t="n">
        <f aca="false">H230-F230</f>
        <v>0</v>
      </c>
    </row>
    <row r="231" customFormat="false" ht="15" hidden="false" customHeight="false" outlineLevel="0" collapsed="false">
      <c r="A231" s="13" t="s">
        <v>69</v>
      </c>
      <c r="B231" s="13" t="s">
        <v>70</v>
      </c>
      <c r="C231" s="13" t="n">
        <v>105</v>
      </c>
      <c r="D231" s="13" t="s">
        <v>155</v>
      </c>
      <c r="E231" s="13" t="s">
        <v>46</v>
      </c>
      <c r="F231" s="13" t="n">
        <v>0</v>
      </c>
      <c r="G231" s="13" t="n">
        <v>0</v>
      </c>
      <c r="H231" s="13" t="n">
        <v>0</v>
      </c>
      <c r="I231" s="13" t="n">
        <f aca="false">H231-G231</f>
        <v>0</v>
      </c>
      <c r="J231" s="13" t="n">
        <f aca="false">H231-F231</f>
        <v>0</v>
      </c>
    </row>
    <row r="232" customFormat="false" ht="15" hidden="false" customHeight="false" outlineLevel="0" collapsed="false">
      <c r="A232" s="13" t="s">
        <v>71</v>
      </c>
      <c r="B232" s="13" t="s">
        <v>72</v>
      </c>
      <c r="C232" s="13" t="n">
        <v>91</v>
      </c>
      <c r="D232" s="13" t="s">
        <v>23</v>
      </c>
      <c r="E232" s="13" t="s">
        <v>22</v>
      </c>
      <c r="F232" s="13" t="n">
        <v>8</v>
      </c>
      <c r="G232" s="13" t="n">
        <v>91</v>
      </c>
      <c r="H232" s="13" t="n">
        <v>91</v>
      </c>
      <c r="I232" s="13" t="n">
        <f aca="false">H232-G232</f>
        <v>0</v>
      </c>
      <c r="J232" s="13" t="n">
        <f aca="false">H232-F232</f>
        <v>83</v>
      </c>
    </row>
    <row r="233" customFormat="false" ht="15" hidden="false" customHeight="false" outlineLevel="0" collapsed="false">
      <c r="A233" s="13" t="s">
        <v>71</v>
      </c>
      <c r="B233" s="13" t="s">
        <v>72</v>
      </c>
      <c r="C233" s="13" t="n">
        <v>91</v>
      </c>
      <c r="D233" s="13" t="s">
        <v>23</v>
      </c>
      <c r="E233" s="13" t="s">
        <v>24</v>
      </c>
      <c r="F233" s="13" t="n">
        <v>8</v>
      </c>
      <c r="G233" s="13" t="n">
        <v>91</v>
      </c>
      <c r="H233" s="13" t="n">
        <v>91</v>
      </c>
      <c r="I233" s="13" t="n">
        <f aca="false">H233-G233</f>
        <v>0</v>
      </c>
      <c r="J233" s="13" t="n">
        <f aca="false">H233-F233</f>
        <v>83</v>
      </c>
    </row>
    <row r="234" customFormat="false" ht="15" hidden="false" customHeight="false" outlineLevel="0" collapsed="false">
      <c r="A234" s="13" t="s">
        <v>71</v>
      </c>
      <c r="B234" s="13" t="s">
        <v>72</v>
      </c>
      <c r="C234" s="13" t="n">
        <v>91</v>
      </c>
      <c r="D234" s="13" t="s">
        <v>23</v>
      </c>
      <c r="E234" s="13" t="s">
        <v>25</v>
      </c>
      <c r="F234" s="13" t="n">
        <v>8</v>
      </c>
      <c r="G234" s="13" t="n">
        <v>90</v>
      </c>
      <c r="H234" s="13" t="n">
        <v>90</v>
      </c>
      <c r="I234" s="13" t="n">
        <f aca="false">H234-G234</f>
        <v>0</v>
      </c>
      <c r="J234" s="13" t="n">
        <f aca="false">H234-F234</f>
        <v>82</v>
      </c>
    </row>
    <row r="235" customFormat="false" ht="15" hidden="false" customHeight="false" outlineLevel="0" collapsed="false">
      <c r="A235" s="13" t="s">
        <v>71</v>
      </c>
      <c r="B235" s="13" t="s">
        <v>72</v>
      </c>
      <c r="C235" s="13" t="n">
        <v>91</v>
      </c>
      <c r="D235" s="13" t="s">
        <v>23</v>
      </c>
      <c r="E235" s="13" t="s">
        <v>26</v>
      </c>
      <c r="F235" s="13" t="n">
        <v>8</v>
      </c>
      <c r="G235" s="13" t="n">
        <v>85</v>
      </c>
      <c r="H235" s="13" t="n">
        <v>85</v>
      </c>
      <c r="I235" s="13" t="n">
        <f aca="false">H235-G235</f>
        <v>0</v>
      </c>
      <c r="J235" s="13" t="n">
        <f aca="false">H235-F235</f>
        <v>77</v>
      </c>
    </row>
    <row r="236" customFormat="false" ht="15" hidden="false" customHeight="false" outlineLevel="0" collapsed="false">
      <c r="A236" s="13" t="s">
        <v>71</v>
      </c>
      <c r="B236" s="13" t="s">
        <v>72</v>
      </c>
      <c r="C236" s="13" t="n">
        <v>91</v>
      </c>
      <c r="D236" s="13" t="s">
        <v>23</v>
      </c>
      <c r="E236" s="13" t="s">
        <v>27</v>
      </c>
      <c r="F236" s="13" t="n">
        <v>7</v>
      </c>
      <c r="G236" s="13" t="n">
        <v>90</v>
      </c>
      <c r="H236" s="13" t="n">
        <v>90</v>
      </c>
      <c r="I236" s="13" t="n">
        <f aca="false">H236-G236</f>
        <v>0</v>
      </c>
      <c r="J236" s="13" t="n">
        <f aca="false">H236-F236</f>
        <v>83</v>
      </c>
    </row>
    <row r="237" customFormat="false" ht="15" hidden="false" customHeight="false" outlineLevel="0" collapsed="false">
      <c r="A237" s="13" t="s">
        <v>71</v>
      </c>
      <c r="B237" s="13" t="s">
        <v>72</v>
      </c>
      <c r="C237" s="13" t="n">
        <v>91</v>
      </c>
      <c r="D237" s="13" t="s">
        <v>23</v>
      </c>
      <c r="E237" s="13" t="s">
        <v>28</v>
      </c>
      <c r="F237" s="13" t="n">
        <v>8</v>
      </c>
      <c r="G237" s="13" t="n">
        <v>86</v>
      </c>
      <c r="H237" s="13" t="n">
        <v>86</v>
      </c>
      <c r="I237" s="13" t="n">
        <f aca="false">H237-G237</f>
        <v>0</v>
      </c>
      <c r="J237" s="13" t="n">
        <f aca="false">H237-F237</f>
        <v>78</v>
      </c>
    </row>
    <row r="238" customFormat="false" ht="15" hidden="false" customHeight="false" outlineLevel="0" collapsed="false">
      <c r="A238" s="13" t="s">
        <v>71</v>
      </c>
      <c r="B238" s="13" t="s">
        <v>72</v>
      </c>
      <c r="C238" s="13" t="n">
        <v>91</v>
      </c>
      <c r="D238" s="13" t="s">
        <v>23</v>
      </c>
      <c r="E238" s="13" t="s">
        <v>29</v>
      </c>
      <c r="F238" s="13" t="n">
        <v>0</v>
      </c>
      <c r="G238" s="13" t="n">
        <v>15</v>
      </c>
      <c r="H238" s="13" t="n">
        <v>15</v>
      </c>
      <c r="I238" s="13" t="n">
        <f aca="false">H238-G238</f>
        <v>0</v>
      </c>
      <c r="J238" s="13" t="n">
        <f aca="false">H238-F238</f>
        <v>15</v>
      </c>
    </row>
    <row r="239" customFormat="false" ht="15" hidden="false" customHeight="false" outlineLevel="0" collapsed="false">
      <c r="A239" s="13" t="s">
        <v>71</v>
      </c>
      <c r="B239" s="13" t="s">
        <v>72</v>
      </c>
      <c r="C239" s="13" t="n">
        <v>91</v>
      </c>
      <c r="D239" s="13" t="s">
        <v>23</v>
      </c>
      <c r="E239" s="13" t="s">
        <v>30</v>
      </c>
      <c r="F239" s="13" t="n">
        <v>8</v>
      </c>
      <c r="G239" s="13" t="n">
        <v>91</v>
      </c>
      <c r="H239" s="13" t="n">
        <v>91</v>
      </c>
      <c r="I239" s="13" t="n">
        <f aca="false">H239-G239</f>
        <v>0</v>
      </c>
      <c r="J239" s="13" t="n">
        <f aca="false">H239-F239</f>
        <v>83</v>
      </c>
    </row>
    <row r="240" customFormat="false" ht="15" hidden="false" customHeight="false" outlineLevel="0" collapsed="false">
      <c r="A240" s="13" t="s">
        <v>71</v>
      </c>
      <c r="B240" s="13" t="s">
        <v>72</v>
      </c>
      <c r="C240" s="13" t="n">
        <v>91</v>
      </c>
      <c r="D240" s="13" t="s">
        <v>23</v>
      </c>
      <c r="E240" s="13" t="s">
        <v>31</v>
      </c>
      <c r="F240" s="13" t="n">
        <v>7</v>
      </c>
      <c r="G240" s="13" t="n">
        <v>49</v>
      </c>
      <c r="H240" s="13" t="n">
        <v>49</v>
      </c>
      <c r="I240" s="13" t="n">
        <f aca="false">H240-G240</f>
        <v>0</v>
      </c>
      <c r="J240" s="13" t="n">
        <f aca="false">H240-F240</f>
        <v>42</v>
      </c>
    </row>
    <row r="241" customFormat="false" ht="15" hidden="false" customHeight="false" outlineLevel="0" collapsed="false">
      <c r="A241" s="13" t="s">
        <v>71</v>
      </c>
      <c r="B241" s="13" t="s">
        <v>72</v>
      </c>
      <c r="C241" s="13" t="n">
        <v>91</v>
      </c>
      <c r="D241" s="13" t="s">
        <v>23</v>
      </c>
      <c r="E241" s="13" t="s">
        <v>32</v>
      </c>
      <c r="F241" s="13" t="n">
        <v>6</v>
      </c>
      <c r="G241" s="13" t="n">
        <v>76</v>
      </c>
      <c r="H241" s="13" t="n">
        <v>76</v>
      </c>
      <c r="I241" s="13" t="n">
        <f aca="false">H241-G241</f>
        <v>0</v>
      </c>
      <c r="J241" s="13" t="n">
        <f aca="false">H241-F241</f>
        <v>70</v>
      </c>
    </row>
    <row r="242" customFormat="false" ht="15" hidden="false" customHeight="false" outlineLevel="0" collapsed="false">
      <c r="A242" s="13" t="s">
        <v>71</v>
      </c>
      <c r="B242" s="13" t="s">
        <v>72</v>
      </c>
      <c r="C242" s="13" t="n">
        <v>91</v>
      </c>
      <c r="D242" s="13" t="s">
        <v>23</v>
      </c>
      <c r="E242" s="13" t="s">
        <v>33</v>
      </c>
      <c r="F242" s="13" t="n">
        <v>0</v>
      </c>
      <c r="G242" s="13" t="n">
        <v>0</v>
      </c>
      <c r="H242" s="13" t="n">
        <v>0</v>
      </c>
      <c r="I242" s="13" t="n">
        <f aca="false">H242-G242</f>
        <v>0</v>
      </c>
      <c r="J242" s="13" t="n">
        <f aca="false">H242-F242</f>
        <v>0</v>
      </c>
    </row>
    <row r="243" customFormat="false" ht="15" hidden="false" customHeight="false" outlineLevel="0" collapsed="false">
      <c r="A243" s="13" t="s">
        <v>71</v>
      </c>
      <c r="B243" s="13" t="s">
        <v>72</v>
      </c>
      <c r="C243" s="13" t="n">
        <v>91</v>
      </c>
      <c r="D243" s="13" t="s">
        <v>23</v>
      </c>
      <c r="E243" s="13" t="s">
        <v>34</v>
      </c>
      <c r="F243" s="13" t="n">
        <v>8</v>
      </c>
      <c r="G243" s="13" t="n">
        <v>12</v>
      </c>
      <c r="H243" s="13" t="n">
        <v>12</v>
      </c>
      <c r="I243" s="13" t="n">
        <f aca="false">H243-G243</f>
        <v>0</v>
      </c>
      <c r="J243" s="13" t="n">
        <f aca="false">H243-F243</f>
        <v>4</v>
      </c>
    </row>
    <row r="244" customFormat="false" ht="15" hidden="false" customHeight="false" outlineLevel="0" collapsed="false">
      <c r="A244" s="13" t="s">
        <v>71</v>
      </c>
      <c r="B244" s="13" t="s">
        <v>72</v>
      </c>
      <c r="C244" s="13" t="n">
        <v>91</v>
      </c>
      <c r="D244" s="13" t="s">
        <v>23</v>
      </c>
      <c r="E244" s="13" t="s">
        <v>35</v>
      </c>
      <c r="F244" s="13" t="n">
        <v>0</v>
      </c>
      <c r="G244" s="13" t="n">
        <v>0</v>
      </c>
      <c r="H244" s="13" t="n">
        <v>0</v>
      </c>
      <c r="I244" s="13" t="n">
        <f aca="false">H244-G244</f>
        <v>0</v>
      </c>
      <c r="J244" s="13" t="n">
        <f aca="false">H244-F244</f>
        <v>0</v>
      </c>
    </row>
    <row r="245" customFormat="false" ht="15" hidden="false" customHeight="false" outlineLevel="0" collapsed="false">
      <c r="A245" s="13" t="s">
        <v>71</v>
      </c>
      <c r="B245" s="13" t="s">
        <v>72</v>
      </c>
      <c r="C245" s="13" t="n">
        <v>91</v>
      </c>
      <c r="D245" s="13" t="s">
        <v>23</v>
      </c>
      <c r="E245" s="13" t="s">
        <v>36</v>
      </c>
      <c r="F245" s="13" t="n">
        <v>0</v>
      </c>
      <c r="G245" s="13" t="n">
        <v>0</v>
      </c>
      <c r="H245" s="13" t="n">
        <v>0</v>
      </c>
      <c r="I245" s="13" t="n">
        <f aca="false">H245-G245</f>
        <v>0</v>
      </c>
      <c r="J245" s="13" t="n">
        <f aca="false">H245-F245</f>
        <v>0</v>
      </c>
    </row>
    <row r="246" customFormat="false" ht="15" hidden="false" customHeight="false" outlineLevel="0" collapsed="false">
      <c r="A246" s="13" t="s">
        <v>71</v>
      </c>
      <c r="B246" s="13" t="s">
        <v>72</v>
      </c>
      <c r="C246" s="13" t="n">
        <v>91</v>
      </c>
      <c r="D246" s="13" t="s">
        <v>155</v>
      </c>
      <c r="E246" s="13" t="s">
        <v>37</v>
      </c>
      <c r="F246" s="13" t="n">
        <v>1</v>
      </c>
      <c r="G246" s="13" t="n">
        <v>1</v>
      </c>
      <c r="H246" s="13" t="n">
        <v>1</v>
      </c>
      <c r="I246" s="13" t="n">
        <f aca="false">H246-G246</f>
        <v>0</v>
      </c>
      <c r="J246" s="13" t="n">
        <f aca="false">H246-F246</f>
        <v>0</v>
      </c>
    </row>
    <row r="247" customFormat="false" ht="15" hidden="false" customHeight="false" outlineLevel="0" collapsed="false">
      <c r="A247" s="13" t="s">
        <v>71</v>
      </c>
      <c r="B247" s="13" t="s">
        <v>72</v>
      </c>
      <c r="C247" s="13" t="n">
        <v>91</v>
      </c>
      <c r="D247" s="13" t="s">
        <v>155</v>
      </c>
      <c r="E247" s="13" t="s">
        <v>39</v>
      </c>
      <c r="F247" s="13" t="n">
        <v>1</v>
      </c>
      <c r="G247" s="13" t="n">
        <v>1</v>
      </c>
      <c r="H247" s="13" t="n">
        <v>1</v>
      </c>
      <c r="I247" s="13" t="n">
        <f aca="false">H247-G247</f>
        <v>0</v>
      </c>
      <c r="J247" s="13" t="n">
        <f aca="false">H247-F247</f>
        <v>0</v>
      </c>
    </row>
    <row r="248" customFormat="false" ht="15" hidden="false" customHeight="false" outlineLevel="0" collapsed="false">
      <c r="A248" s="13" t="s">
        <v>71</v>
      </c>
      <c r="B248" s="13" t="s">
        <v>72</v>
      </c>
      <c r="C248" s="13" t="n">
        <v>91</v>
      </c>
      <c r="D248" s="13" t="s">
        <v>155</v>
      </c>
      <c r="E248" s="13" t="s">
        <v>40</v>
      </c>
      <c r="F248" s="13" t="n">
        <v>1</v>
      </c>
      <c r="G248" s="13" t="n">
        <v>1</v>
      </c>
      <c r="H248" s="13" t="n">
        <v>1</v>
      </c>
      <c r="I248" s="13" t="n">
        <f aca="false">H248-G248</f>
        <v>0</v>
      </c>
      <c r="J248" s="13" t="n">
        <f aca="false">H248-F248</f>
        <v>0</v>
      </c>
    </row>
    <row r="249" customFormat="false" ht="15" hidden="false" customHeight="false" outlineLevel="0" collapsed="false">
      <c r="A249" s="13" t="s">
        <v>71</v>
      </c>
      <c r="B249" s="13" t="s">
        <v>72</v>
      </c>
      <c r="C249" s="13" t="n">
        <v>91</v>
      </c>
      <c r="D249" s="13" t="s">
        <v>155</v>
      </c>
      <c r="E249" s="13" t="s">
        <v>41</v>
      </c>
      <c r="F249" s="13" t="n">
        <v>0</v>
      </c>
      <c r="G249" s="13" t="n">
        <v>0</v>
      </c>
      <c r="H249" s="13" t="n">
        <v>0</v>
      </c>
      <c r="I249" s="13" t="n">
        <f aca="false">H249-G249</f>
        <v>0</v>
      </c>
      <c r="J249" s="13" t="n">
        <f aca="false">H249-F249</f>
        <v>0</v>
      </c>
    </row>
    <row r="250" customFormat="false" ht="15" hidden="false" customHeight="false" outlineLevel="0" collapsed="false">
      <c r="A250" s="13" t="s">
        <v>71</v>
      </c>
      <c r="B250" s="13" t="s">
        <v>72</v>
      </c>
      <c r="C250" s="13" t="n">
        <v>91</v>
      </c>
      <c r="D250" s="13" t="s">
        <v>155</v>
      </c>
      <c r="E250" s="13" t="s">
        <v>42</v>
      </c>
      <c r="F250" s="13" t="n">
        <v>1</v>
      </c>
      <c r="G250" s="13" t="n">
        <v>1</v>
      </c>
      <c r="H250" s="13" t="n">
        <v>1</v>
      </c>
      <c r="I250" s="13" t="n">
        <f aca="false">H250-G250</f>
        <v>0</v>
      </c>
      <c r="J250" s="13" t="n">
        <f aca="false">H250-F250</f>
        <v>0</v>
      </c>
    </row>
    <row r="251" customFormat="false" ht="15" hidden="false" customHeight="false" outlineLevel="0" collapsed="false">
      <c r="A251" s="13" t="s">
        <v>71</v>
      </c>
      <c r="B251" s="13" t="s">
        <v>72</v>
      </c>
      <c r="C251" s="13" t="n">
        <v>91</v>
      </c>
      <c r="D251" s="13" t="s">
        <v>155</v>
      </c>
      <c r="E251" s="13" t="s">
        <v>43</v>
      </c>
      <c r="F251" s="13" t="n">
        <v>1</v>
      </c>
      <c r="G251" s="13" t="n">
        <v>1</v>
      </c>
      <c r="H251" s="13" t="n">
        <v>1</v>
      </c>
      <c r="I251" s="13" t="n">
        <f aca="false">H251-G251</f>
        <v>0</v>
      </c>
      <c r="J251" s="13" t="n">
        <f aca="false">H251-F251</f>
        <v>0</v>
      </c>
    </row>
    <row r="252" customFormat="false" ht="15" hidden="false" customHeight="false" outlineLevel="0" collapsed="false">
      <c r="A252" s="13" t="s">
        <v>71</v>
      </c>
      <c r="B252" s="13" t="s">
        <v>72</v>
      </c>
      <c r="C252" s="13" t="n">
        <v>91</v>
      </c>
      <c r="D252" s="13" t="s">
        <v>155</v>
      </c>
      <c r="E252" s="13" t="s">
        <v>44</v>
      </c>
      <c r="F252" s="13" t="n">
        <v>1</v>
      </c>
      <c r="G252" s="13" t="n">
        <v>1</v>
      </c>
      <c r="H252" s="13" t="n">
        <v>1</v>
      </c>
      <c r="I252" s="13" t="n">
        <f aca="false">H252-G252</f>
        <v>0</v>
      </c>
      <c r="J252" s="13" t="n">
        <f aca="false">H252-F252</f>
        <v>0</v>
      </c>
    </row>
    <row r="253" customFormat="false" ht="15" hidden="false" customHeight="false" outlineLevel="0" collapsed="false">
      <c r="A253" s="13" t="s">
        <v>71</v>
      </c>
      <c r="B253" s="13" t="s">
        <v>72</v>
      </c>
      <c r="C253" s="13" t="n">
        <v>91</v>
      </c>
      <c r="D253" s="13" t="s">
        <v>155</v>
      </c>
      <c r="E253" s="13" t="s">
        <v>45</v>
      </c>
      <c r="F253" s="13" t="n">
        <v>0</v>
      </c>
      <c r="G253" s="13" t="n">
        <v>0</v>
      </c>
      <c r="H253" s="13" t="n">
        <v>0</v>
      </c>
      <c r="I253" s="13" t="n">
        <f aca="false">H253-G253</f>
        <v>0</v>
      </c>
      <c r="J253" s="13" t="n">
        <f aca="false">H253-F253</f>
        <v>0</v>
      </c>
    </row>
    <row r="254" customFormat="false" ht="15" hidden="false" customHeight="false" outlineLevel="0" collapsed="false">
      <c r="A254" s="13" t="s">
        <v>71</v>
      </c>
      <c r="B254" s="13" t="s">
        <v>72</v>
      </c>
      <c r="C254" s="13" t="n">
        <v>91</v>
      </c>
      <c r="D254" s="13" t="s">
        <v>155</v>
      </c>
      <c r="E254" s="13" t="s">
        <v>46</v>
      </c>
      <c r="F254" s="13" t="n">
        <v>0</v>
      </c>
      <c r="G254" s="13" t="n">
        <v>0</v>
      </c>
      <c r="H254" s="13" t="n">
        <v>0</v>
      </c>
      <c r="I254" s="13" t="n">
        <f aca="false">H254-G254</f>
        <v>0</v>
      </c>
      <c r="J254" s="13" t="n">
        <f aca="false">H254-F254</f>
        <v>0</v>
      </c>
    </row>
    <row r="255" customFormat="false" ht="15" hidden="false" customHeight="false" outlineLevel="0" collapsed="false">
      <c r="A255" s="13" t="s">
        <v>73</v>
      </c>
      <c r="B255" s="13" t="s">
        <v>74</v>
      </c>
      <c r="C255" s="13" t="n">
        <v>87</v>
      </c>
      <c r="D255" s="13" t="s">
        <v>23</v>
      </c>
      <c r="E255" s="13" t="s">
        <v>22</v>
      </c>
      <c r="F255" s="13" t="n">
        <v>4</v>
      </c>
      <c r="G255" s="13" t="n">
        <v>2</v>
      </c>
      <c r="H255" s="13" t="n">
        <v>2</v>
      </c>
      <c r="I255" s="13" t="n">
        <f aca="false">H255-G255</f>
        <v>0</v>
      </c>
      <c r="J255" s="13" t="n">
        <f aca="false">H255-F255</f>
        <v>-2</v>
      </c>
    </row>
    <row r="256" customFormat="false" ht="15" hidden="false" customHeight="false" outlineLevel="0" collapsed="false">
      <c r="A256" s="13" t="s">
        <v>73</v>
      </c>
      <c r="B256" s="13" t="s">
        <v>74</v>
      </c>
      <c r="C256" s="13" t="n">
        <v>87</v>
      </c>
      <c r="D256" s="13" t="s">
        <v>23</v>
      </c>
      <c r="E256" s="13" t="s">
        <v>24</v>
      </c>
      <c r="F256" s="13" t="n">
        <v>86</v>
      </c>
      <c r="G256" s="13" t="n">
        <v>87</v>
      </c>
      <c r="H256" s="13" t="n">
        <v>87</v>
      </c>
      <c r="I256" s="13" t="n">
        <f aca="false">H256-G256</f>
        <v>0</v>
      </c>
      <c r="J256" s="13" t="n">
        <f aca="false">H256-F256</f>
        <v>1</v>
      </c>
    </row>
    <row r="257" customFormat="false" ht="15" hidden="false" customHeight="false" outlineLevel="0" collapsed="false">
      <c r="A257" s="13" t="s">
        <v>73</v>
      </c>
      <c r="B257" s="13" t="s">
        <v>74</v>
      </c>
      <c r="C257" s="13" t="n">
        <v>87</v>
      </c>
      <c r="D257" s="13" t="s">
        <v>23</v>
      </c>
      <c r="E257" s="13" t="s">
        <v>25</v>
      </c>
      <c r="F257" s="13" t="n">
        <v>140</v>
      </c>
      <c r="G257" s="13" t="n">
        <v>87</v>
      </c>
      <c r="H257" s="13" t="n">
        <v>87</v>
      </c>
      <c r="I257" s="13" t="n">
        <f aca="false">H257-G257</f>
        <v>0</v>
      </c>
      <c r="J257" s="13" t="n">
        <f aca="false">H257-F257</f>
        <v>-53</v>
      </c>
    </row>
    <row r="258" customFormat="false" ht="15" hidden="false" customHeight="false" outlineLevel="0" collapsed="false">
      <c r="A258" s="13" t="s">
        <v>73</v>
      </c>
      <c r="B258" s="13" t="s">
        <v>74</v>
      </c>
      <c r="C258" s="13" t="n">
        <v>87</v>
      </c>
      <c r="D258" s="13" t="s">
        <v>23</v>
      </c>
      <c r="E258" s="13" t="s">
        <v>26</v>
      </c>
      <c r="F258" s="13" t="n">
        <v>20</v>
      </c>
      <c r="G258" s="13" t="n">
        <v>0</v>
      </c>
      <c r="H258" s="13" t="n">
        <v>0</v>
      </c>
      <c r="I258" s="13" t="n">
        <f aca="false">H258-G258</f>
        <v>0</v>
      </c>
      <c r="J258" s="13" t="n">
        <f aca="false">H258-F258</f>
        <v>-20</v>
      </c>
    </row>
    <row r="259" customFormat="false" ht="15" hidden="false" customHeight="false" outlineLevel="0" collapsed="false">
      <c r="A259" s="13" t="s">
        <v>73</v>
      </c>
      <c r="B259" s="13" t="s">
        <v>74</v>
      </c>
      <c r="C259" s="13" t="n">
        <v>87</v>
      </c>
      <c r="D259" s="13" t="s">
        <v>23</v>
      </c>
      <c r="E259" s="13" t="s">
        <v>27</v>
      </c>
      <c r="F259" s="13" t="n">
        <v>24</v>
      </c>
      <c r="G259" s="13" t="n">
        <v>0</v>
      </c>
      <c r="H259" s="13" t="n">
        <v>0</v>
      </c>
      <c r="I259" s="13" t="n">
        <f aca="false">H259-G259</f>
        <v>0</v>
      </c>
      <c r="J259" s="13" t="n">
        <f aca="false">H259-F259</f>
        <v>-24</v>
      </c>
    </row>
    <row r="260" customFormat="false" ht="15" hidden="false" customHeight="false" outlineLevel="0" collapsed="false">
      <c r="A260" s="13" t="s">
        <v>73</v>
      </c>
      <c r="B260" s="13" t="s">
        <v>74</v>
      </c>
      <c r="C260" s="13" t="n">
        <v>87</v>
      </c>
      <c r="D260" s="13" t="s">
        <v>23</v>
      </c>
      <c r="E260" s="13" t="s">
        <v>28</v>
      </c>
      <c r="F260" s="13" t="n">
        <v>51</v>
      </c>
      <c r="G260" s="13" t="n">
        <v>0</v>
      </c>
      <c r="H260" s="13" t="n">
        <v>0</v>
      </c>
      <c r="I260" s="13" t="n">
        <f aca="false">H260-G260</f>
        <v>0</v>
      </c>
      <c r="J260" s="13" t="n">
        <f aca="false">H260-F260</f>
        <v>-51</v>
      </c>
    </row>
    <row r="261" customFormat="false" ht="15" hidden="false" customHeight="false" outlineLevel="0" collapsed="false">
      <c r="A261" s="13" t="s">
        <v>73</v>
      </c>
      <c r="B261" s="13" t="s">
        <v>74</v>
      </c>
      <c r="C261" s="13" t="n">
        <v>87</v>
      </c>
      <c r="D261" s="13" t="s">
        <v>23</v>
      </c>
      <c r="E261" s="13" t="s">
        <v>29</v>
      </c>
      <c r="F261" s="13" t="n">
        <v>0</v>
      </c>
      <c r="G261" s="13" t="n">
        <v>0</v>
      </c>
      <c r="H261" s="13" t="n">
        <v>0</v>
      </c>
      <c r="I261" s="13" t="n">
        <f aca="false">H261-G261</f>
        <v>0</v>
      </c>
      <c r="J261" s="13" t="n">
        <f aca="false">H261-F261</f>
        <v>0</v>
      </c>
    </row>
    <row r="262" customFormat="false" ht="15" hidden="false" customHeight="false" outlineLevel="0" collapsed="false">
      <c r="A262" s="13" t="s">
        <v>73</v>
      </c>
      <c r="B262" s="13" t="s">
        <v>74</v>
      </c>
      <c r="C262" s="13" t="n">
        <v>87</v>
      </c>
      <c r="D262" s="13" t="s">
        <v>23</v>
      </c>
      <c r="E262" s="13" t="s">
        <v>30</v>
      </c>
      <c r="F262" s="13" t="n">
        <v>141</v>
      </c>
      <c r="G262" s="13" t="n">
        <v>87</v>
      </c>
      <c r="H262" s="13" t="n">
        <v>87</v>
      </c>
      <c r="I262" s="13" t="n">
        <f aca="false">H262-G262</f>
        <v>0</v>
      </c>
      <c r="J262" s="13" t="n">
        <f aca="false">H262-F262</f>
        <v>-54</v>
      </c>
    </row>
    <row r="263" customFormat="false" ht="15" hidden="false" customHeight="false" outlineLevel="0" collapsed="false">
      <c r="A263" s="13" t="s">
        <v>73</v>
      </c>
      <c r="B263" s="13" t="s">
        <v>74</v>
      </c>
      <c r="C263" s="13" t="n">
        <v>87</v>
      </c>
      <c r="D263" s="13" t="s">
        <v>23</v>
      </c>
      <c r="E263" s="13" t="s">
        <v>31</v>
      </c>
      <c r="F263" s="13" t="n">
        <v>0</v>
      </c>
      <c r="G263" s="13" t="n">
        <v>0</v>
      </c>
      <c r="H263" s="13" t="n">
        <v>0</v>
      </c>
      <c r="I263" s="13" t="n">
        <f aca="false">H263-G263</f>
        <v>0</v>
      </c>
      <c r="J263" s="13" t="n">
        <f aca="false">H263-F263</f>
        <v>0</v>
      </c>
    </row>
    <row r="264" customFormat="false" ht="15" hidden="false" customHeight="false" outlineLevel="0" collapsed="false">
      <c r="A264" s="13" t="s">
        <v>73</v>
      </c>
      <c r="B264" s="13" t="s">
        <v>74</v>
      </c>
      <c r="C264" s="13" t="n">
        <v>87</v>
      </c>
      <c r="D264" s="13" t="s">
        <v>23</v>
      </c>
      <c r="E264" s="13" t="s">
        <v>32</v>
      </c>
      <c r="F264" s="13" t="n">
        <v>1</v>
      </c>
      <c r="G264" s="13" t="n">
        <v>0</v>
      </c>
      <c r="H264" s="13" t="n">
        <v>0</v>
      </c>
      <c r="I264" s="13" t="n">
        <f aca="false">H264-G264</f>
        <v>0</v>
      </c>
      <c r="J264" s="13" t="n">
        <f aca="false">H264-F264</f>
        <v>-1</v>
      </c>
    </row>
    <row r="265" customFormat="false" ht="15" hidden="false" customHeight="false" outlineLevel="0" collapsed="false">
      <c r="A265" s="13" t="s">
        <v>73</v>
      </c>
      <c r="B265" s="13" t="s">
        <v>74</v>
      </c>
      <c r="C265" s="13" t="n">
        <v>87</v>
      </c>
      <c r="D265" s="13" t="s">
        <v>23</v>
      </c>
      <c r="E265" s="13" t="s">
        <v>33</v>
      </c>
      <c r="F265" s="13" t="n">
        <v>0</v>
      </c>
      <c r="G265" s="13" t="n">
        <v>0</v>
      </c>
      <c r="H265" s="13" t="n">
        <v>0</v>
      </c>
      <c r="I265" s="13" t="n">
        <f aca="false">H265-G265</f>
        <v>0</v>
      </c>
      <c r="J265" s="13" t="n">
        <f aca="false">H265-F265</f>
        <v>0</v>
      </c>
    </row>
    <row r="266" customFormat="false" ht="15" hidden="false" customHeight="false" outlineLevel="0" collapsed="false">
      <c r="A266" s="13" t="s">
        <v>73</v>
      </c>
      <c r="B266" s="13" t="s">
        <v>74</v>
      </c>
      <c r="C266" s="13" t="n">
        <v>87</v>
      </c>
      <c r="D266" s="13" t="s">
        <v>23</v>
      </c>
      <c r="E266" s="13" t="s">
        <v>34</v>
      </c>
      <c r="F266" s="13" t="n">
        <v>0</v>
      </c>
      <c r="G266" s="13" t="n">
        <v>26</v>
      </c>
      <c r="H266" s="13" t="n">
        <v>26</v>
      </c>
      <c r="I266" s="13" t="n">
        <f aca="false">H266-G266</f>
        <v>0</v>
      </c>
      <c r="J266" s="13" t="n">
        <f aca="false">H266-F266</f>
        <v>26</v>
      </c>
    </row>
    <row r="267" customFormat="false" ht="15" hidden="false" customHeight="false" outlineLevel="0" collapsed="false">
      <c r="A267" s="13" t="s">
        <v>73</v>
      </c>
      <c r="B267" s="13" t="s">
        <v>74</v>
      </c>
      <c r="C267" s="13" t="n">
        <v>87</v>
      </c>
      <c r="D267" s="13" t="s">
        <v>23</v>
      </c>
      <c r="E267" s="13" t="s">
        <v>35</v>
      </c>
      <c r="F267" s="13" t="n">
        <v>0</v>
      </c>
      <c r="G267" s="13" t="n">
        <v>0</v>
      </c>
      <c r="H267" s="13" t="n">
        <v>0</v>
      </c>
      <c r="I267" s="13" t="n">
        <f aca="false">H267-G267</f>
        <v>0</v>
      </c>
      <c r="J267" s="13" t="n">
        <f aca="false">H267-F267</f>
        <v>0</v>
      </c>
    </row>
    <row r="268" customFormat="false" ht="15" hidden="false" customHeight="false" outlineLevel="0" collapsed="false">
      <c r="A268" s="13" t="s">
        <v>73</v>
      </c>
      <c r="B268" s="13" t="s">
        <v>74</v>
      </c>
      <c r="C268" s="13" t="n">
        <v>87</v>
      </c>
      <c r="D268" s="13" t="s">
        <v>23</v>
      </c>
      <c r="E268" s="13" t="s">
        <v>36</v>
      </c>
      <c r="F268" s="13" t="n">
        <v>0</v>
      </c>
      <c r="G268" s="13" t="n">
        <v>0</v>
      </c>
      <c r="H268" s="13" t="n">
        <v>0</v>
      </c>
      <c r="I268" s="13" t="n">
        <f aca="false">H268-G268</f>
        <v>0</v>
      </c>
      <c r="J268" s="13" t="n">
        <f aca="false">H268-F268</f>
        <v>0</v>
      </c>
    </row>
    <row r="269" customFormat="false" ht="15" hidden="false" customHeight="false" outlineLevel="0" collapsed="false">
      <c r="A269" s="13" t="s">
        <v>73</v>
      </c>
      <c r="B269" s="13" t="s">
        <v>74</v>
      </c>
      <c r="C269" s="13" t="n">
        <v>87</v>
      </c>
      <c r="D269" s="13" t="s">
        <v>155</v>
      </c>
      <c r="E269" s="13" t="s">
        <v>37</v>
      </c>
      <c r="F269" s="13" t="n">
        <v>1</v>
      </c>
      <c r="G269" s="13" t="n">
        <v>1</v>
      </c>
      <c r="H269" s="13" t="n">
        <v>1</v>
      </c>
      <c r="I269" s="13" t="n">
        <f aca="false">H269-G269</f>
        <v>0</v>
      </c>
      <c r="J269" s="13" t="n">
        <f aca="false">H269-F269</f>
        <v>0</v>
      </c>
    </row>
    <row r="270" customFormat="false" ht="15" hidden="false" customHeight="false" outlineLevel="0" collapsed="false">
      <c r="A270" s="13" t="s">
        <v>73</v>
      </c>
      <c r="B270" s="13" t="s">
        <v>74</v>
      </c>
      <c r="C270" s="13" t="n">
        <v>87</v>
      </c>
      <c r="D270" s="13" t="s">
        <v>155</v>
      </c>
      <c r="E270" s="13" t="s">
        <v>39</v>
      </c>
      <c r="F270" s="13" t="n">
        <v>0</v>
      </c>
      <c r="G270" s="13" t="n">
        <v>0</v>
      </c>
      <c r="H270" s="13" t="n">
        <v>0</v>
      </c>
      <c r="I270" s="13" t="n">
        <f aca="false">H270-G270</f>
        <v>0</v>
      </c>
      <c r="J270" s="13" t="n">
        <f aca="false">H270-F270</f>
        <v>0</v>
      </c>
    </row>
    <row r="271" customFormat="false" ht="15" hidden="false" customHeight="false" outlineLevel="0" collapsed="false">
      <c r="A271" s="13" t="s">
        <v>73</v>
      </c>
      <c r="B271" s="13" t="s">
        <v>74</v>
      </c>
      <c r="C271" s="13" t="n">
        <v>87</v>
      </c>
      <c r="D271" s="13" t="s">
        <v>155</v>
      </c>
      <c r="E271" s="13" t="s">
        <v>40</v>
      </c>
      <c r="F271" s="13" t="n">
        <v>1</v>
      </c>
      <c r="G271" s="13" t="n">
        <v>1</v>
      </c>
      <c r="H271" s="13" t="n">
        <v>1</v>
      </c>
      <c r="I271" s="13" t="n">
        <f aca="false">H271-G271</f>
        <v>0</v>
      </c>
      <c r="J271" s="13" t="n">
        <f aca="false">H271-F271</f>
        <v>0</v>
      </c>
    </row>
    <row r="272" customFormat="false" ht="15" hidden="false" customHeight="false" outlineLevel="0" collapsed="false">
      <c r="A272" s="13" t="s">
        <v>73</v>
      </c>
      <c r="B272" s="13" t="s">
        <v>74</v>
      </c>
      <c r="C272" s="13" t="n">
        <v>87</v>
      </c>
      <c r="D272" s="13" t="s">
        <v>155</v>
      </c>
      <c r="E272" s="13" t="s">
        <v>41</v>
      </c>
      <c r="F272" s="13" t="n">
        <v>0</v>
      </c>
      <c r="G272" s="13" t="n">
        <v>0</v>
      </c>
      <c r="H272" s="13" t="n">
        <v>0</v>
      </c>
      <c r="I272" s="13" t="n">
        <f aca="false">H272-G272</f>
        <v>0</v>
      </c>
      <c r="J272" s="13" t="n">
        <f aca="false">H272-F272</f>
        <v>0</v>
      </c>
    </row>
    <row r="273" customFormat="false" ht="15" hidden="false" customHeight="false" outlineLevel="0" collapsed="false">
      <c r="A273" s="13" t="s">
        <v>73</v>
      </c>
      <c r="B273" s="13" t="s">
        <v>74</v>
      </c>
      <c r="C273" s="13" t="n">
        <v>87</v>
      </c>
      <c r="D273" s="13" t="s">
        <v>155</v>
      </c>
      <c r="E273" s="13" t="s">
        <v>42</v>
      </c>
      <c r="F273" s="13" t="n">
        <v>1</v>
      </c>
      <c r="G273" s="13" t="n">
        <v>1</v>
      </c>
      <c r="H273" s="13" t="n">
        <v>1</v>
      </c>
      <c r="I273" s="13" t="n">
        <f aca="false">H273-G273</f>
        <v>0</v>
      </c>
      <c r="J273" s="13" t="n">
        <f aca="false">H273-F273</f>
        <v>0</v>
      </c>
    </row>
    <row r="274" customFormat="false" ht="15" hidden="false" customHeight="false" outlineLevel="0" collapsed="false">
      <c r="A274" s="13" t="s">
        <v>73</v>
      </c>
      <c r="B274" s="13" t="s">
        <v>74</v>
      </c>
      <c r="C274" s="13" t="n">
        <v>87</v>
      </c>
      <c r="D274" s="13" t="s">
        <v>155</v>
      </c>
      <c r="E274" s="13" t="s">
        <v>43</v>
      </c>
      <c r="F274" s="13" t="n">
        <v>1</v>
      </c>
      <c r="G274" s="13" t="n">
        <v>1</v>
      </c>
      <c r="H274" s="13" t="n">
        <v>1</v>
      </c>
      <c r="I274" s="13" t="n">
        <f aca="false">H274-G274</f>
        <v>0</v>
      </c>
      <c r="J274" s="13" t="n">
        <f aca="false">H274-F274</f>
        <v>0</v>
      </c>
    </row>
    <row r="275" customFormat="false" ht="15" hidden="false" customHeight="false" outlineLevel="0" collapsed="false">
      <c r="A275" s="13" t="s">
        <v>73</v>
      </c>
      <c r="B275" s="13" t="s">
        <v>74</v>
      </c>
      <c r="C275" s="13" t="n">
        <v>87</v>
      </c>
      <c r="D275" s="13" t="s">
        <v>155</v>
      </c>
      <c r="E275" s="13" t="s">
        <v>44</v>
      </c>
      <c r="F275" s="13" t="n">
        <v>1</v>
      </c>
      <c r="G275" s="13" t="n">
        <v>1</v>
      </c>
      <c r="H275" s="13" t="n">
        <v>1</v>
      </c>
      <c r="I275" s="13" t="n">
        <f aca="false">H275-G275</f>
        <v>0</v>
      </c>
      <c r="J275" s="13" t="n">
        <f aca="false">H275-F275</f>
        <v>0</v>
      </c>
    </row>
    <row r="276" customFormat="false" ht="15" hidden="false" customHeight="false" outlineLevel="0" collapsed="false">
      <c r="A276" s="13" t="s">
        <v>73</v>
      </c>
      <c r="B276" s="13" t="s">
        <v>74</v>
      </c>
      <c r="C276" s="13" t="n">
        <v>87</v>
      </c>
      <c r="D276" s="13" t="s">
        <v>155</v>
      </c>
      <c r="E276" s="13" t="s">
        <v>45</v>
      </c>
      <c r="F276" s="13" t="n">
        <v>1</v>
      </c>
      <c r="G276" s="13" t="n">
        <v>1</v>
      </c>
      <c r="H276" s="13" t="n">
        <v>1</v>
      </c>
      <c r="I276" s="13" t="n">
        <f aca="false">H276-G276</f>
        <v>0</v>
      </c>
      <c r="J276" s="13" t="n">
        <f aca="false">H276-F276</f>
        <v>0</v>
      </c>
    </row>
    <row r="277" customFormat="false" ht="15" hidden="false" customHeight="false" outlineLevel="0" collapsed="false">
      <c r="A277" s="13" t="s">
        <v>73</v>
      </c>
      <c r="B277" s="13" t="s">
        <v>74</v>
      </c>
      <c r="C277" s="13" t="n">
        <v>87</v>
      </c>
      <c r="D277" s="13" t="s">
        <v>155</v>
      </c>
      <c r="E277" s="13" t="s">
        <v>46</v>
      </c>
      <c r="F277" s="13" t="n">
        <v>0</v>
      </c>
      <c r="G277" s="13" t="n">
        <v>0</v>
      </c>
      <c r="H277" s="13" t="n">
        <v>0</v>
      </c>
      <c r="I277" s="13" t="n">
        <f aca="false">H277-G277</f>
        <v>0</v>
      </c>
      <c r="J277" s="13" t="n">
        <f aca="false">H277-F277</f>
        <v>0</v>
      </c>
    </row>
    <row r="278" customFormat="false" ht="15" hidden="false" customHeight="false" outlineLevel="0" collapsed="false">
      <c r="A278" s="13" t="s">
        <v>75</v>
      </c>
      <c r="B278" s="13" t="s">
        <v>76</v>
      </c>
      <c r="C278" s="13" t="n">
        <v>80</v>
      </c>
      <c r="D278" s="13" t="s">
        <v>23</v>
      </c>
      <c r="E278" s="13" t="s">
        <v>22</v>
      </c>
      <c r="F278" s="13" t="n">
        <v>3</v>
      </c>
      <c r="G278" s="13" t="n">
        <v>80</v>
      </c>
      <c r="H278" s="13" t="n">
        <v>80</v>
      </c>
      <c r="I278" s="13" t="n">
        <f aca="false">H278-G278</f>
        <v>0</v>
      </c>
      <c r="J278" s="13" t="n">
        <f aca="false">H278-F278</f>
        <v>77</v>
      </c>
    </row>
    <row r="279" customFormat="false" ht="15" hidden="false" customHeight="false" outlineLevel="0" collapsed="false">
      <c r="A279" s="13" t="s">
        <v>75</v>
      </c>
      <c r="B279" s="13" t="s">
        <v>76</v>
      </c>
      <c r="C279" s="13" t="n">
        <v>80</v>
      </c>
      <c r="D279" s="13" t="s">
        <v>23</v>
      </c>
      <c r="E279" s="13" t="s">
        <v>24</v>
      </c>
      <c r="F279" s="13" t="n">
        <v>3</v>
      </c>
      <c r="G279" s="13" t="n">
        <v>80</v>
      </c>
      <c r="H279" s="13" t="n">
        <v>80</v>
      </c>
      <c r="I279" s="13" t="n">
        <f aca="false">H279-G279</f>
        <v>0</v>
      </c>
      <c r="J279" s="13" t="n">
        <f aca="false">H279-F279</f>
        <v>77</v>
      </c>
    </row>
    <row r="280" customFormat="false" ht="15" hidden="false" customHeight="false" outlineLevel="0" collapsed="false">
      <c r="A280" s="13" t="s">
        <v>75</v>
      </c>
      <c r="B280" s="13" t="s">
        <v>76</v>
      </c>
      <c r="C280" s="13" t="n">
        <v>80</v>
      </c>
      <c r="D280" s="13" t="s">
        <v>23</v>
      </c>
      <c r="E280" s="13" t="s">
        <v>25</v>
      </c>
      <c r="F280" s="13" t="n">
        <v>3</v>
      </c>
      <c r="G280" s="13" t="n">
        <v>80</v>
      </c>
      <c r="H280" s="13" t="n">
        <v>80</v>
      </c>
      <c r="I280" s="13" t="n">
        <f aca="false">H280-G280</f>
        <v>0</v>
      </c>
      <c r="J280" s="13" t="n">
        <f aca="false">H280-F280</f>
        <v>77</v>
      </c>
    </row>
    <row r="281" customFormat="false" ht="15" hidden="false" customHeight="false" outlineLevel="0" collapsed="false">
      <c r="A281" s="13" t="s">
        <v>75</v>
      </c>
      <c r="B281" s="13" t="s">
        <v>76</v>
      </c>
      <c r="C281" s="13" t="n">
        <v>80</v>
      </c>
      <c r="D281" s="13" t="s">
        <v>23</v>
      </c>
      <c r="E281" s="13" t="s">
        <v>26</v>
      </c>
      <c r="F281" s="13" t="n">
        <v>3</v>
      </c>
      <c r="G281" s="13" t="n">
        <v>78</v>
      </c>
      <c r="H281" s="13" t="n">
        <v>78</v>
      </c>
      <c r="I281" s="13" t="n">
        <f aca="false">H281-G281</f>
        <v>0</v>
      </c>
      <c r="J281" s="13" t="n">
        <f aca="false">H281-F281</f>
        <v>75</v>
      </c>
    </row>
    <row r="282" customFormat="false" ht="15" hidden="false" customHeight="false" outlineLevel="0" collapsed="false">
      <c r="A282" s="13" t="s">
        <v>75</v>
      </c>
      <c r="B282" s="13" t="s">
        <v>76</v>
      </c>
      <c r="C282" s="13" t="n">
        <v>80</v>
      </c>
      <c r="D282" s="13" t="s">
        <v>23</v>
      </c>
      <c r="E282" s="13" t="s">
        <v>27</v>
      </c>
      <c r="F282" s="13" t="n">
        <v>3</v>
      </c>
      <c r="G282" s="13" t="n">
        <v>80</v>
      </c>
      <c r="H282" s="13" t="n">
        <v>80</v>
      </c>
      <c r="I282" s="13" t="n">
        <f aca="false">H282-G282</f>
        <v>0</v>
      </c>
      <c r="J282" s="13" t="n">
        <f aca="false">H282-F282</f>
        <v>77</v>
      </c>
    </row>
    <row r="283" customFormat="false" ht="15" hidden="false" customHeight="false" outlineLevel="0" collapsed="false">
      <c r="A283" s="13" t="s">
        <v>75</v>
      </c>
      <c r="B283" s="13" t="s">
        <v>76</v>
      </c>
      <c r="C283" s="13" t="n">
        <v>80</v>
      </c>
      <c r="D283" s="13" t="s">
        <v>23</v>
      </c>
      <c r="E283" s="13" t="s">
        <v>28</v>
      </c>
      <c r="F283" s="13" t="n">
        <v>3</v>
      </c>
      <c r="G283" s="13" t="n">
        <v>73</v>
      </c>
      <c r="H283" s="13" t="n">
        <v>73</v>
      </c>
      <c r="I283" s="13" t="n">
        <f aca="false">H283-G283</f>
        <v>0</v>
      </c>
      <c r="J283" s="13" t="n">
        <f aca="false">H283-F283</f>
        <v>70</v>
      </c>
    </row>
    <row r="284" customFormat="false" ht="15" hidden="false" customHeight="false" outlineLevel="0" collapsed="false">
      <c r="A284" s="13" t="s">
        <v>75</v>
      </c>
      <c r="B284" s="13" t="s">
        <v>76</v>
      </c>
      <c r="C284" s="13" t="n">
        <v>80</v>
      </c>
      <c r="D284" s="13" t="s">
        <v>23</v>
      </c>
      <c r="E284" s="13" t="s">
        <v>29</v>
      </c>
      <c r="F284" s="13" t="n">
        <v>0</v>
      </c>
      <c r="G284" s="13" t="n">
        <v>25</v>
      </c>
      <c r="H284" s="13" t="n">
        <v>25</v>
      </c>
      <c r="I284" s="13" t="n">
        <f aca="false">H284-G284</f>
        <v>0</v>
      </c>
      <c r="J284" s="13" t="n">
        <f aca="false">H284-F284</f>
        <v>25</v>
      </c>
    </row>
    <row r="285" customFormat="false" ht="15" hidden="false" customHeight="false" outlineLevel="0" collapsed="false">
      <c r="A285" s="13" t="s">
        <v>75</v>
      </c>
      <c r="B285" s="13" t="s">
        <v>76</v>
      </c>
      <c r="C285" s="13" t="n">
        <v>80</v>
      </c>
      <c r="D285" s="13" t="s">
        <v>23</v>
      </c>
      <c r="E285" s="13" t="s">
        <v>30</v>
      </c>
      <c r="F285" s="13" t="n">
        <v>3</v>
      </c>
      <c r="G285" s="13" t="n">
        <v>80</v>
      </c>
      <c r="H285" s="13" t="n">
        <v>80</v>
      </c>
      <c r="I285" s="13" t="n">
        <f aca="false">H285-G285</f>
        <v>0</v>
      </c>
      <c r="J285" s="13" t="n">
        <f aca="false">H285-F285</f>
        <v>77</v>
      </c>
    </row>
    <row r="286" customFormat="false" ht="15" hidden="false" customHeight="false" outlineLevel="0" collapsed="false">
      <c r="A286" s="13" t="s">
        <v>75</v>
      </c>
      <c r="B286" s="13" t="s">
        <v>76</v>
      </c>
      <c r="C286" s="13" t="n">
        <v>80</v>
      </c>
      <c r="D286" s="13" t="s">
        <v>23</v>
      </c>
      <c r="E286" s="13" t="s">
        <v>31</v>
      </c>
      <c r="F286" s="13" t="n">
        <v>3</v>
      </c>
      <c r="G286" s="13" t="n">
        <v>29</v>
      </c>
      <c r="H286" s="13" t="n">
        <v>29</v>
      </c>
      <c r="I286" s="13" t="n">
        <f aca="false">H286-G286</f>
        <v>0</v>
      </c>
      <c r="J286" s="13" t="n">
        <f aca="false">H286-F286</f>
        <v>26</v>
      </c>
    </row>
    <row r="287" customFormat="false" ht="15" hidden="false" customHeight="false" outlineLevel="0" collapsed="false">
      <c r="A287" s="13" t="s">
        <v>75</v>
      </c>
      <c r="B287" s="13" t="s">
        <v>76</v>
      </c>
      <c r="C287" s="13" t="n">
        <v>80</v>
      </c>
      <c r="D287" s="13" t="s">
        <v>23</v>
      </c>
      <c r="E287" s="13" t="s">
        <v>32</v>
      </c>
      <c r="F287" s="13" t="n">
        <v>3</v>
      </c>
      <c r="G287" s="13" t="n">
        <v>47</v>
      </c>
      <c r="H287" s="13" t="n">
        <v>47</v>
      </c>
      <c r="I287" s="13" t="n">
        <f aca="false">H287-G287</f>
        <v>0</v>
      </c>
      <c r="J287" s="13" t="n">
        <f aca="false">H287-F287</f>
        <v>44</v>
      </c>
    </row>
    <row r="288" customFormat="false" ht="15" hidden="false" customHeight="false" outlineLevel="0" collapsed="false">
      <c r="A288" s="13" t="s">
        <v>75</v>
      </c>
      <c r="B288" s="13" t="s">
        <v>76</v>
      </c>
      <c r="C288" s="13" t="n">
        <v>80</v>
      </c>
      <c r="D288" s="13" t="s">
        <v>23</v>
      </c>
      <c r="E288" s="13" t="s">
        <v>33</v>
      </c>
      <c r="F288" s="13" t="n">
        <v>0</v>
      </c>
      <c r="G288" s="13" t="n">
        <v>0</v>
      </c>
      <c r="H288" s="13" t="n">
        <v>0</v>
      </c>
      <c r="I288" s="13" t="n">
        <f aca="false">H288-G288</f>
        <v>0</v>
      </c>
      <c r="J288" s="13" t="n">
        <f aca="false">H288-F288</f>
        <v>0</v>
      </c>
    </row>
    <row r="289" customFormat="false" ht="15" hidden="false" customHeight="false" outlineLevel="0" collapsed="false">
      <c r="A289" s="13" t="s">
        <v>75</v>
      </c>
      <c r="B289" s="13" t="s">
        <v>76</v>
      </c>
      <c r="C289" s="13" t="n">
        <v>80</v>
      </c>
      <c r="D289" s="13" t="s">
        <v>23</v>
      </c>
      <c r="E289" s="13" t="s">
        <v>34</v>
      </c>
      <c r="F289" s="13" t="n">
        <v>0</v>
      </c>
      <c r="G289" s="13" t="n">
        <v>5</v>
      </c>
      <c r="H289" s="13" t="n">
        <v>5</v>
      </c>
      <c r="I289" s="13" t="n">
        <f aca="false">H289-G289</f>
        <v>0</v>
      </c>
      <c r="J289" s="13" t="n">
        <f aca="false">H289-F289</f>
        <v>5</v>
      </c>
    </row>
    <row r="290" customFormat="false" ht="15" hidden="false" customHeight="false" outlineLevel="0" collapsed="false">
      <c r="A290" s="13" t="s">
        <v>75</v>
      </c>
      <c r="B290" s="13" t="s">
        <v>76</v>
      </c>
      <c r="C290" s="13" t="n">
        <v>80</v>
      </c>
      <c r="D290" s="13" t="s">
        <v>23</v>
      </c>
      <c r="E290" s="13" t="s">
        <v>35</v>
      </c>
      <c r="F290" s="13" t="n">
        <v>0</v>
      </c>
      <c r="G290" s="13" t="n">
        <v>0</v>
      </c>
      <c r="H290" s="13" t="n">
        <v>0</v>
      </c>
      <c r="I290" s="13" t="n">
        <f aca="false">H290-G290</f>
        <v>0</v>
      </c>
      <c r="J290" s="13" t="n">
        <f aca="false">H290-F290</f>
        <v>0</v>
      </c>
    </row>
    <row r="291" customFormat="false" ht="15" hidden="false" customHeight="false" outlineLevel="0" collapsed="false">
      <c r="A291" s="13" t="s">
        <v>75</v>
      </c>
      <c r="B291" s="13" t="s">
        <v>76</v>
      </c>
      <c r="C291" s="13" t="n">
        <v>80</v>
      </c>
      <c r="D291" s="13" t="s">
        <v>23</v>
      </c>
      <c r="E291" s="13" t="s">
        <v>36</v>
      </c>
      <c r="F291" s="13" t="n">
        <v>0</v>
      </c>
      <c r="G291" s="13" t="n">
        <v>0</v>
      </c>
      <c r="H291" s="13" t="n">
        <v>0</v>
      </c>
      <c r="I291" s="13" t="n">
        <f aca="false">H291-G291</f>
        <v>0</v>
      </c>
      <c r="J291" s="13" t="n">
        <f aca="false">H291-F291</f>
        <v>0</v>
      </c>
    </row>
    <row r="292" customFormat="false" ht="15" hidden="false" customHeight="false" outlineLevel="0" collapsed="false">
      <c r="A292" s="13" t="s">
        <v>75</v>
      </c>
      <c r="B292" s="13" t="s">
        <v>76</v>
      </c>
      <c r="C292" s="13" t="n">
        <v>80</v>
      </c>
      <c r="D292" s="13" t="s">
        <v>155</v>
      </c>
      <c r="E292" s="13" t="s">
        <v>37</v>
      </c>
      <c r="F292" s="13" t="n">
        <v>1</v>
      </c>
      <c r="G292" s="13" t="n">
        <v>1</v>
      </c>
      <c r="H292" s="13" t="n">
        <v>1</v>
      </c>
      <c r="I292" s="13" t="n">
        <f aca="false">H292-G292</f>
        <v>0</v>
      </c>
      <c r="J292" s="13" t="n">
        <f aca="false">H292-F292</f>
        <v>0</v>
      </c>
    </row>
    <row r="293" customFormat="false" ht="15" hidden="false" customHeight="false" outlineLevel="0" collapsed="false">
      <c r="A293" s="13" t="s">
        <v>75</v>
      </c>
      <c r="B293" s="13" t="s">
        <v>76</v>
      </c>
      <c r="C293" s="13" t="n">
        <v>80</v>
      </c>
      <c r="D293" s="13" t="s">
        <v>155</v>
      </c>
      <c r="E293" s="13" t="s">
        <v>39</v>
      </c>
      <c r="F293" s="13" t="n">
        <v>0</v>
      </c>
      <c r="G293" s="13" t="n">
        <v>0</v>
      </c>
      <c r="H293" s="13" t="n">
        <v>0</v>
      </c>
      <c r="I293" s="13" t="n">
        <f aca="false">H293-G293</f>
        <v>0</v>
      </c>
      <c r="J293" s="13" t="n">
        <f aca="false">H293-F293</f>
        <v>0</v>
      </c>
    </row>
    <row r="294" customFormat="false" ht="15" hidden="false" customHeight="false" outlineLevel="0" collapsed="false">
      <c r="A294" s="13" t="s">
        <v>75</v>
      </c>
      <c r="B294" s="13" t="s">
        <v>76</v>
      </c>
      <c r="C294" s="13" t="n">
        <v>80</v>
      </c>
      <c r="D294" s="13" t="s">
        <v>155</v>
      </c>
      <c r="E294" s="13" t="s">
        <v>40</v>
      </c>
      <c r="F294" s="13" t="n">
        <v>1</v>
      </c>
      <c r="G294" s="13" t="n">
        <v>1</v>
      </c>
      <c r="H294" s="13" t="n">
        <v>1</v>
      </c>
      <c r="I294" s="13" t="n">
        <f aca="false">H294-G294</f>
        <v>0</v>
      </c>
      <c r="J294" s="13" t="n">
        <f aca="false">H294-F294</f>
        <v>0</v>
      </c>
    </row>
    <row r="295" customFormat="false" ht="15" hidden="false" customHeight="false" outlineLevel="0" collapsed="false">
      <c r="A295" s="13" t="s">
        <v>75</v>
      </c>
      <c r="B295" s="13" t="s">
        <v>76</v>
      </c>
      <c r="C295" s="13" t="n">
        <v>80</v>
      </c>
      <c r="D295" s="13" t="s">
        <v>155</v>
      </c>
      <c r="E295" s="13" t="s">
        <v>41</v>
      </c>
      <c r="F295" s="13" t="n">
        <v>0</v>
      </c>
      <c r="G295" s="13" t="n">
        <v>0</v>
      </c>
      <c r="H295" s="13" t="n">
        <v>0</v>
      </c>
      <c r="I295" s="13" t="n">
        <f aca="false">H295-G295</f>
        <v>0</v>
      </c>
      <c r="J295" s="13" t="n">
        <f aca="false">H295-F295</f>
        <v>0</v>
      </c>
    </row>
    <row r="296" customFormat="false" ht="15" hidden="false" customHeight="false" outlineLevel="0" collapsed="false">
      <c r="A296" s="13" t="s">
        <v>75</v>
      </c>
      <c r="B296" s="13" t="s">
        <v>76</v>
      </c>
      <c r="C296" s="13" t="n">
        <v>80</v>
      </c>
      <c r="D296" s="13" t="s">
        <v>155</v>
      </c>
      <c r="E296" s="13" t="s">
        <v>42</v>
      </c>
      <c r="F296" s="13" t="n">
        <v>1</v>
      </c>
      <c r="G296" s="13" t="n">
        <v>1</v>
      </c>
      <c r="H296" s="13" t="n">
        <v>1</v>
      </c>
      <c r="I296" s="13" t="n">
        <f aca="false">H296-G296</f>
        <v>0</v>
      </c>
      <c r="J296" s="13" t="n">
        <f aca="false">H296-F296</f>
        <v>0</v>
      </c>
    </row>
    <row r="297" customFormat="false" ht="15" hidden="false" customHeight="false" outlineLevel="0" collapsed="false">
      <c r="A297" s="13" t="s">
        <v>75</v>
      </c>
      <c r="B297" s="13" t="s">
        <v>76</v>
      </c>
      <c r="C297" s="13" t="n">
        <v>80</v>
      </c>
      <c r="D297" s="13" t="s">
        <v>155</v>
      </c>
      <c r="E297" s="13" t="s">
        <v>43</v>
      </c>
      <c r="F297" s="13" t="n">
        <v>1</v>
      </c>
      <c r="G297" s="13" t="n">
        <v>1</v>
      </c>
      <c r="H297" s="13" t="n">
        <v>1</v>
      </c>
      <c r="I297" s="13" t="n">
        <f aca="false">H297-G297</f>
        <v>0</v>
      </c>
      <c r="J297" s="13" t="n">
        <f aca="false">H297-F297</f>
        <v>0</v>
      </c>
    </row>
    <row r="298" customFormat="false" ht="15" hidden="false" customHeight="false" outlineLevel="0" collapsed="false">
      <c r="A298" s="13" t="s">
        <v>75</v>
      </c>
      <c r="B298" s="13" t="s">
        <v>76</v>
      </c>
      <c r="C298" s="13" t="n">
        <v>80</v>
      </c>
      <c r="D298" s="13" t="s">
        <v>155</v>
      </c>
      <c r="E298" s="13" t="s">
        <v>44</v>
      </c>
      <c r="F298" s="13" t="n">
        <v>1</v>
      </c>
      <c r="G298" s="13" t="n">
        <v>1</v>
      </c>
      <c r="H298" s="13" t="n">
        <v>1</v>
      </c>
      <c r="I298" s="13" t="n">
        <f aca="false">H298-G298</f>
        <v>0</v>
      </c>
      <c r="J298" s="13" t="n">
        <f aca="false">H298-F298</f>
        <v>0</v>
      </c>
    </row>
    <row r="299" customFormat="false" ht="15" hidden="false" customHeight="false" outlineLevel="0" collapsed="false">
      <c r="A299" s="13" t="s">
        <v>75</v>
      </c>
      <c r="B299" s="13" t="s">
        <v>76</v>
      </c>
      <c r="C299" s="13" t="n">
        <v>80</v>
      </c>
      <c r="D299" s="13" t="s">
        <v>155</v>
      </c>
      <c r="E299" s="13" t="s">
        <v>45</v>
      </c>
      <c r="F299" s="13" t="n">
        <v>0</v>
      </c>
      <c r="G299" s="13" t="n">
        <v>0</v>
      </c>
      <c r="H299" s="13" t="n">
        <v>0</v>
      </c>
      <c r="I299" s="13" t="n">
        <f aca="false">H299-G299</f>
        <v>0</v>
      </c>
      <c r="J299" s="13" t="n">
        <f aca="false">H299-F299</f>
        <v>0</v>
      </c>
    </row>
    <row r="300" customFormat="false" ht="15" hidden="false" customHeight="false" outlineLevel="0" collapsed="false">
      <c r="A300" s="13" t="s">
        <v>75</v>
      </c>
      <c r="B300" s="13" t="s">
        <v>76</v>
      </c>
      <c r="C300" s="13" t="n">
        <v>80</v>
      </c>
      <c r="D300" s="13" t="s">
        <v>155</v>
      </c>
      <c r="E300" s="13" t="s">
        <v>46</v>
      </c>
      <c r="F300" s="13" t="n">
        <v>0</v>
      </c>
      <c r="G300" s="13" t="n">
        <v>0</v>
      </c>
      <c r="H300" s="13" t="n">
        <v>0</v>
      </c>
      <c r="I300" s="13" t="n">
        <f aca="false">H300-G300</f>
        <v>0</v>
      </c>
      <c r="J300" s="13" t="n">
        <f aca="false">H300-F300</f>
        <v>0</v>
      </c>
    </row>
    <row r="301" customFormat="false" ht="15" hidden="false" customHeight="false" outlineLevel="0" collapsed="false">
      <c r="A301" s="13" t="s">
        <v>77</v>
      </c>
      <c r="B301" s="13" t="s">
        <v>78</v>
      </c>
      <c r="C301" s="13" t="n">
        <v>76</v>
      </c>
      <c r="D301" s="13" t="s">
        <v>23</v>
      </c>
      <c r="E301" s="13" t="s">
        <v>22</v>
      </c>
      <c r="F301" s="13" t="n">
        <v>48</v>
      </c>
      <c r="G301" s="13" t="n">
        <v>48</v>
      </c>
      <c r="H301" s="13" t="n">
        <v>48</v>
      </c>
      <c r="I301" s="13" t="n">
        <f aca="false">H301-G301</f>
        <v>0</v>
      </c>
      <c r="J301" s="13" t="n">
        <f aca="false">H301-F301</f>
        <v>0</v>
      </c>
    </row>
    <row r="302" customFormat="false" ht="15" hidden="false" customHeight="false" outlineLevel="0" collapsed="false">
      <c r="A302" s="13" t="s">
        <v>77</v>
      </c>
      <c r="B302" s="13" t="s">
        <v>78</v>
      </c>
      <c r="C302" s="13" t="n">
        <v>76</v>
      </c>
      <c r="D302" s="13" t="s">
        <v>23</v>
      </c>
      <c r="E302" s="13" t="s">
        <v>24</v>
      </c>
      <c r="F302" s="13" t="n">
        <v>76</v>
      </c>
      <c r="G302" s="13" t="n">
        <v>76</v>
      </c>
      <c r="H302" s="13" t="n">
        <v>76</v>
      </c>
      <c r="I302" s="13" t="n">
        <f aca="false">H302-G302</f>
        <v>0</v>
      </c>
      <c r="J302" s="13" t="n">
        <f aca="false">H302-F302</f>
        <v>0</v>
      </c>
    </row>
    <row r="303" customFormat="false" ht="15" hidden="false" customHeight="false" outlineLevel="0" collapsed="false">
      <c r="A303" s="13" t="s">
        <v>77</v>
      </c>
      <c r="B303" s="13" t="s">
        <v>78</v>
      </c>
      <c r="C303" s="13" t="n">
        <v>76</v>
      </c>
      <c r="D303" s="13" t="s">
        <v>23</v>
      </c>
      <c r="E303" s="13" t="s">
        <v>25</v>
      </c>
      <c r="F303" s="13" t="n">
        <v>75</v>
      </c>
      <c r="G303" s="13" t="n">
        <v>76</v>
      </c>
      <c r="H303" s="13" t="n">
        <v>76</v>
      </c>
      <c r="I303" s="13" t="n">
        <f aca="false">H303-G303</f>
        <v>0</v>
      </c>
      <c r="J303" s="13" t="n">
        <f aca="false">H303-F303</f>
        <v>1</v>
      </c>
    </row>
    <row r="304" customFormat="false" ht="15" hidden="false" customHeight="false" outlineLevel="0" collapsed="false">
      <c r="A304" s="13" t="s">
        <v>77</v>
      </c>
      <c r="B304" s="13" t="s">
        <v>78</v>
      </c>
      <c r="C304" s="13" t="n">
        <v>76</v>
      </c>
      <c r="D304" s="13" t="s">
        <v>23</v>
      </c>
      <c r="E304" s="13" t="s">
        <v>26</v>
      </c>
      <c r="F304" s="13" t="n">
        <v>4</v>
      </c>
      <c r="G304" s="13" t="n">
        <v>2</v>
      </c>
      <c r="H304" s="13" t="n">
        <v>2</v>
      </c>
      <c r="I304" s="13" t="n">
        <f aca="false">H304-G304</f>
        <v>0</v>
      </c>
      <c r="J304" s="13" t="n">
        <f aca="false">H304-F304</f>
        <v>-2</v>
      </c>
    </row>
    <row r="305" customFormat="false" ht="15" hidden="false" customHeight="false" outlineLevel="0" collapsed="false">
      <c r="A305" s="13" t="s">
        <v>77</v>
      </c>
      <c r="B305" s="13" t="s">
        <v>78</v>
      </c>
      <c r="C305" s="13" t="n">
        <v>76</v>
      </c>
      <c r="D305" s="13" t="s">
        <v>23</v>
      </c>
      <c r="E305" s="13" t="s">
        <v>27</v>
      </c>
      <c r="F305" s="13" t="n">
        <v>45</v>
      </c>
      <c r="G305" s="13" t="n">
        <v>26</v>
      </c>
      <c r="H305" s="13" t="n">
        <v>26</v>
      </c>
      <c r="I305" s="13" t="n">
        <f aca="false">H305-G305</f>
        <v>0</v>
      </c>
      <c r="J305" s="13" t="n">
        <f aca="false">H305-F305</f>
        <v>-19</v>
      </c>
    </row>
    <row r="306" customFormat="false" ht="15" hidden="false" customHeight="false" outlineLevel="0" collapsed="false">
      <c r="A306" s="13" t="s">
        <v>77</v>
      </c>
      <c r="B306" s="13" t="s">
        <v>78</v>
      </c>
      <c r="C306" s="13" t="n">
        <v>76</v>
      </c>
      <c r="D306" s="13" t="s">
        <v>23</v>
      </c>
      <c r="E306" s="13" t="s">
        <v>28</v>
      </c>
      <c r="F306" s="13" t="n">
        <v>46</v>
      </c>
      <c r="G306" s="13" t="n">
        <v>51</v>
      </c>
      <c r="H306" s="13" t="n">
        <v>51</v>
      </c>
      <c r="I306" s="13" t="n">
        <f aca="false">H306-G306</f>
        <v>0</v>
      </c>
      <c r="J306" s="13" t="n">
        <f aca="false">H306-F306</f>
        <v>5</v>
      </c>
    </row>
    <row r="307" customFormat="false" ht="15" hidden="false" customHeight="false" outlineLevel="0" collapsed="false">
      <c r="A307" s="13" t="s">
        <v>77</v>
      </c>
      <c r="B307" s="13" t="s">
        <v>78</v>
      </c>
      <c r="C307" s="13" t="n">
        <v>76</v>
      </c>
      <c r="D307" s="13" t="s">
        <v>23</v>
      </c>
      <c r="E307" s="13" t="s">
        <v>29</v>
      </c>
      <c r="F307" s="13" t="n">
        <v>46</v>
      </c>
      <c r="G307" s="13" t="n">
        <v>51</v>
      </c>
      <c r="H307" s="13" t="n">
        <v>51</v>
      </c>
      <c r="I307" s="13" t="n">
        <f aca="false">H307-G307</f>
        <v>0</v>
      </c>
      <c r="J307" s="13" t="n">
        <f aca="false">H307-F307</f>
        <v>5</v>
      </c>
    </row>
    <row r="308" customFormat="false" ht="15" hidden="false" customHeight="false" outlineLevel="0" collapsed="false">
      <c r="A308" s="13" t="s">
        <v>77</v>
      </c>
      <c r="B308" s="13" t="s">
        <v>78</v>
      </c>
      <c r="C308" s="13" t="n">
        <v>76</v>
      </c>
      <c r="D308" s="13" t="s">
        <v>23</v>
      </c>
      <c r="E308" s="13" t="s">
        <v>30</v>
      </c>
      <c r="F308" s="13" t="n">
        <v>76</v>
      </c>
      <c r="G308" s="13" t="n">
        <v>76</v>
      </c>
      <c r="H308" s="13" t="n">
        <v>76</v>
      </c>
      <c r="I308" s="13" t="n">
        <f aca="false">H308-G308</f>
        <v>0</v>
      </c>
      <c r="J308" s="13" t="n">
        <f aca="false">H308-F308</f>
        <v>0</v>
      </c>
    </row>
    <row r="309" customFormat="false" ht="15" hidden="false" customHeight="false" outlineLevel="0" collapsed="false">
      <c r="A309" s="13" t="s">
        <v>77</v>
      </c>
      <c r="B309" s="13" t="s">
        <v>78</v>
      </c>
      <c r="C309" s="13" t="n">
        <v>76</v>
      </c>
      <c r="D309" s="13" t="s">
        <v>23</v>
      </c>
      <c r="E309" s="13" t="s">
        <v>31</v>
      </c>
      <c r="F309" s="13" t="n">
        <v>0</v>
      </c>
      <c r="G309" s="13" t="n">
        <v>8</v>
      </c>
      <c r="H309" s="13" t="n">
        <v>8</v>
      </c>
      <c r="I309" s="13" t="n">
        <f aca="false">H309-G309</f>
        <v>0</v>
      </c>
      <c r="J309" s="13" t="n">
        <f aca="false">H309-F309</f>
        <v>8</v>
      </c>
    </row>
    <row r="310" customFormat="false" ht="15" hidden="false" customHeight="false" outlineLevel="0" collapsed="false">
      <c r="A310" s="13" t="s">
        <v>77</v>
      </c>
      <c r="B310" s="13" t="s">
        <v>78</v>
      </c>
      <c r="C310" s="13" t="n">
        <v>76</v>
      </c>
      <c r="D310" s="13" t="s">
        <v>23</v>
      </c>
      <c r="E310" s="13" t="s">
        <v>32</v>
      </c>
      <c r="F310" s="13" t="n">
        <v>36</v>
      </c>
      <c r="G310" s="13" t="n">
        <v>36</v>
      </c>
      <c r="H310" s="13" t="n">
        <v>36</v>
      </c>
      <c r="I310" s="13" t="n">
        <f aca="false">H310-G310</f>
        <v>0</v>
      </c>
      <c r="J310" s="13" t="n">
        <f aca="false">H310-F310</f>
        <v>0</v>
      </c>
    </row>
    <row r="311" customFormat="false" ht="15" hidden="false" customHeight="false" outlineLevel="0" collapsed="false">
      <c r="A311" s="13" t="s">
        <v>77</v>
      </c>
      <c r="B311" s="13" t="s">
        <v>78</v>
      </c>
      <c r="C311" s="13" t="n">
        <v>76</v>
      </c>
      <c r="D311" s="13" t="s">
        <v>23</v>
      </c>
      <c r="E311" s="13" t="s">
        <v>33</v>
      </c>
      <c r="F311" s="13" t="n">
        <v>0</v>
      </c>
      <c r="G311" s="13" t="n">
        <v>0</v>
      </c>
      <c r="H311" s="13" t="n">
        <v>0</v>
      </c>
      <c r="I311" s="13" t="n">
        <f aca="false">H311-G311</f>
        <v>0</v>
      </c>
      <c r="J311" s="13" t="n">
        <f aca="false">H311-F311</f>
        <v>0</v>
      </c>
    </row>
    <row r="312" customFormat="false" ht="15" hidden="false" customHeight="false" outlineLevel="0" collapsed="false">
      <c r="A312" s="13" t="s">
        <v>77</v>
      </c>
      <c r="B312" s="13" t="s">
        <v>78</v>
      </c>
      <c r="C312" s="13" t="n">
        <v>76</v>
      </c>
      <c r="D312" s="13" t="s">
        <v>23</v>
      </c>
      <c r="E312" s="13" t="s">
        <v>34</v>
      </c>
      <c r="F312" s="13" t="n">
        <v>1</v>
      </c>
      <c r="G312" s="13" t="n">
        <v>2</v>
      </c>
      <c r="H312" s="13" t="n">
        <v>2</v>
      </c>
      <c r="I312" s="13" t="n">
        <f aca="false">H312-G312</f>
        <v>0</v>
      </c>
      <c r="J312" s="13" t="n">
        <f aca="false">H312-F312</f>
        <v>1</v>
      </c>
    </row>
    <row r="313" customFormat="false" ht="15" hidden="false" customHeight="false" outlineLevel="0" collapsed="false">
      <c r="A313" s="13" t="s">
        <v>77</v>
      </c>
      <c r="B313" s="13" t="s">
        <v>78</v>
      </c>
      <c r="C313" s="13" t="n">
        <v>76</v>
      </c>
      <c r="D313" s="13" t="s">
        <v>23</v>
      </c>
      <c r="E313" s="13" t="s">
        <v>35</v>
      </c>
      <c r="F313" s="13" t="n">
        <v>0</v>
      </c>
      <c r="G313" s="13" t="n">
        <v>0</v>
      </c>
      <c r="H313" s="13" t="n">
        <v>0</v>
      </c>
      <c r="I313" s="13" t="n">
        <f aca="false">H313-G313</f>
        <v>0</v>
      </c>
      <c r="J313" s="13" t="n">
        <f aca="false">H313-F313</f>
        <v>0</v>
      </c>
    </row>
    <row r="314" customFormat="false" ht="15" hidden="false" customHeight="false" outlineLevel="0" collapsed="false">
      <c r="A314" s="13" t="s">
        <v>77</v>
      </c>
      <c r="B314" s="13" t="s">
        <v>78</v>
      </c>
      <c r="C314" s="13" t="n">
        <v>76</v>
      </c>
      <c r="D314" s="13" t="s">
        <v>23</v>
      </c>
      <c r="E314" s="13" t="s">
        <v>36</v>
      </c>
      <c r="F314" s="13" t="n">
        <v>0</v>
      </c>
      <c r="G314" s="13" t="n">
        <v>0</v>
      </c>
      <c r="H314" s="13" t="n">
        <v>0</v>
      </c>
      <c r="I314" s="13" t="n">
        <f aca="false">H314-G314</f>
        <v>0</v>
      </c>
      <c r="J314" s="13" t="n">
        <f aca="false">H314-F314</f>
        <v>0</v>
      </c>
    </row>
    <row r="315" customFormat="false" ht="15" hidden="false" customHeight="false" outlineLevel="0" collapsed="false">
      <c r="A315" s="13" t="s">
        <v>77</v>
      </c>
      <c r="B315" s="13" t="s">
        <v>78</v>
      </c>
      <c r="C315" s="13" t="n">
        <v>76</v>
      </c>
      <c r="D315" s="13" t="s">
        <v>155</v>
      </c>
      <c r="E315" s="13" t="s">
        <v>37</v>
      </c>
      <c r="F315" s="13" t="n">
        <v>1</v>
      </c>
      <c r="G315" s="13" t="n">
        <v>1</v>
      </c>
      <c r="H315" s="13" t="n">
        <v>1</v>
      </c>
      <c r="I315" s="13" t="n">
        <f aca="false">H315-G315</f>
        <v>0</v>
      </c>
      <c r="J315" s="13" t="n">
        <f aca="false">H315-F315</f>
        <v>0</v>
      </c>
    </row>
    <row r="316" customFormat="false" ht="15" hidden="false" customHeight="false" outlineLevel="0" collapsed="false">
      <c r="A316" s="13" t="s">
        <v>77</v>
      </c>
      <c r="B316" s="13" t="s">
        <v>78</v>
      </c>
      <c r="C316" s="13" t="n">
        <v>76</v>
      </c>
      <c r="D316" s="13" t="s">
        <v>155</v>
      </c>
      <c r="E316" s="13" t="s">
        <v>39</v>
      </c>
      <c r="F316" s="13" t="n">
        <v>0</v>
      </c>
      <c r="G316" s="13" t="n">
        <v>0</v>
      </c>
      <c r="H316" s="13" t="n">
        <v>0</v>
      </c>
      <c r="I316" s="13" t="n">
        <f aca="false">H316-G316</f>
        <v>0</v>
      </c>
      <c r="J316" s="13" t="n">
        <f aca="false">H316-F316</f>
        <v>0</v>
      </c>
    </row>
    <row r="317" customFormat="false" ht="15" hidden="false" customHeight="false" outlineLevel="0" collapsed="false">
      <c r="A317" s="13" t="s">
        <v>77</v>
      </c>
      <c r="B317" s="13" t="s">
        <v>78</v>
      </c>
      <c r="C317" s="13" t="n">
        <v>76</v>
      </c>
      <c r="D317" s="13" t="s">
        <v>155</v>
      </c>
      <c r="E317" s="13" t="s">
        <v>40</v>
      </c>
      <c r="F317" s="13" t="n">
        <v>1</v>
      </c>
      <c r="G317" s="13" t="n">
        <v>1</v>
      </c>
      <c r="H317" s="13" t="n">
        <v>1</v>
      </c>
      <c r="I317" s="13" t="n">
        <f aca="false">H317-G317</f>
        <v>0</v>
      </c>
      <c r="J317" s="13" t="n">
        <f aca="false">H317-F317</f>
        <v>0</v>
      </c>
    </row>
    <row r="318" customFormat="false" ht="15" hidden="false" customHeight="false" outlineLevel="0" collapsed="false">
      <c r="A318" s="13" t="s">
        <v>77</v>
      </c>
      <c r="B318" s="13" t="s">
        <v>78</v>
      </c>
      <c r="C318" s="13" t="n">
        <v>76</v>
      </c>
      <c r="D318" s="13" t="s">
        <v>155</v>
      </c>
      <c r="E318" s="13" t="s">
        <v>41</v>
      </c>
      <c r="F318" s="13" t="n">
        <v>0</v>
      </c>
      <c r="G318" s="13" t="n">
        <v>0</v>
      </c>
      <c r="H318" s="13" t="n">
        <v>0</v>
      </c>
      <c r="I318" s="13" t="n">
        <f aca="false">H318-G318</f>
        <v>0</v>
      </c>
      <c r="J318" s="13" t="n">
        <f aca="false">H318-F318</f>
        <v>0</v>
      </c>
    </row>
    <row r="319" customFormat="false" ht="15" hidden="false" customHeight="false" outlineLevel="0" collapsed="false">
      <c r="A319" s="13" t="s">
        <v>77</v>
      </c>
      <c r="B319" s="13" t="s">
        <v>78</v>
      </c>
      <c r="C319" s="13" t="n">
        <v>76</v>
      </c>
      <c r="D319" s="13" t="s">
        <v>155</v>
      </c>
      <c r="E319" s="13" t="s">
        <v>42</v>
      </c>
      <c r="F319" s="13" t="n">
        <v>1</v>
      </c>
      <c r="G319" s="13" t="n">
        <v>1</v>
      </c>
      <c r="H319" s="13" t="n">
        <v>1</v>
      </c>
      <c r="I319" s="13" t="n">
        <f aca="false">H319-G319</f>
        <v>0</v>
      </c>
      <c r="J319" s="13" t="n">
        <f aca="false">H319-F319</f>
        <v>0</v>
      </c>
    </row>
    <row r="320" customFormat="false" ht="15" hidden="false" customHeight="false" outlineLevel="0" collapsed="false">
      <c r="A320" s="13" t="s">
        <v>77</v>
      </c>
      <c r="B320" s="13" t="s">
        <v>78</v>
      </c>
      <c r="C320" s="13" t="n">
        <v>76</v>
      </c>
      <c r="D320" s="13" t="s">
        <v>155</v>
      </c>
      <c r="E320" s="13" t="s">
        <v>43</v>
      </c>
      <c r="F320" s="13" t="n">
        <v>1</v>
      </c>
      <c r="G320" s="13" t="n">
        <v>1</v>
      </c>
      <c r="H320" s="13" t="n">
        <v>1</v>
      </c>
      <c r="I320" s="13" t="n">
        <f aca="false">H320-G320</f>
        <v>0</v>
      </c>
      <c r="J320" s="13" t="n">
        <f aca="false">H320-F320</f>
        <v>0</v>
      </c>
    </row>
    <row r="321" customFormat="false" ht="15" hidden="false" customHeight="false" outlineLevel="0" collapsed="false">
      <c r="A321" s="13" t="s">
        <v>77</v>
      </c>
      <c r="B321" s="13" t="s">
        <v>78</v>
      </c>
      <c r="C321" s="13" t="n">
        <v>76</v>
      </c>
      <c r="D321" s="13" t="s">
        <v>155</v>
      </c>
      <c r="E321" s="13" t="s">
        <v>44</v>
      </c>
      <c r="F321" s="13" t="n">
        <v>1</v>
      </c>
      <c r="G321" s="13" t="n">
        <v>1</v>
      </c>
      <c r="H321" s="13" t="n">
        <v>1</v>
      </c>
      <c r="I321" s="13" t="n">
        <f aca="false">H321-G321</f>
        <v>0</v>
      </c>
      <c r="J321" s="13" t="n">
        <f aca="false">H321-F321</f>
        <v>0</v>
      </c>
    </row>
    <row r="322" customFormat="false" ht="15" hidden="false" customHeight="false" outlineLevel="0" collapsed="false">
      <c r="A322" s="13" t="s">
        <v>77</v>
      </c>
      <c r="B322" s="13" t="s">
        <v>78</v>
      </c>
      <c r="C322" s="13" t="n">
        <v>76</v>
      </c>
      <c r="D322" s="13" t="s">
        <v>155</v>
      </c>
      <c r="E322" s="13" t="s">
        <v>45</v>
      </c>
      <c r="F322" s="13" t="n">
        <v>1</v>
      </c>
      <c r="G322" s="13" t="n">
        <v>1</v>
      </c>
      <c r="H322" s="13" t="n">
        <v>1</v>
      </c>
      <c r="I322" s="13" t="n">
        <f aca="false">H322-G322</f>
        <v>0</v>
      </c>
      <c r="J322" s="13" t="n">
        <f aca="false">H322-F322</f>
        <v>0</v>
      </c>
    </row>
    <row r="323" customFormat="false" ht="15" hidden="false" customHeight="false" outlineLevel="0" collapsed="false">
      <c r="A323" s="13" t="s">
        <v>77</v>
      </c>
      <c r="B323" s="13" t="s">
        <v>78</v>
      </c>
      <c r="C323" s="13" t="n">
        <v>76</v>
      </c>
      <c r="D323" s="13" t="s">
        <v>155</v>
      </c>
      <c r="E323" s="13" t="s">
        <v>46</v>
      </c>
      <c r="F323" s="13" t="n">
        <v>0</v>
      </c>
      <c r="G323" s="13" t="n">
        <v>0</v>
      </c>
      <c r="H323" s="13" t="n">
        <v>0</v>
      </c>
      <c r="I323" s="13" t="n">
        <f aca="false">H323-G323</f>
        <v>0</v>
      </c>
      <c r="J323" s="13" t="n">
        <f aca="false">H323-F323</f>
        <v>0</v>
      </c>
    </row>
    <row r="324" customFormat="false" ht="15" hidden="false" customHeight="false" outlineLevel="0" collapsed="false">
      <c r="A324" s="13" t="s">
        <v>79</v>
      </c>
      <c r="B324" s="13" t="s">
        <v>80</v>
      </c>
      <c r="C324" s="13" t="n">
        <v>76</v>
      </c>
      <c r="D324" s="13" t="s">
        <v>23</v>
      </c>
      <c r="E324" s="13" t="s">
        <v>22</v>
      </c>
      <c r="F324" s="13" t="n">
        <v>47</v>
      </c>
      <c r="G324" s="13" t="n">
        <v>47</v>
      </c>
      <c r="H324" s="13" t="n">
        <v>47</v>
      </c>
      <c r="I324" s="13" t="n">
        <f aca="false">H324-G324</f>
        <v>0</v>
      </c>
      <c r="J324" s="13" t="n">
        <f aca="false">H324-F324</f>
        <v>0</v>
      </c>
    </row>
    <row r="325" customFormat="false" ht="15" hidden="false" customHeight="false" outlineLevel="0" collapsed="false">
      <c r="A325" s="13" t="s">
        <v>79</v>
      </c>
      <c r="B325" s="13" t="s">
        <v>80</v>
      </c>
      <c r="C325" s="13" t="n">
        <v>76</v>
      </c>
      <c r="D325" s="13" t="s">
        <v>23</v>
      </c>
      <c r="E325" s="13" t="s">
        <v>24</v>
      </c>
      <c r="F325" s="13" t="n">
        <v>76</v>
      </c>
      <c r="G325" s="13" t="n">
        <v>76</v>
      </c>
      <c r="H325" s="13" t="n">
        <v>76</v>
      </c>
      <c r="I325" s="13" t="n">
        <f aca="false">H325-G325</f>
        <v>0</v>
      </c>
      <c r="J325" s="13" t="n">
        <f aca="false">H325-F325</f>
        <v>0</v>
      </c>
    </row>
    <row r="326" customFormat="false" ht="15" hidden="false" customHeight="false" outlineLevel="0" collapsed="false">
      <c r="A326" s="13" t="s">
        <v>79</v>
      </c>
      <c r="B326" s="13" t="s">
        <v>80</v>
      </c>
      <c r="C326" s="13" t="n">
        <v>76</v>
      </c>
      <c r="D326" s="13" t="s">
        <v>23</v>
      </c>
      <c r="E326" s="13" t="s">
        <v>25</v>
      </c>
      <c r="F326" s="13" t="n">
        <v>73</v>
      </c>
      <c r="G326" s="13" t="n">
        <v>75</v>
      </c>
      <c r="H326" s="13" t="n">
        <v>75</v>
      </c>
      <c r="I326" s="13" t="n">
        <f aca="false">H326-G326</f>
        <v>0</v>
      </c>
      <c r="J326" s="13" t="n">
        <f aca="false">H326-F326</f>
        <v>2</v>
      </c>
    </row>
    <row r="327" customFormat="false" ht="15" hidden="false" customHeight="false" outlineLevel="0" collapsed="false">
      <c r="A327" s="13" t="s">
        <v>79</v>
      </c>
      <c r="B327" s="13" t="s">
        <v>80</v>
      </c>
      <c r="C327" s="13" t="n">
        <v>76</v>
      </c>
      <c r="D327" s="13" t="s">
        <v>23</v>
      </c>
      <c r="E327" s="13" t="s">
        <v>26</v>
      </c>
      <c r="F327" s="13" t="n">
        <v>7</v>
      </c>
      <c r="G327" s="13" t="n">
        <v>5</v>
      </c>
      <c r="H327" s="13" t="n">
        <v>5</v>
      </c>
      <c r="I327" s="13" t="n">
        <f aca="false">H327-G327</f>
        <v>0</v>
      </c>
      <c r="J327" s="13" t="n">
        <f aca="false">H327-F327</f>
        <v>-2</v>
      </c>
    </row>
    <row r="328" customFormat="false" ht="15" hidden="false" customHeight="false" outlineLevel="0" collapsed="false">
      <c r="A328" s="13" t="s">
        <v>79</v>
      </c>
      <c r="B328" s="13" t="s">
        <v>80</v>
      </c>
      <c r="C328" s="13" t="n">
        <v>76</v>
      </c>
      <c r="D328" s="13" t="s">
        <v>23</v>
      </c>
      <c r="E328" s="13" t="s">
        <v>27</v>
      </c>
      <c r="F328" s="13" t="n">
        <v>21</v>
      </c>
      <c r="G328" s="13" t="n">
        <v>10</v>
      </c>
      <c r="H328" s="13" t="n">
        <v>10</v>
      </c>
      <c r="I328" s="13" t="n">
        <f aca="false">H328-G328</f>
        <v>0</v>
      </c>
      <c r="J328" s="13" t="n">
        <f aca="false">H328-F328</f>
        <v>-11</v>
      </c>
    </row>
    <row r="329" customFormat="false" ht="15" hidden="false" customHeight="false" outlineLevel="0" collapsed="false">
      <c r="A329" s="13" t="s">
        <v>79</v>
      </c>
      <c r="B329" s="13" t="s">
        <v>80</v>
      </c>
      <c r="C329" s="13" t="n">
        <v>76</v>
      </c>
      <c r="D329" s="13" t="s">
        <v>23</v>
      </c>
      <c r="E329" s="13" t="s">
        <v>28</v>
      </c>
      <c r="F329" s="13" t="n">
        <v>21</v>
      </c>
      <c r="G329" s="13" t="n">
        <v>24</v>
      </c>
      <c r="H329" s="13" t="n">
        <v>24</v>
      </c>
      <c r="I329" s="13" t="n">
        <f aca="false">H329-G329</f>
        <v>0</v>
      </c>
      <c r="J329" s="13" t="n">
        <f aca="false">H329-F329</f>
        <v>3</v>
      </c>
    </row>
    <row r="330" customFormat="false" ht="15" hidden="false" customHeight="false" outlineLevel="0" collapsed="false">
      <c r="A330" s="13" t="s">
        <v>79</v>
      </c>
      <c r="B330" s="13" t="s">
        <v>80</v>
      </c>
      <c r="C330" s="13" t="n">
        <v>76</v>
      </c>
      <c r="D330" s="13" t="s">
        <v>23</v>
      </c>
      <c r="E330" s="13" t="s">
        <v>29</v>
      </c>
      <c r="F330" s="13" t="n">
        <v>21</v>
      </c>
      <c r="G330" s="13" t="n">
        <v>24</v>
      </c>
      <c r="H330" s="13" t="n">
        <v>24</v>
      </c>
      <c r="I330" s="13" t="n">
        <f aca="false">H330-G330</f>
        <v>0</v>
      </c>
      <c r="J330" s="13" t="n">
        <f aca="false">H330-F330</f>
        <v>3</v>
      </c>
    </row>
    <row r="331" customFormat="false" ht="15" hidden="false" customHeight="false" outlineLevel="0" collapsed="false">
      <c r="A331" s="13" t="s">
        <v>79</v>
      </c>
      <c r="B331" s="13" t="s">
        <v>80</v>
      </c>
      <c r="C331" s="13" t="n">
        <v>76</v>
      </c>
      <c r="D331" s="13" t="s">
        <v>23</v>
      </c>
      <c r="E331" s="13" t="s">
        <v>30</v>
      </c>
      <c r="F331" s="13" t="n">
        <v>76</v>
      </c>
      <c r="G331" s="13" t="n">
        <v>76</v>
      </c>
      <c r="H331" s="13" t="n">
        <v>76</v>
      </c>
      <c r="I331" s="13" t="n">
        <f aca="false">H331-G331</f>
        <v>0</v>
      </c>
      <c r="J331" s="13" t="n">
        <f aca="false">H331-F331</f>
        <v>0</v>
      </c>
    </row>
    <row r="332" customFormat="false" ht="15" hidden="false" customHeight="false" outlineLevel="0" collapsed="false">
      <c r="A332" s="13" t="s">
        <v>79</v>
      </c>
      <c r="B332" s="13" t="s">
        <v>80</v>
      </c>
      <c r="C332" s="13" t="n">
        <v>76</v>
      </c>
      <c r="D332" s="13" t="s">
        <v>23</v>
      </c>
      <c r="E332" s="13" t="s">
        <v>31</v>
      </c>
      <c r="F332" s="13" t="n">
        <v>2</v>
      </c>
      <c r="G332" s="13" t="n">
        <v>2</v>
      </c>
      <c r="H332" s="13" t="n">
        <v>2</v>
      </c>
      <c r="I332" s="13" t="n">
        <f aca="false">H332-G332</f>
        <v>0</v>
      </c>
      <c r="J332" s="13" t="n">
        <f aca="false">H332-F332</f>
        <v>0</v>
      </c>
    </row>
    <row r="333" customFormat="false" ht="15" hidden="false" customHeight="false" outlineLevel="0" collapsed="false">
      <c r="A333" s="13" t="s">
        <v>79</v>
      </c>
      <c r="B333" s="13" t="s">
        <v>80</v>
      </c>
      <c r="C333" s="13" t="n">
        <v>76</v>
      </c>
      <c r="D333" s="13" t="s">
        <v>23</v>
      </c>
      <c r="E333" s="13" t="s">
        <v>32</v>
      </c>
      <c r="F333" s="13" t="n">
        <v>19</v>
      </c>
      <c r="G333" s="13" t="n">
        <v>21</v>
      </c>
      <c r="H333" s="13" t="n">
        <v>21</v>
      </c>
      <c r="I333" s="13" t="n">
        <f aca="false">H333-G333</f>
        <v>0</v>
      </c>
      <c r="J333" s="13" t="n">
        <f aca="false">H333-F333</f>
        <v>2</v>
      </c>
    </row>
    <row r="334" customFormat="false" ht="15" hidden="false" customHeight="false" outlineLevel="0" collapsed="false">
      <c r="A334" s="13" t="s">
        <v>79</v>
      </c>
      <c r="B334" s="13" t="s">
        <v>80</v>
      </c>
      <c r="C334" s="13" t="n">
        <v>76</v>
      </c>
      <c r="D334" s="13" t="s">
        <v>23</v>
      </c>
      <c r="E334" s="13" t="s">
        <v>33</v>
      </c>
      <c r="F334" s="13" t="n">
        <v>0</v>
      </c>
      <c r="G334" s="13" t="n">
        <v>0</v>
      </c>
      <c r="H334" s="13" t="n">
        <v>0</v>
      </c>
      <c r="I334" s="13" t="n">
        <f aca="false">H334-G334</f>
        <v>0</v>
      </c>
      <c r="J334" s="13" t="n">
        <f aca="false">H334-F334</f>
        <v>0</v>
      </c>
    </row>
    <row r="335" customFormat="false" ht="15" hidden="false" customHeight="false" outlineLevel="0" collapsed="false">
      <c r="A335" s="13" t="s">
        <v>79</v>
      </c>
      <c r="B335" s="13" t="s">
        <v>80</v>
      </c>
      <c r="C335" s="13" t="n">
        <v>76</v>
      </c>
      <c r="D335" s="13" t="s">
        <v>23</v>
      </c>
      <c r="E335" s="13" t="s">
        <v>34</v>
      </c>
      <c r="F335" s="13" t="n">
        <v>71</v>
      </c>
      <c r="G335" s="13" t="n">
        <v>71</v>
      </c>
      <c r="H335" s="13" t="n">
        <v>71</v>
      </c>
      <c r="I335" s="13" t="n">
        <f aca="false">H335-G335</f>
        <v>0</v>
      </c>
      <c r="J335" s="13" t="n">
        <f aca="false">H335-F335</f>
        <v>0</v>
      </c>
    </row>
    <row r="336" customFormat="false" ht="15" hidden="false" customHeight="false" outlineLevel="0" collapsed="false">
      <c r="A336" s="13" t="s">
        <v>79</v>
      </c>
      <c r="B336" s="13" t="s">
        <v>80</v>
      </c>
      <c r="C336" s="13" t="n">
        <v>76</v>
      </c>
      <c r="D336" s="13" t="s">
        <v>23</v>
      </c>
      <c r="E336" s="13" t="s">
        <v>35</v>
      </c>
      <c r="F336" s="13" t="n">
        <v>0</v>
      </c>
      <c r="G336" s="13" t="n">
        <v>0</v>
      </c>
      <c r="H336" s="13" t="n">
        <v>0</v>
      </c>
      <c r="I336" s="13" t="n">
        <f aca="false">H336-G336</f>
        <v>0</v>
      </c>
      <c r="J336" s="13" t="n">
        <f aca="false">H336-F336</f>
        <v>0</v>
      </c>
    </row>
    <row r="337" customFormat="false" ht="15" hidden="false" customHeight="false" outlineLevel="0" collapsed="false">
      <c r="A337" s="13" t="s">
        <v>79</v>
      </c>
      <c r="B337" s="13" t="s">
        <v>80</v>
      </c>
      <c r="C337" s="13" t="n">
        <v>76</v>
      </c>
      <c r="D337" s="13" t="s">
        <v>23</v>
      </c>
      <c r="E337" s="13" t="s">
        <v>36</v>
      </c>
      <c r="F337" s="13" t="n">
        <v>0</v>
      </c>
      <c r="G337" s="13" t="n">
        <v>0</v>
      </c>
      <c r="H337" s="13" t="n">
        <v>0</v>
      </c>
      <c r="I337" s="13" t="n">
        <f aca="false">H337-G337</f>
        <v>0</v>
      </c>
      <c r="J337" s="13" t="n">
        <f aca="false">H337-F337</f>
        <v>0</v>
      </c>
    </row>
    <row r="338" customFormat="false" ht="15" hidden="false" customHeight="false" outlineLevel="0" collapsed="false">
      <c r="A338" s="13" t="s">
        <v>79</v>
      </c>
      <c r="B338" s="13" t="s">
        <v>80</v>
      </c>
      <c r="C338" s="13" t="n">
        <v>76</v>
      </c>
      <c r="D338" s="13" t="s">
        <v>155</v>
      </c>
      <c r="E338" s="13" t="s">
        <v>37</v>
      </c>
      <c r="F338" s="13" t="n">
        <v>1</v>
      </c>
      <c r="G338" s="13" t="n">
        <v>1</v>
      </c>
      <c r="H338" s="13" t="n">
        <v>1</v>
      </c>
      <c r="I338" s="13" t="n">
        <f aca="false">H338-G338</f>
        <v>0</v>
      </c>
      <c r="J338" s="13" t="n">
        <f aca="false">H338-F338</f>
        <v>0</v>
      </c>
    </row>
    <row r="339" customFormat="false" ht="15" hidden="false" customHeight="false" outlineLevel="0" collapsed="false">
      <c r="A339" s="13" t="s">
        <v>79</v>
      </c>
      <c r="B339" s="13" t="s">
        <v>80</v>
      </c>
      <c r="C339" s="13" t="n">
        <v>76</v>
      </c>
      <c r="D339" s="13" t="s">
        <v>155</v>
      </c>
      <c r="E339" s="13" t="s">
        <v>39</v>
      </c>
      <c r="F339" s="13" t="n">
        <v>1</v>
      </c>
      <c r="G339" s="13" t="n">
        <v>1</v>
      </c>
      <c r="H339" s="13" t="n">
        <v>1</v>
      </c>
      <c r="I339" s="13" t="n">
        <f aca="false">H339-G339</f>
        <v>0</v>
      </c>
      <c r="J339" s="13" t="n">
        <f aca="false">H339-F339</f>
        <v>0</v>
      </c>
    </row>
    <row r="340" customFormat="false" ht="15" hidden="false" customHeight="false" outlineLevel="0" collapsed="false">
      <c r="A340" s="13" t="s">
        <v>79</v>
      </c>
      <c r="B340" s="13" t="s">
        <v>80</v>
      </c>
      <c r="C340" s="13" t="n">
        <v>76</v>
      </c>
      <c r="D340" s="13" t="s">
        <v>155</v>
      </c>
      <c r="E340" s="13" t="s">
        <v>40</v>
      </c>
      <c r="F340" s="13" t="n">
        <v>1</v>
      </c>
      <c r="G340" s="13" t="n">
        <v>1</v>
      </c>
      <c r="H340" s="13" t="n">
        <v>1</v>
      </c>
      <c r="I340" s="13" t="n">
        <f aca="false">H340-G340</f>
        <v>0</v>
      </c>
      <c r="J340" s="13" t="n">
        <f aca="false">H340-F340</f>
        <v>0</v>
      </c>
    </row>
    <row r="341" customFormat="false" ht="15" hidden="false" customHeight="false" outlineLevel="0" collapsed="false">
      <c r="A341" s="13" t="s">
        <v>79</v>
      </c>
      <c r="B341" s="13" t="s">
        <v>80</v>
      </c>
      <c r="C341" s="13" t="n">
        <v>76</v>
      </c>
      <c r="D341" s="13" t="s">
        <v>155</v>
      </c>
      <c r="E341" s="13" t="s">
        <v>41</v>
      </c>
      <c r="F341" s="13" t="n">
        <v>0</v>
      </c>
      <c r="G341" s="13" t="n">
        <v>0</v>
      </c>
      <c r="H341" s="13" t="n">
        <v>0</v>
      </c>
      <c r="I341" s="13" t="n">
        <f aca="false">H341-G341</f>
        <v>0</v>
      </c>
      <c r="J341" s="13" t="n">
        <f aca="false">H341-F341</f>
        <v>0</v>
      </c>
    </row>
    <row r="342" customFormat="false" ht="15" hidden="false" customHeight="false" outlineLevel="0" collapsed="false">
      <c r="A342" s="13" t="s">
        <v>79</v>
      </c>
      <c r="B342" s="13" t="s">
        <v>80</v>
      </c>
      <c r="C342" s="13" t="n">
        <v>76</v>
      </c>
      <c r="D342" s="13" t="s">
        <v>155</v>
      </c>
      <c r="E342" s="13" t="s">
        <v>42</v>
      </c>
      <c r="F342" s="13" t="n">
        <v>1</v>
      </c>
      <c r="G342" s="13" t="n">
        <v>1</v>
      </c>
      <c r="H342" s="13" t="n">
        <v>1</v>
      </c>
      <c r="I342" s="13" t="n">
        <f aca="false">H342-G342</f>
        <v>0</v>
      </c>
      <c r="J342" s="13" t="n">
        <f aca="false">H342-F342</f>
        <v>0</v>
      </c>
    </row>
    <row r="343" customFormat="false" ht="15" hidden="false" customHeight="false" outlineLevel="0" collapsed="false">
      <c r="A343" s="13" t="s">
        <v>79</v>
      </c>
      <c r="B343" s="13" t="s">
        <v>80</v>
      </c>
      <c r="C343" s="13" t="n">
        <v>76</v>
      </c>
      <c r="D343" s="13" t="s">
        <v>155</v>
      </c>
      <c r="E343" s="13" t="s">
        <v>43</v>
      </c>
      <c r="F343" s="13" t="n">
        <v>1</v>
      </c>
      <c r="G343" s="13" t="n">
        <v>1</v>
      </c>
      <c r="H343" s="13" t="n">
        <v>1</v>
      </c>
      <c r="I343" s="13" t="n">
        <f aca="false">H343-G343</f>
        <v>0</v>
      </c>
      <c r="J343" s="13" t="n">
        <f aca="false">H343-F343</f>
        <v>0</v>
      </c>
    </row>
    <row r="344" customFormat="false" ht="15" hidden="false" customHeight="false" outlineLevel="0" collapsed="false">
      <c r="A344" s="13" t="s">
        <v>79</v>
      </c>
      <c r="B344" s="13" t="s">
        <v>80</v>
      </c>
      <c r="C344" s="13" t="n">
        <v>76</v>
      </c>
      <c r="D344" s="13" t="s">
        <v>155</v>
      </c>
      <c r="E344" s="13" t="s">
        <v>44</v>
      </c>
      <c r="F344" s="13" t="n">
        <v>1</v>
      </c>
      <c r="G344" s="13" t="n">
        <v>1</v>
      </c>
      <c r="H344" s="13" t="n">
        <v>1</v>
      </c>
      <c r="I344" s="13" t="n">
        <f aca="false">H344-G344</f>
        <v>0</v>
      </c>
      <c r="J344" s="13" t="n">
        <f aca="false">H344-F344</f>
        <v>0</v>
      </c>
    </row>
    <row r="345" customFormat="false" ht="15" hidden="false" customHeight="false" outlineLevel="0" collapsed="false">
      <c r="A345" s="13" t="s">
        <v>79</v>
      </c>
      <c r="B345" s="13" t="s">
        <v>80</v>
      </c>
      <c r="C345" s="13" t="n">
        <v>76</v>
      </c>
      <c r="D345" s="13" t="s">
        <v>155</v>
      </c>
      <c r="E345" s="13" t="s">
        <v>45</v>
      </c>
      <c r="F345" s="13" t="n">
        <v>0</v>
      </c>
      <c r="G345" s="13" t="n">
        <v>0</v>
      </c>
      <c r="H345" s="13" t="n">
        <v>0</v>
      </c>
      <c r="I345" s="13" t="n">
        <f aca="false">H345-G345</f>
        <v>0</v>
      </c>
      <c r="J345" s="13" t="n">
        <f aca="false">H345-F345</f>
        <v>0</v>
      </c>
    </row>
    <row r="346" customFormat="false" ht="15" hidden="false" customHeight="false" outlineLevel="0" collapsed="false">
      <c r="A346" s="13" t="s">
        <v>79</v>
      </c>
      <c r="B346" s="13" t="s">
        <v>80</v>
      </c>
      <c r="C346" s="13" t="n">
        <v>76</v>
      </c>
      <c r="D346" s="13" t="s">
        <v>155</v>
      </c>
      <c r="E346" s="13" t="s">
        <v>46</v>
      </c>
      <c r="F346" s="13" t="n">
        <v>0</v>
      </c>
      <c r="G346" s="13" t="n">
        <v>0</v>
      </c>
      <c r="H346" s="13" t="n">
        <v>0</v>
      </c>
      <c r="I346" s="13" t="n">
        <f aca="false">H346-G346</f>
        <v>0</v>
      </c>
      <c r="J346" s="13" t="n">
        <f aca="false">H346-F346</f>
        <v>0</v>
      </c>
    </row>
    <row r="347" customFormat="false" ht="15" hidden="false" customHeight="false" outlineLevel="0" collapsed="false">
      <c r="A347" s="13" t="s">
        <v>81</v>
      </c>
      <c r="B347" s="13" t="s">
        <v>82</v>
      </c>
      <c r="C347" s="13" t="n">
        <v>72</v>
      </c>
      <c r="D347" s="13" t="s">
        <v>23</v>
      </c>
      <c r="E347" s="13" t="s">
        <v>22</v>
      </c>
      <c r="F347" s="13" t="n">
        <v>74</v>
      </c>
      <c r="G347" s="13" t="n">
        <v>72</v>
      </c>
      <c r="H347" s="13" t="n">
        <v>72</v>
      </c>
      <c r="I347" s="13" t="n">
        <f aca="false">H347-G347</f>
        <v>0</v>
      </c>
      <c r="J347" s="13" t="n">
        <f aca="false">H347-F347</f>
        <v>-2</v>
      </c>
    </row>
    <row r="348" customFormat="false" ht="15" hidden="false" customHeight="false" outlineLevel="0" collapsed="false">
      <c r="A348" s="13" t="s">
        <v>81</v>
      </c>
      <c r="B348" s="13" t="s">
        <v>82</v>
      </c>
      <c r="C348" s="13" t="n">
        <v>72</v>
      </c>
      <c r="D348" s="13" t="s">
        <v>23</v>
      </c>
      <c r="E348" s="13" t="s">
        <v>24</v>
      </c>
      <c r="F348" s="13" t="n">
        <v>8</v>
      </c>
      <c r="G348" s="13" t="n">
        <v>72</v>
      </c>
      <c r="H348" s="13" t="n">
        <v>72</v>
      </c>
      <c r="I348" s="13" t="n">
        <f aca="false">H348-G348</f>
        <v>0</v>
      </c>
      <c r="J348" s="13" t="n">
        <f aca="false">H348-F348</f>
        <v>64</v>
      </c>
    </row>
    <row r="349" customFormat="false" ht="15" hidden="false" customHeight="false" outlineLevel="0" collapsed="false">
      <c r="A349" s="13" t="s">
        <v>81</v>
      </c>
      <c r="B349" s="13" t="s">
        <v>82</v>
      </c>
      <c r="C349" s="13" t="n">
        <v>72</v>
      </c>
      <c r="D349" s="13" t="s">
        <v>23</v>
      </c>
      <c r="E349" s="13" t="s">
        <v>25</v>
      </c>
      <c r="F349" s="13" t="n">
        <v>79</v>
      </c>
      <c r="G349" s="13" t="n">
        <v>70</v>
      </c>
      <c r="H349" s="13" t="n">
        <v>70</v>
      </c>
      <c r="I349" s="13" t="n">
        <f aca="false">H349-G349</f>
        <v>0</v>
      </c>
      <c r="J349" s="13" t="n">
        <f aca="false">H349-F349</f>
        <v>-9</v>
      </c>
    </row>
    <row r="350" customFormat="false" ht="15" hidden="false" customHeight="false" outlineLevel="0" collapsed="false">
      <c r="A350" s="13" t="s">
        <v>81</v>
      </c>
      <c r="B350" s="13" t="s">
        <v>82</v>
      </c>
      <c r="C350" s="13" t="n">
        <v>72</v>
      </c>
      <c r="D350" s="13" t="s">
        <v>23</v>
      </c>
      <c r="E350" s="13" t="s">
        <v>26</v>
      </c>
      <c r="F350" s="13" t="n">
        <v>82</v>
      </c>
      <c r="G350" s="13" t="n">
        <v>72</v>
      </c>
      <c r="H350" s="13" t="n">
        <v>72</v>
      </c>
      <c r="I350" s="13" t="n">
        <f aca="false">H350-G350</f>
        <v>0</v>
      </c>
      <c r="J350" s="13" t="n">
        <f aca="false">H350-F350</f>
        <v>-10</v>
      </c>
    </row>
    <row r="351" customFormat="false" ht="15" hidden="false" customHeight="false" outlineLevel="0" collapsed="false">
      <c r="A351" s="13" t="s">
        <v>81</v>
      </c>
      <c r="B351" s="13" t="s">
        <v>82</v>
      </c>
      <c r="C351" s="13" t="n">
        <v>72</v>
      </c>
      <c r="D351" s="13" t="s">
        <v>23</v>
      </c>
      <c r="E351" s="13" t="s">
        <v>27</v>
      </c>
      <c r="F351" s="13" t="n">
        <v>78</v>
      </c>
      <c r="G351" s="13" t="n">
        <v>70</v>
      </c>
      <c r="H351" s="13" t="n">
        <v>70</v>
      </c>
      <c r="I351" s="13" t="n">
        <f aca="false">H351-G351</f>
        <v>0</v>
      </c>
      <c r="J351" s="13" t="n">
        <f aca="false">H351-F351</f>
        <v>-8</v>
      </c>
    </row>
    <row r="352" customFormat="false" ht="15" hidden="false" customHeight="false" outlineLevel="0" collapsed="false">
      <c r="A352" s="13" t="s">
        <v>81</v>
      </c>
      <c r="B352" s="13" t="s">
        <v>82</v>
      </c>
      <c r="C352" s="13" t="n">
        <v>72</v>
      </c>
      <c r="D352" s="13" t="s">
        <v>23</v>
      </c>
      <c r="E352" s="13" t="s">
        <v>28</v>
      </c>
      <c r="F352" s="13" t="n">
        <v>80</v>
      </c>
      <c r="G352" s="13" t="n">
        <v>72</v>
      </c>
      <c r="H352" s="13" t="n">
        <v>72</v>
      </c>
      <c r="I352" s="13" t="n">
        <f aca="false">H352-G352</f>
        <v>0</v>
      </c>
      <c r="J352" s="13" t="n">
        <f aca="false">H352-F352</f>
        <v>-8</v>
      </c>
    </row>
    <row r="353" customFormat="false" ht="15" hidden="false" customHeight="false" outlineLevel="0" collapsed="false">
      <c r="A353" s="13" t="s">
        <v>81</v>
      </c>
      <c r="B353" s="13" t="s">
        <v>82</v>
      </c>
      <c r="C353" s="13" t="n">
        <v>72</v>
      </c>
      <c r="D353" s="13" t="s">
        <v>23</v>
      </c>
      <c r="E353" s="13" t="s">
        <v>29</v>
      </c>
      <c r="F353" s="13" t="n">
        <v>80</v>
      </c>
      <c r="G353" s="13" t="n">
        <v>72</v>
      </c>
      <c r="H353" s="13" t="n">
        <v>72</v>
      </c>
      <c r="I353" s="13" t="n">
        <f aca="false">H353-G353</f>
        <v>0</v>
      </c>
      <c r="J353" s="13" t="n">
        <f aca="false">H353-F353</f>
        <v>-8</v>
      </c>
    </row>
    <row r="354" customFormat="false" ht="15" hidden="false" customHeight="false" outlineLevel="0" collapsed="false">
      <c r="A354" s="13" t="s">
        <v>81</v>
      </c>
      <c r="B354" s="13" t="s">
        <v>82</v>
      </c>
      <c r="C354" s="13" t="n">
        <v>72</v>
      </c>
      <c r="D354" s="13" t="s">
        <v>23</v>
      </c>
      <c r="E354" s="13" t="s">
        <v>30</v>
      </c>
      <c r="F354" s="13" t="n">
        <v>83</v>
      </c>
      <c r="G354" s="13" t="n">
        <v>72</v>
      </c>
      <c r="H354" s="13" t="n">
        <v>72</v>
      </c>
      <c r="I354" s="13" t="n">
        <f aca="false">H354-G354</f>
        <v>0</v>
      </c>
      <c r="J354" s="13" t="n">
        <f aca="false">H354-F354</f>
        <v>-11</v>
      </c>
    </row>
    <row r="355" customFormat="false" ht="15" hidden="false" customHeight="false" outlineLevel="0" collapsed="false">
      <c r="A355" s="13" t="s">
        <v>81</v>
      </c>
      <c r="B355" s="13" t="s">
        <v>82</v>
      </c>
      <c r="C355" s="13" t="n">
        <v>72</v>
      </c>
      <c r="D355" s="13" t="s">
        <v>23</v>
      </c>
      <c r="E355" s="13" t="s">
        <v>31</v>
      </c>
      <c r="F355" s="13" t="n">
        <v>0</v>
      </c>
      <c r="G355" s="13" t="n">
        <v>55</v>
      </c>
      <c r="H355" s="13" t="n">
        <v>55</v>
      </c>
      <c r="I355" s="13" t="n">
        <f aca="false">H355-G355</f>
        <v>0</v>
      </c>
      <c r="J355" s="13" t="n">
        <f aca="false">H355-F355</f>
        <v>55</v>
      </c>
    </row>
    <row r="356" customFormat="false" ht="15" hidden="false" customHeight="false" outlineLevel="0" collapsed="false">
      <c r="A356" s="13" t="s">
        <v>81</v>
      </c>
      <c r="B356" s="13" t="s">
        <v>82</v>
      </c>
      <c r="C356" s="13" t="n">
        <v>72</v>
      </c>
      <c r="D356" s="13" t="s">
        <v>23</v>
      </c>
      <c r="E356" s="13" t="s">
        <v>32</v>
      </c>
      <c r="F356" s="13" t="n">
        <v>0</v>
      </c>
      <c r="G356" s="13" t="n">
        <v>72</v>
      </c>
      <c r="H356" s="13" t="n">
        <v>72</v>
      </c>
      <c r="I356" s="13" t="n">
        <f aca="false">H356-G356</f>
        <v>0</v>
      </c>
      <c r="J356" s="13" t="n">
        <f aca="false">H356-F356</f>
        <v>72</v>
      </c>
    </row>
    <row r="357" customFormat="false" ht="15" hidden="false" customHeight="false" outlineLevel="0" collapsed="false">
      <c r="A357" s="13" t="s">
        <v>81</v>
      </c>
      <c r="B357" s="13" t="s">
        <v>82</v>
      </c>
      <c r="C357" s="13" t="n">
        <v>72</v>
      </c>
      <c r="D357" s="13" t="s">
        <v>23</v>
      </c>
      <c r="E357" s="13" t="s">
        <v>33</v>
      </c>
      <c r="F357" s="13" t="n">
        <v>0</v>
      </c>
      <c r="G357" s="13" t="n">
        <v>0</v>
      </c>
      <c r="H357" s="13" t="n">
        <v>0</v>
      </c>
      <c r="I357" s="13" t="n">
        <f aca="false">H357-G357</f>
        <v>0</v>
      </c>
      <c r="J357" s="13" t="n">
        <f aca="false">H357-F357</f>
        <v>0</v>
      </c>
    </row>
    <row r="358" customFormat="false" ht="15" hidden="false" customHeight="false" outlineLevel="0" collapsed="false">
      <c r="A358" s="13" t="s">
        <v>81</v>
      </c>
      <c r="B358" s="13" t="s">
        <v>82</v>
      </c>
      <c r="C358" s="13" t="n">
        <v>72</v>
      </c>
      <c r="D358" s="13" t="s">
        <v>23</v>
      </c>
      <c r="E358" s="13" t="s">
        <v>34</v>
      </c>
      <c r="F358" s="13" t="n">
        <v>3</v>
      </c>
      <c r="G358" s="13" t="n">
        <v>18</v>
      </c>
      <c r="H358" s="13" t="n">
        <v>18</v>
      </c>
      <c r="I358" s="13" t="n">
        <f aca="false">H358-G358</f>
        <v>0</v>
      </c>
      <c r="J358" s="13" t="n">
        <f aca="false">H358-F358</f>
        <v>15</v>
      </c>
    </row>
    <row r="359" customFormat="false" ht="15" hidden="false" customHeight="false" outlineLevel="0" collapsed="false">
      <c r="A359" s="13" t="s">
        <v>81</v>
      </c>
      <c r="B359" s="13" t="s">
        <v>82</v>
      </c>
      <c r="C359" s="13" t="n">
        <v>72</v>
      </c>
      <c r="D359" s="13" t="s">
        <v>23</v>
      </c>
      <c r="E359" s="13" t="s">
        <v>35</v>
      </c>
      <c r="F359" s="13" t="n">
        <v>0</v>
      </c>
      <c r="G359" s="13" t="n">
        <v>0</v>
      </c>
      <c r="H359" s="13" t="n">
        <v>0</v>
      </c>
      <c r="I359" s="13" t="n">
        <f aca="false">H359-G359</f>
        <v>0</v>
      </c>
      <c r="J359" s="13" t="n">
        <f aca="false">H359-F359</f>
        <v>0</v>
      </c>
    </row>
    <row r="360" customFormat="false" ht="15" hidden="false" customHeight="false" outlineLevel="0" collapsed="false">
      <c r="A360" s="13" t="s">
        <v>81</v>
      </c>
      <c r="B360" s="13" t="s">
        <v>82</v>
      </c>
      <c r="C360" s="13" t="n">
        <v>72</v>
      </c>
      <c r="D360" s="13" t="s">
        <v>23</v>
      </c>
      <c r="E360" s="13" t="s">
        <v>36</v>
      </c>
      <c r="F360" s="13" t="n">
        <v>0</v>
      </c>
      <c r="G360" s="13" t="n">
        <v>0</v>
      </c>
      <c r="H360" s="13" t="n">
        <v>0</v>
      </c>
      <c r="I360" s="13" t="n">
        <f aca="false">H360-G360</f>
        <v>0</v>
      </c>
      <c r="J360" s="13" t="n">
        <f aca="false">H360-F360</f>
        <v>0</v>
      </c>
    </row>
    <row r="361" customFormat="false" ht="15" hidden="false" customHeight="false" outlineLevel="0" collapsed="false">
      <c r="A361" s="13" t="s">
        <v>81</v>
      </c>
      <c r="B361" s="13" t="s">
        <v>82</v>
      </c>
      <c r="C361" s="13" t="n">
        <v>72</v>
      </c>
      <c r="D361" s="13" t="s">
        <v>155</v>
      </c>
      <c r="E361" s="13" t="s">
        <v>37</v>
      </c>
      <c r="F361" s="13" t="n">
        <v>1</v>
      </c>
      <c r="G361" s="13" t="n">
        <v>1</v>
      </c>
      <c r="H361" s="13" t="n">
        <v>1</v>
      </c>
      <c r="I361" s="13" t="n">
        <f aca="false">H361-G361</f>
        <v>0</v>
      </c>
      <c r="J361" s="13" t="n">
        <f aca="false">H361-F361</f>
        <v>0</v>
      </c>
    </row>
    <row r="362" customFormat="false" ht="15" hidden="false" customHeight="false" outlineLevel="0" collapsed="false">
      <c r="A362" s="13" t="s">
        <v>81</v>
      </c>
      <c r="B362" s="13" t="s">
        <v>82</v>
      </c>
      <c r="C362" s="13" t="n">
        <v>72</v>
      </c>
      <c r="D362" s="13" t="s">
        <v>155</v>
      </c>
      <c r="E362" s="13" t="s">
        <v>39</v>
      </c>
      <c r="F362" s="13" t="n">
        <v>1</v>
      </c>
      <c r="G362" s="13" t="n">
        <v>1</v>
      </c>
      <c r="H362" s="13" t="n">
        <v>1</v>
      </c>
      <c r="I362" s="13" t="n">
        <f aca="false">H362-G362</f>
        <v>0</v>
      </c>
      <c r="J362" s="13" t="n">
        <f aca="false">H362-F362</f>
        <v>0</v>
      </c>
    </row>
    <row r="363" customFormat="false" ht="15" hidden="false" customHeight="false" outlineLevel="0" collapsed="false">
      <c r="A363" s="13" t="s">
        <v>81</v>
      </c>
      <c r="B363" s="13" t="s">
        <v>82</v>
      </c>
      <c r="C363" s="13" t="n">
        <v>72</v>
      </c>
      <c r="D363" s="13" t="s">
        <v>155</v>
      </c>
      <c r="E363" s="13" t="s">
        <v>40</v>
      </c>
      <c r="F363" s="13" t="n">
        <v>1</v>
      </c>
      <c r="G363" s="13" t="n">
        <v>1</v>
      </c>
      <c r="H363" s="13" t="n">
        <v>1</v>
      </c>
      <c r="I363" s="13" t="n">
        <f aca="false">H363-G363</f>
        <v>0</v>
      </c>
      <c r="J363" s="13" t="n">
        <f aca="false">H363-F363</f>
        <v>0</v>
      </c>
    </row>
    <row r="364" customFormat="false" ht="15" hidden="false" customHeight="false" outlineLevel="0" collapsed="false">
      <c r="A364" s="13" t="s">
        <v>81</v>
      </c>
      <c r="B364" s="13" t="s">
        <v>82</v>
      </c>
      <c r="C364" s="13" t="n">
        <v>72</v>
      </c>
      <c r="D364" s="13" t="s">
        <v>155</v>
      </c>
      <c r="E364" s="13" t="s">
        <v>41</v>
      </c>
      <c r="F364" s="13" t="n">
        <v>0</v>
      </c>
      <c r="G364" s="13" t="n">
        <v>0</v>
      </c>
      <c r="H364" s="13" t="n">
        <v>0</v>
      </c>
      <c r="I364" s="13" t="n">
        <f aca="false">H364-G364</f>
        <v>0</v>
      </c>
      <c r="J364" s="13" t="n">
        <f aca="false">H364-F364</f>
        <v>0</v>
      </c>
    </row>
    <row r="365" customFormat="false" ht="15" hidden="false" customHeight="false" outlineLevel="0" collapsed="false">
      <c r="A365" s="13" t="s">
        <v>81</v>
      </c>
      <c r="B365" s="13" t="s">
        <v>82</v>
      </c>
      <c r="C365" s="13" t="n">
        <v>72</v>
      </c>
      <c r="D365" s="13" t="s">
        <v>155</v>
      </c>
      <c r="E365" s="13" t="s">
        <v>42</v>
      </c>
      <c r="F365" s="13" t="n">
        <v>1</v>
      </c>
      <c r="G365" s="13" t="n">
        <v>1</v>
      </c>
      <c r="H365" s="13" t="n">
        <v>1</v>
      </c>
      <c r="I365" s="13" t="n">
        <f aca="false">H365-G365</f>
        <v>0</v>
      </c>
      <c r="J365" s="13" t="n">
        <f aca="false">H365-F365</f>
        <v>0</v>
      </c>
    </row>
    <row r="366" customFormat="false" ht="15" hidden="false" customHeight="false" outlineLevel="0" collapsed="false">
      <c r="A366" s="13" t="s">
        <v>81</v>
      </c>
      <c r="B366" s="13" t="s">
        <v>82</v>
      </c>
      <c r="C366" s="13" t="n">
        <v>72</v>
      </c>
      <c r="D366" s="13" t="s">
        <v>155</v>
      </c>
      <c r="E366" s="13" t="s">
        <v>43</v>
      </c>
      <c r="F366" s="13" t="n">
        <v>1</v>
      </c>
      <c r="G366" s="13" t="n">
        <v>1</v>
      </c>
      <c r="H366" s="13" t="n">
        <v>1</v>
      </c>
      <c r="I366" s="13" t="n">
        <f aca="false">H366-G366</f>
        <v>0</v>
      </c>
      <c r="J366" s="13" t="n">
        <f aca="false">H366-F366</f>
        <v>0</v>
      </c>
    </row>
    <row r="367" customFormat="false" ht="15" hidden="false" customHeight="false" outlineLevel="0" collapsed="false">
      <c r="A367" s="13" t="s">
        <v>81</v>
      </c>
      <c r="B367" s="13" t="s">
        <v>82</v>
      </c>
      <c r="C367" s="13" t="n">
        <v>72</v>
      </c>
      <c r="D367" s="13" t="s">
        <v>155</v>
      </c>
      <c r="E367" s="13" t="s">
        <v>44</v>
      </c>
      <c r="F367" s="13" t="n">
        <v>1</v>
      </c>
      <c r="G367" s="13" t="n">
        <v>1</v>
      </c>
      <c r="H367" s="13" t="n">
        <v>1</v>
      </c>
      <c r="I367" s="13" t="n">
        <f aca="false">H367-G367</f>
        <v>0</v>
      </c>
      <c r="J367" s="13" t="n">
        <f aca="false">H367-F367</f>
        <v>0</v>
      </c>
    </row>
    <row r="368" customFormat="false" ht="15" hidden="false" customHeight="false" outlineLevel="0" collapsed="false">
      <c r="A368" s="13" t="s">
        <v>81</v>
      </c>
      <c r="B368" s="13" t="s">
        <v>82</v>
      </c>
      <c r="C368" s="13" t="n">
        <v>72</v>
      </c>
      <c r="D368" s="13" t="s">
        <v>155</v>
      </c>
      <c r="E368" s="13" t="s">
        <v>45</v>
      </c>
      <c r="F368" s="13" t="n">
        <v>0</v>
      </c>
      <c r="G368" s="13" t="n">
        <v>0</v>
      </c>
      <c r="H368" s="13" t="n">
        <v>0</v>
      </c>
      <c r="I368" s="13" t="n">
        <f aca="false">H368-G368</f>
        <v>0</v>
      </c>
      <c r="J368" s="13" t="n">
        <f aca="false">H368-F368</f>
        <v>0</v>
      </c>
    </row>
    <row r="369" customFormat="false" ht="15" hidden="false" customHeight="false" outlineLevel="0" collapsed="false">
      <c r="A369" s="13" t="s">
        <v>81</v>
      </c>
      <c r="B369" s="13" t="s">
        <v>82</v>
      </c>
      <c r="C369" s="13" t="n">
        <v>72</v>
      </c>
      <c r="D369" s="13" t="s">
        <v>155</v>
      </c>
      <c r="E369" s="13" t="s">
        <v>46</v>
      </c>
      <c r="F369" s="13" t="n">
        <v>0</v>
      </c>
      <c r="G369" s="13" t="n">
        <v>0</v>
      </c>
      <c r="H369" s="13" t="n">
        <v>0</v>
      </c>
      <c r="I369" s="13" t="n">
        <f aca="false">H369-G369</f>
        <v>0</v>
      </c>
      <c r="J369" s="13" t="n">
        <f aca="false">H369-F369</f>
        <v>0</v>
      </c>
    </row>
    <row r="370" customFormat="false" ht="15" hidden="false" customHeight="false" outlineLevel="0" collapsed="false">
      <c r="A370" s="13" t="s">
        <v>83</v>
      </c>
      <c r="B370" s="13" t="s">
        <v>84</v>
      </c>
      <c r="C370" s="13" t="n">
        <v>61</v>
      </c>
      <c r="D370" s="13" t="s">
        <v>23</v>
      </c>
      <c r="E370" s="13" t="s">
        <v>22</v>
      </c>
      <c r="F370" s="13" t="n">
        <v>72</v>
      </c>
      <c r="G370" s="13" t="n">
        <v>57</v>
      </c>
      <c r="H370" s="13" t="n">
        <v>57</v>
      </c>
      <c r="I370" s="13" t="n">
        <f aca="false">H370-G370</f>
        <v>0</v>
      </c>
      <c r="J370" s="13" t="n">
        <f aca="false">H370-F370</f>
        <v>-15</v>
      </c>
    </row>
    <row r="371" customFormat="false" ht="15" hidden="false" customHeight="false" outlineLevel="0" collapsed="false">
      <c r="A371" s="13" t="s">
        <v>83</v>
      </c>
      <c r="B371" s="13" t="s">
        <v>84</v>
      </c>
      <c r="C371" s="13" t="n">
        <v>61</v>
      </c>
      <c r="D371" s="13" t="s">
        <v>23</v>
      </c>
      <c r="E371" s="13" t="s">
        <v>24</v>
      </c>
      <c r="F371" s="13" t="n">
        <v>12</v>
      </c>
      <c r="G371" s="13" t="n">
        <v>61</v>
      </c>
      <c r="H371" s="13" t="n">
        <v>61</v>
      </c>
      <c r="I371" s="13" t="n">
        <f aca="false">H371-G371</f>
        <v>0</v>
      </c>
      <c r="J371" s="13" t="n">
        <f aca="false">H371-F371</f>
        <v>49</v>
      </c>
    </row>
    <row r="372" customFormat="false" ht="15" hidden="false" customHeight="false" outlineLevel="0" collapsed="false">
      <c r="A372" s="13" t="s">
        <v>83</v>
      </c>
      <c r="B372" s="13" t="s">
        <v>84</v>
      </c>
      <c r="C372" s="13" t="n">
        <v>61</v>
      </c>
      <c r="D372" s="13" t="s">
        <v>23</v>
      </c>
      <c r="E372" s="13" t="s">
        <v>25</v>
      </c>
      <c r="F372" s="13" t="n">
        <v>130</v>
      </c>
      <c r="G372" s="13" t="n">
        <v>60</v>
      </c>
      <c r="H372" s="13" t="n">
        <v>60</v>
      </c>
      <c r="I372" s="13" t="n">
        <f aca="false">H372-G372</f>
        <v>0</v>
      </c>
      <c r="J372" s="13" t="n">
        <f aca="false">H372-F372</f>
        <v>-70</v>
      </c>
    </row>
    <row r="373" customFormat="false" ht="15" hidden="false" customHeight="false" outlineLevel="0" collapsed="false">
      <c r="A373" s="13" t="s">
        <v>83</v>
      </c>
      <c r="B373" s="13" t="s">
        <v>84</v>
      </c>
      <c r="C373" s="13" t="n">
        <v>61</v>
      </c>
      <c r="D373" s="13" t="s">
        <v>23</v>
      </c>
      <c r="E373" s="13" t="s">
        <v>26</v>
      </c>
      <c r="F373" s="13" t="n">
        <v>0</v>
      </c>
      <c r="G373" s="13" t="n">
        <v>0</v>
      </c>
      <c r="H373" s="13" t="n">
        <v>0</v>
      </c>
      <c r="I373" s="13" t="n">
        <f aca="false">H373-G373</f>
        <v>0</v>
      </c>
      <c r="J373" s="13" t="n">
        <f aca="false">H373-F373</f>
        <v>0</v>
      </c>
    </row>
    <row r="374" customFormat="false" ht="15" hidden="false" customHeight="false" outlineLevel="0" collapsed="false">
      <c r="A374" s="13" t="s">
        <v>83</v>
      </c>
      <c r="B374" s="13" t="s">
        <v>84</v>
      </c>
      <c r="C374" s="13" t="n">
        <v>61</v>
      </c>
      <c r="D374" s="13" t="s">
        <v>23</v>
      </c>
      <c r="E374" s="13" t="s">
        <v>27</v>
      </c>
      <c r="F374" s="13" t="n">
        <v>116</v>
      </c>
      <c r="G374" s="13" t="n">
        <v>57</v>
      </c>
      <c r="H374" s="13" t="n">
        <v>57</v>
      </c>
      <c r="I374" s="13" t="n">
        <f aca="false">H374-G374</f>
        <v>0</v>
      </c>
      <c r="J374" s="13" t="n">
        <f aca="false">H374-F374</f>
        <v>-59</v>
      </c>
    </row>
    <row r="375" customFormat="false" ht="15" hidden="false" customHeight="false" outlineLevel="0" collapsed="false">
      <c r="A375" s="13" t="s">
        <v>83</v>
      </c>
      <c r="B375" s="13" t="s">
        <v>84</v>
      </c>
      <c r="C375" s="13" t="n">
        <v>61</v>
      </c>
      <c r="D375" s="13" t="s">
        <v>23</v>
      </c>
      <c r="E375" s="13" t="s">
        <v>28</v>
      </c>
      <c r="F375" s="13" t="n">
        <v>119</v>
      </c>
      <c r="G375" s="13" t="n">
        <v>57</v>
      </c>
      <c r="H375" s="13" t="n">
        <v>57</v>
      </c>
      <c r="I375" s="13" t="n">
        <f aca="false">H375-G375</f>
        <v>0</v>
      </c>
      <c r="J375" s="13" t="n">
        <f aca="false">H375-F375</f>
        <v>-62</v>
      </c>
    </row>
    <row r="376" customFormat="false" ht="15" hidden="false" customHeight="false" outlineLevel="0" collapsed="false">
      <c r="A376" s="13" t="s">
        <v>83</v>
      </c>
      <c r="B376" s="13" t="s">
        <v>84</v>
      </c>
      <c r="C376" s="13" t="n">
        <v>61</v>
      </c>
      <c r="D376" s="13" t="s">
        <v>23</v>
      </c>
      <c r="E376" s="13" t="s">
        <v>29</v>
      </c>
      <c r="F376" s="13" t="n">
        <v>119</v>
      </c>
      <c r="G376" s="13" t="n">
        <v>57</v>
      </c>
      <c r="H376" s="13" t="n">
        <v>57</v>
      </c>
      <c r="I376" s="13" t="n">
        <f aca="false">H376-G376</f>
        <v>0</v>
      </c>
      <c r="J376" s="13" t="n">
        <f aca="false">H376-F376</f>
        <v>-62</v>
      </c>
    </row>
    <row r="377" customFormat="false" ht="15" hidden="false" customHeight="false" outlineLevel="0" collapsed="false">
      <c r="A377" s="13" t="s">
        <v>83</v>
      </c>
      <c r="B377" s="13" t="s">
        <v>84</v>
      </c>
      <c r="C377" s="13" t="n">
        <v>61</v>
      </c>
      <c r="D377" s="13" t="s">
        <v>23</v>
      </c>
      <c r="E377" s="13" t="s">
        <v>30</v>
      </c>
      <c r="F377" s="13" t="n">
        <v>136</v>
      </c>
      <c r="G377" s="13" t="n">
        <v>61</v>
      </c>
      <c r="H377" s="13" t="n">
        <v>61</v>
      </c>
      <c r="I377" s="13" t="n">
        <f aca="false">H377-G377</f>
        <v>0</v>
      </c>
      <c r="J377" s="13" t="n">
        <f aca="false">H377-F377</f>
        <v>-75</v>
      </c>
    </row>
    <row r="378" customFormat="false" ht="15" hidden="false" customHeight="false" outlineLevel="0" collapsed="false">
      <c r="A378" s="13" t="s">
        <v>83</v>
      </c>
      <c r="B378" s="13" t="s">
        <v>84</v>
      </c>
      <c r="C378" s="13" t="n">
        <v>61</v>
      </c>
      <c r="D378" s="13" t="s">
        <v>23</v>
      </c>
      <c r="E378" s="13" t="s">
        <v>31</v>
      </c>
      <c r="F378" s="13" t="n">
        <v>65</v>
      </c>
      <c r="G378" s="13" t="n">
        <v>55</v>
      </c>
      <c r="H378" s="13" t="n">
        <v>55</v>
      </c>
      <c r="I378" s="13" t="n">
        <f aca="false">H378-G378</f>
        <v>0</v>
      </c>
      <c r="J378" s="13" t="n">
        <f aca="false">H378-F378</f>
        <v>-10</v>
      </c>
    </row>
    <row r="379" customFormat="false" ht="15" hidden="false" customHeight="false" outlineLevel="0" collapsed="false">
      <c r="A379" s="13" t="s">
        <v>83</v>
      </c>
      <c r="B379" s="13" t="s">
        <v>84</v>
      </c>
      <c r="C379" s="13" t="n">
        <v>61</v>
      </c>
      <c r="D379" s="13" t="s">
        <v>23</v>
      </c>
      <c r="E379" s="13" t="s">
        <v>32</v>
      </c>
      <c r="F379" s="13" t="n">
        <v>0</v>
      </c>
      <c r="G379" s="13" t="n">
        <v>0</v>
      </c>
      <c r="H379" s="13" t="n">
        <v>0</v>
      </c>
      <c r="I379" s="13" t="n">
        <f aca="false">H379-G379</f>
        <v>0</v>
      </c>
      <c r="J379" s="13" t="n">
        <f aca="false">H379-F379</f>
        <v>0</v>
      </c>
    </row>
    <row r="380" customFormat="false" ht="15" hidden="false" customHeight="false" outlineLevel="0" collapsed="false">
      <c r="A380" s="13" t="s">
        <v>83</v>
      </c>
      <c r="B380" s="13" t="s">
        <v>84</v>
      </c>
      <c r="C380" s="13" t="n">
        <v>61</v>
      </c>
      <c r="D380" s="13" t="s">
        <v>23</v>
      </c>
      <c r="E380" s="13" t="s">
        <v>33</v>
      </c>
      <c r="F380" s="13" t="n">
        <v>0</v>
      </c>
      <c r="G380" s="13" t="n">
        <v>0</v>
      </c>
      <c r="H380" s="13" t="n">
        <v>0</v>
      </c>
      <c r="I380" s="13" t="n">
        <f aca="false">H380-G380</f>
        <v>0</v>
      </c>
      <c r="J380" s="13" t="n">
        <f aca="false">H380-F380</f>
        <v>0</v>
      </c>
    </row>
    <row r="381" customFormat="false" ht="15" hidden="false" customHeight="false" outlineLevel="0" collapsed="false">
      <c r="A381" s="13" t="s">
        <v>83</v>
      </c>
      <c r="B381" s="13" t="s">
        <v>84</v>
      </c>
      <c r="C381" s="13" t="n">
        <v>61</v>
      </c>
      <c r="D381" s="13" t="s">
        <v>23</v>
      </c>
      <c r="E381" s="13" t="s">
        <v>34</v>
      </c>
      <c r="F381" s="13" t="n">
        <v>0</v>
      </c>
      <c r="G381" s="13" t="n">
        <v>0</v>
      </c>
      <c r="H381" s="13" t="n">
        <v>0</v>
      </c>
      <c r="I381" s="13" t="n">
        <f aca="false">H381-G381</f>
        <v>0</v>
      </c>
      <c r="J381" s="13" t="n">
        <f aca="false">H381-F381</f>
        <v>0</v>
      </c>
    </row>
    <row r="382" customFormat="false" ht="15" hidden="false" customHeight="false" outlineLevel="0" collapsed="false">
      <c r="A382" s="13" t="s">
        <v>83</v>
      </c>
      <c r="B382" s="13" t="s">
        <v>84</v>
      </c>
      <c r="C382" s="13" t="n">
        <v>61</v>
      </c>
      <c r="D382" s="13" t="s">
        <v>23</v>
      </c>
      <c r="E382" s="13" t="s">
        <v>35</v>
      </c>
      <c r="F382" s="13" t="n">
        <v>0</v>
      </c>
      <c r="G382" s="13" t="n">
        <v>0</v>
      </c>
      <c r="H382" s="13" t="n">
        <v>0</v>
      </c>
      <c r="I382" s="13" t="n">
        <f aca="false">H382-G382</f>
        <v>0</v>
      </c>
      <c r="J382" s="13" t="n">
        <f aca="false">H382-F382</f>
        <v>0</v>
      </c>
    </row>
    <row r="383" customFormat="false" ht="15" hidden="false" customHeight="false" outlineLevel="0" collapsed="false">
      <c r="A383" s="13" t="s">
        <v>83</v>
      </c>
      <c r="B383" s="13" t="s">
        <v>84</v>
      </c>
      <c r="C383" s="13" t="n">
        <v>61</v>
      </c>
      <c r="D383" s="13" t="s">
        <v>23</v>
      </c>
      <c r="E383" s="13" t="s">
        <v>36</v>
      </c>
      <c r="F383" s="13" t="n">
        <v>0</v>
      </c>
      <c r="G383" s="13" t="n">
        <v>0</v>
      </c>
      <c r="H383" s="13" t="n">
        <v>0</v>
      </c>
      <c r="I383" s="13" t="n">
        <f aca="false">H383-G383</f>
        <v>0</v>
      </c>
      <c r="J383" s="13" t="n">
        <f aca="false">H383-F383</f>
        <v>0</v>
      </c>
    </row>
    <row r="384" customFormat="false" ht="15" hidden="false" customHeight="false" outlineLevel="0" collapsed="false">
      <c r="A384" s="13" t="s">
        <v>83</v>
      </c>
      <c r="B384" s="13" t="s">
        <v>84</v>
      </c>
      <c r="C384" s="13" t="n">
        <v>61</v>
      </c>
      <c r="D384" s="13" t="s">
        <v>155</v>
      </c>
      <c r="E384" s="13" t="s">
        <v>37</v>
      </c>
      <c r="F384" s="13" t="n">
        <v>1</v>
      </c>
      <c r="G384" s="13" t="n">
        <v>1</v>
      </c>
      <c r="H384" s="13" t="n">
        <v>1</v>
      </c>
      <c r="I384" s="13" t="n">
        <f aca="false">H384-G384</f>
        <v>0</v>
      </c>
      <c r="J384" s="13" t="n">
        <f aca="false">H384-F384</f>
        <v>0</v>
      </c>
    </row>
    <row r="385" customFormat="false" ht="15" hidden="false" customHeight="false" outlineLevel="0" collapsed="false">
      <c r="A385" s="13" t="s">
        <v>83</v>
      </c>
      <c r="B385" s="13" t="s">
        <v>84</v>
      </c>
      <c r="C385" s="13" t="n">
        <v>61</v>
      </c>
      <c r="D385" s="13" t="s">
        <v>155</v>
      </c>
      <c r="E385" s="13" t="s">
        <v>39</v>
      </c>
      <c r="F385" s="13" t="n">
        <v>1</v>
      </c>
      <c r="G385" s="13" t="n">
        <v>1</v>
      </c>
      <c r="H385" s="13" t="n">
        <v>1</v>
      </c>
      <c r="I385" s="13" t="n">
        <f aca="false">H385-G385</f>
        <v>0</v>
      </c>
      <c r="J385" s="13" t="n">
        <f aca="false">H385-F385</f>
        <v>0</v>
      </c>
    </row>
    <row r="386" customFormat="false" ht="15" hidden="false" customHeight="false" outlineLevel="0" collapsed="false">
      <c r="A386" s="13" t="s">
        <v>83</v>
      </c>
      <c r="B386" s="13" t="s">
        <v>84</v>
      </c>
      <c r="C386" s="13" t="n">
        <v>61</v>
      </c>
      <c r="D386" s="13" t="s">
        <v>155</v>
      </c>
      <c r="E386" s="13" t="s">
        <v>40</v>
      </c>
      <c r="F386" s="13" t="n">
        <v>1</v>
      </c>
      <c r="G386" s="13" t="n">
        <v>1</v>
      </c>
      <c r="H386" s="13" t="n">
        <v>1</v>
      </c>
      <c r="I386" s="13" t="n">
        <f aca="false">H386-G386</f>
        <v>0</v>
      </c>
      <c r="J386" s="13" t="n">
        <f aca="false">H386-F386</f>
        <v>0</v>
      </c>
    </row>
    <row r="387" customFormat="false" ht="15" hidden="false" customHeight="false" outlineLevel="0" collapsed="false">
      <c r="A387" s="13" t="s">
        <v>83</v>
      </c>
      <c r="B387" s="13" t="s">
        <v>84</v>
      </c>
      <c r="C387" s="13" t="n">
        <v>61</v>
      </c>
      <c r="D387" s="13" t="s">
        <v>155</v>
      </c>
      <c r="E387" s="13" t="s">
        <v>41</v>
      </c>
      <c r="F387" s="13" t="n">
        <v>0</v>
      </c>
      <c r="G387" s="13" t="n">
        <v>0</v>
      </c>
      <c r="H387" s="13" t="n">
        <v>0</v>
      </c>
      <c r="I387" s="13" t="n">
        <f aca="false">H387-G387</f>
        <v>0</v>
      </c>
      <c r="J387" s="13" t="n">
        <f aca="false">H387-F387</f>
        <v>0</v>
      </c>
    </row>
    <row r="388" customFormat="false" ht="15" hidden="false" customHeight="false" outlineLevel="0" collapsed="false">
      <c r="A388" s="13" t="s">
        <v>83</v>
      </c>
      <c r="B388" s="13" t="s">
        <v>84</v>
      </c>
      <c r="C388" s="13" t="n">
        <v>61</v>
      </c>
      <c r="D388" s="13" t="s">
        <v>155</v>
      </c>
      <c r="E388" s="13" t="s">
        <v>42</v>
      </c>
      <c r="F388" s="13" t="n">
        <v>1</v>
      </c>
      <c r="G388" s="13" t="n">
        <v>1</v>
      </c>
      <c r="H388" s="13" t="n">
        <v>1</v>
      </c>
      <c r="I388" s="13" t="n">
        <f aca="false">H388-G388</f>
        <v>0</v>
      </c>
      <c r="J388" s="13" t="n">
        <f aca="false">H388-F388</f>
        <v>0</v>
      </c>
    </row>
    <row r="389" customFormat="false" ht="15" hidden="false" customHeight="false" outlineLevel="0" collapsed="false">
      <c r="A389" s="13" t="s">
        <v>83</v>
      </c>
      <c r="B389" s="13" t="s">
        <v>84</v>
      </c>
      <c r="C389" s="13" t="n">
        <v>61</v>
      </c>
      <c r="D389" s="13" t="s">
        <v>155</v>
      </c>
      <c r="E389" s="13" t="s">
        <v>43</v>
      </c>
      <c r="F389" s="13" t="n">
        <v>0</v>
      </c>
      <c r="G389" s="13" t="n">
        <v>0</v>
      </c>
      <c r="H389" s="13" t="n">
        <v>0</v>
      </c>
      <c r="I389" s="13" t="n">
        <f aca="false">H389-G389</f>
        <v>0</v>
      </c>
      <c r="J389" s="13" t="n">
        <f aca="false">H389-F389</f>
        <v>0</v>
      </c>
    </row>
    <row r="390" customFormat="false" ht="15" hidden="false" customHeight="false" outlineLevel="0" collapsed="false">
      <c r="A390" s="13" t="s">
        <v>83</v>
      </c>
      <c r="B390" s="13" t="s">
        <v>84</v>
      </c>
      <c r="C390" s="13" t="n">
        <v>61</v>
      </c>
      <c r="D390" s="13" t="s">
        <v>155</v>
      </c>
      <c r="E390" s="13" t="s">
        <v>44</v>
      </c>
      <c r="F390" s="13" t="n">
        <v>0</v>
      </c>
      <c r="G390" s="13" t="n">
        <v>0</v>
      </c>
      <c r="H390" s="13" t="n">
        <v>0</v>
      </c>
      <c r="I390" s="13" t="n">
        <f aca="false">H390-G390</f>
        <v>0</v>
      </c>
      <c r="J390" s="13" t="n">
        <f aca="false">H390-F390</f>
        <v>0</v>
      </c>
    </row>
    <row r="391" customFormat="false" ht="15" hidden="false" customHeight="false" outlineLevel="0" collapsed="false">
      <c r="A391" s="13" t="s">
        <v>83</v>
      </c>
      <c r="B391" s="13" t="s">
        <v>84</v>
      </c>
      <c r="C391" s="13" t="n">
        <v>61</v>
      </c>
      <c r="D391" s="13" t="s">
        <v>155</v>
      </c>
      <c r="E391" s="13" t="s">
        <v>45</v>
      </c>
      <c r="F391" s="13" t="n">
        <v>0</v>
      </c>
      <c r="G391" s="13" t="n">
        <v>0</v>
      </c>
      <c r="H391" s="13" t="n">
        <v>0</v>
      </c>
      <c r="I391" s="13" t="n">
        <f aca="false">H391-G391</f>
        <v>0</v>
      </c>
      <c r="J391" s="13" t="n">
        <f aca="false">H391-F391</f>
        <v>0</v>
      </c>
    </row>
    <row r="392" customFormat="false" ht="15" hidden="false" customHeight="false" outlineLevel="0" collapsed="false">
      <c r="A392" s="13" t="s">
        <v>83</v>
      </c>
      <c r="B392" s="13" t="s">
        <v>84</v>
      </c>
      <c r="C392" s="13" t="n">
        <v>61</v>
      </c>
      <c r="D392" s="13" t="s">
        <v>155</v>
      </c>
      <c r="E392" s="13" t="s">
        <v>46</v>
      </c>
      <c r="F392" s="13" t="n">
        <v>0</v>
      </c>
      <c r="G392" s="13" t="n">
        <v>0</v>
      </c>
      <c r="H392" s="13" t="n">
        <v>0</v>
      </c>
      <c r="I392" s="13" t="n">
        <f aca="false">H392-G392</f>
        <v>0</v>
      </c>
      <c r="J392" s="13" t="n">
        <f aca="false">H392-F392</f>
        <v>0</v>
      </c>
    </row>
    <row r="393" customFormat="false" ht="15" hidden="false" customHeight="false" outlineLevel="0" collapsed="false">
      <c r="A393" s="13" t="s">
        <v>85</v>
      </c>
      <c r="B393" s="13" t="s">
        <v>86</v>
      </c>
      <c r="C393" s="13" t="n">
        <v>58</v>
      </c>
      <c r="D393" s="13" t="s">
        <v>23</v>
      </c>
      <c r="E393" s="13" t="s">
        <v>22</v>
      </c>
      <c r="F393" s="13" t="n">
        <v>33</v>
      </c>
      <c r="G393" s="13" t="n">
        <v>54</v>
      </c>
      <c r="H393" s="13" t="n">
        <v>54</v>
      </c>
      <c r="I393" s="13" t="n">
        <f aca="false">H393-G393</f>
        <v>0</v>
      </c>
      <c r="J393" s="13" t="n">
        <f aca="false">H393-F393</f>
        <v>21</v>
      </c>
    </row>
    <row r="394" customFormat="false" ht="15" hidden="false" customHeight="false" outlineLevel="0" collapsed="false">
      <c r="A394" s="13" t="s">
        <v>85</v>
      </c>
      <c r="B394" s="13" t="s">
        <v>86</v>
      </c>
      <c r="C394" s="13" t="n">
        <v>58</v>
      </c>
      <c r="D394" s="13" t="s">
        <v>23</v>
      </c>
      <c r="E394" s="13" t="s">
        <v>24</v>
      </c>
      <c r="F394" s="13" t="n">
        <v>8</v>
      </c>
      <c r="G394" s="13" t="n">
        <v>58</v>
      </c>
      <c r="H394" s="13" t="n">
        <v>58</v>
      </c>
      <c r="I394" s="13" t="n">
        <f aca="false">H394-G394</f>
        <v>0</v>
      </c>
      <c r="J394" s="13" t="n">
        <f aca="false">H394-F394</f>
        <v>50</v>
      </c>
    </row>
    <row r="395" customFormat="false" ht="15" hidden="false" customHeight="false" outlineLevel="0" collapsed="false">
      <c r="A395" s="13" t="s">
        <v>85</v>
      </c>
      <c r="B395" s="13" t="s">
        <v>86</v>
      </c>
      <c r="C395" s="13" t="n">
        <v>58</v>
      </c>
      <c r="D395" s="13" t="s">
        <v>23</v>
      </c>
      <c r="E395" s="13" t="s">
        <v>25</v>
      </c>
      <c r="F395" s="13" t="n">
        <v>88</v>
      </c>
      <c r="G395" s="13" t="n">
        <v>58</v>
      </c>
      <c r="H395" s="13" t="n">
        <v>58</v>
      </c>
      <c r="I395" s="13" t="n">
        <f aca="false">H395-G395</f>
        <v>0</v>
      </c>
      <c r="J395" s="13" t="n">
        <f aca="false">H395-F395</f>
        <v>-30</v>
      </c>
    </row>
    <row r="396" customFormat="false" ht="15" hidden="false" customHeight="false" outlineLevel="0" collapsed="false">
      <c r="A396" s="13" t="s">
        <v>85</v>
      </c>
      <c r="B396" s="13" t="s">
        <v>86</v>
      </c>
      <c r="C396" s="13" t="n">
        <v>58</v>
      </c>
      <c r="D396" s="13" t="s">
        <v>23</v>
      </c>
      <c r="E396" s="13" t="s">
        <v>26</v>
      </c>
      <c r="F396" s="13" t="n">
        <v>7</v>
      </c>
      <c r="G396" s="13" t="n">
        <v>8</v>
      </c>
      <c r="H396" s="13" t="n">
        <v>8</v>
      </c>
      <c r="I396" s="13" t="n">
        <f aca="false">H396-G396</f>
        <v>0</v>
      </c>
      <c r="J396" s="13" t="n">
        <f aca="false">H396-F396</f>
        <v>1</v>
      </c>
    </row>
    <row r="397" customFormat="false" ht="15" hidden="false" customHeight="false" outlineLevel="0" collapsed="false">
      <c r="A397" s="13" t="s">
        <v>85</v>
      </c>
      <c r="B397" s="13" t="s">
        <v>86</v>
      </c>
      <c r="C397" s="13" t="n">
        <v>58</v>
      </c>
      <c r="D397" s="13" t="s">
        <v>23</v>
      </c>
      <c r="E397" s="13" t="s">
        <v>27</v>
      </c>
      <c r="F397" s="13" t="n">
        <v>82</v>
      </c>
      <c r="G397" s="13" t="n">
        <v>57</v>
      </c>
      <c r="H397" s="13" t="n">
        <v>57</v>
      </c>
      <c r="I397" s="13" t="n">
        <f aca="false">H397-G397</f>
        <v>0</v>
      </c>
      <c r="J397" s="13" t="n">
        <f aca="false">H397-F397</f>
        <v>-25</v>
      </c>
    </row>
    <row r="398" customFormat="false" ht="15" hidden="false" customHeight="false" outlineLevel="0" collapsed="false">
      <c r="A398" s="13" t="s">
        <v>85</v>
      </c>
      <c r="B398" s="13" t="s">
        <v>86</v>
      </c>
      <c r="C398" s="13" t="n">
        <v>58</v>
      </c>
      <c r="D398" s="13" t="s">
        <v>23</v>
      </c>
      <c r="E398" s="13" t="s">
        <v>28</v>
      </c>
      <c r="F398" s="13" t="n">
        <v>36</v>
      </c>
      <c r="G398" s="13" t="n">
        <v>49</v>
      </c>
      <c r="H398" s="13" t="n">
        <v>49</v>
      </c>
      <c r="I398" s="13" t="n">
        <f aca="false">H398-G398</f>
        <v>0</v>
      </c>
      <c r="J398" s="13" t="n">
        <f aca="false">H398-F398</f>
        <v>13</v>
      </c>
    </row>
    <row r="399" customFormat="false" ht="15" hidden="false" customHeight="false" outlineLevel="0" collapsed="false">
      <c r="A399" s="13" t="s">
        <v>85</v>
      </c>
      <c r="B399" s="13" t="s">
        <v>86</v>
      </c>
      <c r="C399" s="13" t="n">
        <v>58</v>
      </c>
      <c r="D399" s="13" t="s">
        <v>23</v>
      </c>
      <c r="E399" s="13" t="s">
        <v>29</v>
      </c>
      <c r="F399" s="13" t="n">
        <v>36</v>
      </c>
      <c r="G399" s="13" t="n">
        <v>49</v>
      </c>
      <c r="H399" s="13" t="n">
        <v>49</v>
      </c>
      <c r="I399" s="13" t="n">
        <f aca="false">H399-G399</f>
        <v>0</v>
      </c>
      <c r="J399" s="13" t="n">
        <f aca="false">H399-F399</f>
        <v>13</v>
      </c>
    </row>
    <row r="400" customFormat="false" ht="15" hidden="false" customHeight="false" outlineLevel="0" collapsed="false">
      <c r="A400" s="13" t="s">
        <v>85</v>
      </c>
      <c r="B400" s="13" t="s">
        <v>86</v>
      </c>
      <c r="C400" s="13" t="n">
        <v>58</v>
      </c>
      <c r="D400" s="13" t="s">
        <v>23</v>
      </c>
      <c r="E400" s="13" t="s">
        <v>30</v>
      </c>
      <c r="F400" s="13" t="n">
        <v>88</v>
      </c>
      <c r="G400" s="13" t="n">
        <v>58</v>
      </c>
      <c r="H400" s="13" t="n">
        <v>58</v>
      </c>
      <c r="I400" s="13" t="n">
        <f aca="false">H400-G400</f>
        <v>0</v>
      </c>
      <c r="J400" s="13" t="n">
        <f aca="false">H400-F400</f>
        <v>-30</v>
      </c>
    </row>
    <row r="401" customFormat="false" ht="15" hidden="false" customHeight="false" outlineLevel="0" collapsed="false">
      <c r="A401" s="13" t="s">
        <v>85</v>
      </c>
      <c r="B401" s="13" t="s">
        <v>86</v>
      </c>
      <c r="C401" s="13" t="n">
        <v>58</v>
      </c>
      <c r="D401" s="13" t="s">
        <v>23</v>
      </c>
      <c r="E401" s="13" t="s">
        <v>31</v>
      </c>
      <c r="F401" s="13" t="n">
        <v>0</v>
      </c>
      <c r="G401" s="13" t="n">
        <v>0</v>
      </c>
      <c r="H401" s="13" t="n">
        <v>0</v>
      </c>
      <c r="I401" s="13" t="n">
        <f aca="false">H401-G401</f>
        <v>0</v>
      </c>
      <c r="J401" s="13" t="n">
        <f aca="false">H401-F401</f>
        <v>0</v>
      </c>
    </row>
    <row r="402" customFormat="false" ht="15" hidden="false" customHeight="false" outlineLevel="0" collapsed="false">
      <c r="A402" s="13" t="s">
        <v>85</v>
      </c>
      <c r="B402" s="13" t="s">
        <v>86</v>
      </c>
      <c r="C402" s="13" t="n">
        <v>58</v>
      </c>
      <c r="D402" s="13" t="s">
        <v>23</v>
      </c>
      <c r="E402" s="13" t="s">
        <v>32</v>
      </c>
      <c r="F402" s="13" t="n">
        <v>0</v>
      </c>
      <c r="G402" s="13" t="n">
        <v>5</v>
      </c>
      <c r="H402" s="13" t="n">
        <v>5</v>
      </c>
      <c r="I402" s="13" t="n">
        <f aca="false">H402-G402</f>
        <v>0</v>
      </c>
      <c r="J402" s="13" t="n">
        <f aca="false">H402-F402</f>
        <v>5</v>
      </c>
    </row>
    <row r="403" customFormat="false" ht="15" hidden="false" customHeight="false" outlineLevel="0" collapsed="false">
      <c r="A403" s="13" t="s">
        <v>85</v>
      </c>
      <c r="B403" s="13" t="s">
        <v>86</v>
      </c>
      <c r="C403" s="13" t="n">
        <v>58</v>
      </c>
      <c r="D403" s="13" t="s">
        <v>23</v>
      </c>
      <c r="E403" s="13" t="s">
        <v>33</v>
      </c>
      <c r="F403" s="13" t="n">
        <v>0</v>
      </c>
      <c r="G403" s="13" t="n">
        <v>0</v>
      </c>
      <c r="H403" s="13" t="n">
        <v>0</v>
      </c>
      <c r="I403" s="13" t="n">
        <f aca="false">H403-G403</f>
        <v>0</v>
      </c>
      <c r="J403" s="13" t="n">
        <f aca="false">H403-F403</f>
        <v>0</v>
      </c>
    </row>
    <row r="404" customFormat="false" ht="15" hidden="false" customHeight="false" outlineLevel="0" collapsed="false">
      <c r="A404" s="13" t="s">
        <v>85</v>
      </c>
      <c r="B404" s="13" t="s">
        <v>86</v>
      </c>
      <c r="C404" s="13" t="n">
        <v>58</v>
      </c>
      <c r="D404" s="13" t="s">
        <v>23</v>
      </c>
      <c r="E404" s="13" t="s">
        <v>34</v>
      </c>
      <c r="F404" s="13" t="n">
        <v>27</v>
      </c>
      <c r="G404" s="13" t="n">
        <v>48</v>
      </c>
      <c r="H404" s="13" t="n">
        <v>48</v>
      </c>
      <c r="I404" s="13" t="n">
        <f aca="false">H404-G404</f>
        <v>0</v>
      </c>
      <c r="J404" s="13" t="n">
        <f aca="false">H404-F404</f>
        <v>21</v>
      </c>
    </row>
    <row r="405" customFormat="false" ht="15" hidden="false" customHeight="false" outlineLevel="0" collapsed="false">
      <c r="A405" s="13" t="s">
        <v>85</v>
      </c>
      <c r="B405" s="13" t="s">
        <v>86</v>
      </c>
      <c r="C405" s="13" t="n">
        <v>58</v>
      </c>
      <c r="D405" s="13" t="s">
        <v>23</v>
      </c>
      <c r="E405" s="13" t="s">
        <v>35</v>
      </c>
      <c r="F405" s="13" t="n">
        <v>0</v>
      </c>
      <c r="G405" s="13" t="n">
        <v>0</v>
      </c>
      <c r="H405" s="13" t="n">
        <v>0</v>
      </c>
      <c r="I405" s="13" t="n">
        <f aca="false">H405-G405</f>
        <v>0</v>
      </c>
      <c r="J405" s="13" t="n">
        <f aca="false">H405-F405</f>
        <v>0</v>
      </c>
    </row>
    <row r="406" customFormat="false" ht="15" hidden="false" customHeight="false" outlineLevel="0" collapsed="false">
      <c r="A406" s="13" t="s">
        <v>85</v>
      </c>
      <c r="B406" s="13" t="s">
        <v>86</v>
      </c>
      <c r="C406" s="13" t="n">
        <v>58</v>
      </c>
      <c r="D406" s="13" t="s">
        <v>23</v>
      </c>
      <c r="E406" s="13" t="s">
        <v>36</v>
      </c>
      <c r="F406" s="13" t="n">
        <v>0</v>
      </c>
      <c r="G406" s="13" t="n">
        <v>0</v>
      </c>
      <c r="H406" s="13" t="n">
        <v>0</v>
      </c>
      <c r="I406" s="13" t="n">
        <f aca="false">H406-G406</f>
        <v>0</v>
      </c>
      <c r="J406" s="13" t="n">
        <f aca="false">H406-F406</f>
        <v>0</v>
      </c>
    </row>
    <row r="407" customFormat="false" ht="15" hidden="false" customHeight="false" outlineLevel="0" collapsed="false">
      <c r="A407" s="13" t="s">
        <v>85</v>
      </c>
      <c r="B407" s="13" t="s">
        <v>86</v>
      </c>
      <c r="C407" s="13" t="n">
        <v>58</v>
      </c>
      <c r="D407" s="13" t="s">
        <v>155</v>
      </c>
      <c r="E407" s="13" t="s">
        <v>37</v>
      </c>
      <c r="F407" s="13" t="n">
        <v>1</v>
      </c>
      <c r="G407" s="13" t="n">
        <v>1</v>
      </c>
      <c r="H407" s="13" t="n">
        <v>1</v>
      </c>
      <c r="I407" s="13" t="n">
        <f aca="false">H407-G407</f>
        <v>0</v>
      </c>
      <c r="J407" s="13" t="n">
        <f aca="false">H407-F407</f>
        <v>0</v>
      </c>
    </row>
    <row r="408" customFormat="false" ht="15" hidden="false" customHeight="false" outlineLevel="0" collapsed="false">
      <c r="A408" s="13" t="s">
        <v>85</v>
      </c>
      <c r="B408" s="13" t="s">
        <v>86</v>
      </c>
      <c r="C408" s="13" t="n">
        <v>58</v>
      </c>
      <c r="D408" s="13" t="s">
        <v>155</v>
      </c>
      <c r="E408" s="13" t="s">
        <v>39</v>
      </c>
      <c r="F408" s="13" t="n">
        <v>1</v>
      </c>
      <c r="G408" s="13" t="n">
        <v>1</v>
      </c>
      <c r="H408" s="13" t="n">
        <v>1</v>
      </c>
      <c r="I408" s="13" t="n">
        <f aca="false">H408-G408</f>
        <v>0</v>
      </c>
      <c r="J408" s="13" t="n">
        <f aca="false">H408-F408</f>
        <v>0</v>
      </c>
    </row>
    <row r="409" customFormat="false" ht="15" hidden="false" customHeight="false" outlineLevel="0" collapsed="false">
      <c r="A409" s="13" t="s">
        <v>85</v>
      </c>
      <c r="B409" s="13" t="s">
        <v>86</v>
      </c>
      <c r="C409" s="13" t="n">
        <v>58</v>
      </c>
      <c r="D409" s="13" t="s">
        <v>155</v>
      </c>
      <c r="E409" s="13" t="s">
        <v>40</v>
      </c>
      <c r="F409" s="13" t="n">
        <v>1</v>
      </c>
      <c r="G409" s="13" t="n">
        <v>1</v>
      </c>
      <c r="H409" s="13" t="n">
        <v>1</v>
      </c>
      <c r="I409" s="13" t="n">
        <f aca="false">H409-G409</f>
        <v>0</v>
      </c>
      <c r="J409" s="13" t="n">
        <f aca="false">H409-F409</f>
        <v>0</v>
      </c>
    </row>
    <row r="410" customFormat="false" ht="15" hidden="false" customHeight="false" outlineLevel="0" collapsed="false">
      <c r="A410" s="13" t="s">
        <v>85</v>
      </c>
      <c r="B410" s="13" t="s">
        <v>86</v>
      </c>
      <c r="C410" s="13" t="n">
        <v>58</v>
      </c>
      <c r="D410" s="13" t="s">
        <v>155</v>
      </c>
      <c r="E410" s="13" t="s">
        <v>41</v>
      </c>
      <c r="F410" s="13" t="n">
        <v>0</v>
      </c>
      <c r="G410" s="13" t="n">
        <v>0</v>
      </c>
      <c r="H410" s="13" t="n">
        <v>0</v>
      </c>
      <c r="I410" s="13" t="n">
        <f aca="false">H410-G410</f>
        <v>0</v>
      </c>
      <c r="J410" s="13" t="n">
        <f aca="false">H410-F410</f>
        <v>0</v>
      </c>
    </row>
    <row r="411" customFormat="false" ht="15" hidden="false" customHeight="false" outlineLevel="0" collapsed="false">
      <c r="A411" s="13" t="s">
        <v>85</v>
      </c>
      <c r="B411" s="13" t="s">
        <v>86</v>
      </c>
      <c r="C411" s="13" t="n">
        <v>58</v>
      </c>
      <c r="D411" s="13" t="s">
        <v>155</v>
      </c>
      <c r="E411" s="13" t="s">
        <v>42</v>
      </c>
      <c r="F411" s="13" t="n">
        <v>1</v>
      </c>
      <c r="G411" s="13" t="n">
        <v>1</v>
      </c>
      <c r="H411" s="13" t="n">
        <v>1</v>
      </c>
      <c r="I411" s="13" t="n">
        <f aca="false">H411-G411</f>
        <v>0</v>
      </c>
      <c r="J411" s="13" t="n">
        <f aca="false">H411-F411</f>
        <v>0</v>
      </c>
    </row>
    <row r="412" customFormat="false" ht="15" hidden="false" customHeight="false" outlineLevel="0" collapsed="false">
      <c r="A412" s="13" t="s">
        <v>85</v>
      </c>
      <c r="B412" s="13" t="s">
        <v>86</v>
      </c>
      <c r="C412" s="13" t="n">
        <v>58</v>
      </c>
      <c r="D412" s="13" t="s">
        <v>155</v>
      </c>
      <c r="E412" s="13" t="s">
        <v>43</v>
      </c>
      <c r="F412" s="13" t="n">
        <v>1</v>
      </c>
      <c r="G412" s="13" t="n">
        <v>1</v>
      </c>
      <c r="H412" s="13" t="n">
        <v>1</v>
      </c>
      <c r="I412" s="13" t="n">
        <f aca="false">H412-G412</f>
        <v>0</v>
      </c>
      <c r="J412" s="13" t="n">
        <f aca="false">H412-F412</f>
        <v>0</v>
      </c>
    </row>
    <row r="413" customFormat="false" ht="15" hidden="false" customHeight="false" outlineLevel="0" collapsed="false">
      <c r="A413" s="13" t="s">
        <v>85</v>
      </c>
      <c r="B413" s="13" t="s">
        <v>86</v>
      </c>
      <c r="C413" s="13" t="n">
        <v>58</v>
      </c>
      <c r="D413" s="13" t="s">
        <v>155</v>
      </c>
      <c r="E413" s="13" t="s">
        <v>44</v>
      </c>
      <c r="F413" s="13" t="n">
        <v>1</v>
      </c>
      <c r="G413" s="13" t="n">
        <v>1</v>
      </c>
      <c r="H413" s="13" t="n">
        <v>1</v>
      </c>
      <c r="I413" s="13" t="n">
        <f aca="false">H413-G413</f>
        <v>0</v>
      </c>
      <c r="J413" s="13" t="n">
        <f aca="false">H413-F413</f>
        <v>0</v>
      </c>
    </row>
    <row r="414" customFormat="false" ht="15" hidden="false" customHeight="false" outlineLevel="0" collapsed="false">
      <c r="A414" s="13" t="s">
        <v>85</v>
      </c>
      <c r="B414" s="13" t="s">
        <v>86</v>
      </c>
      <c r="C414" s="13" t="n">
        <v>58</v>
      </c>
      <c r="D414" s="13" t="s">
        <v>155</v>
      </c>
      <c r="E414" s="13" t="s">
        <v>45</v>
      </c>
      <c r="F414" s="13" t="n">
        <v>0</v>
      </c>
      <c r="G414" s="13" t="n">
        <v>0</v>
      </c>
      <c r="H414" s="13" t="n">
        <v>0</v>
      </c>
      <c r="I414" s="13" t="n">
        <f aca="false">H414-G414</f>
        <v>0</v>
      </c>
      <c r="J414" s="13" t="n">
        <f aca="false">H414-F414</f>
        <v>0</v>
      </c>
    </row>
    <row r="415" customFormat="false" ht="15" hidden="false" customHeight="false" outlineLevel="0" collapsed="false">
      <c r="A415" s="13" t="s">
        <v>85</v>
      </c>
      <c r="B415" s="13" t="s">
        <v>86</v>
      </c>
      <c r="C415" s="13" t="n">
        <v>58</v>
      </c>
      <c r="D415" s="13" t="s">
        <v>155</v>
      </c>
      <c r="E415" s="13" t="s">
        <v>46</v>
      </c>
      <c r="F415" s="13" t="n">
        <v>0</v>
      </c>
      <c r="G415" s="13" t="n">
        <v>0</v>
      </c>
      <c r="H415" s="13" t="n">
        <v>0</v>
      </c>
      <c r="I415" s="13" t="n">
        <f aca="false">H415-G415</f>
        <v>0</v>
      </c>
      <c r="J415" s="13" t="n">
        <f aca="false">H415-F415</f>
        <v>0</v>
      </c>
    </row>
    <row r="416" customFormat="false" ht="15" hidden="false" customHeight="false" outlineLevel="0" collapsed="false">
      <c r="A416" s="13" t="s">
        <v>87</v>
      </c>
      <c r="B416" s="13" t="s">
        <v>88</v>
      </c>
      <c r="C416" s="13" t="n">
        <v>57</v>
      </c>
      <c r="D416" s="13" t="s">
        <v>23</v>
      </c>
      <c r="E416" s="13" t="s">
        <v>22</v>
      </c>
      <c r="F416" s="13" t="n">
        <v>59</v>
      </c>
      <c r="G416" s="13" t="n">
        <v>56</v>
      </c>
      <c r="H416" s="13" t="n">
        <v>56</v>
      </c>
      <c r="I416" s="13" t="n">
        <f aca="false">H416-G416</f>
        <v>0</v>
      </c>
      <c r="J416" s="13" t="n">
        <f aca="false">H416-F416</f>
        <v>-3</v>
      </c>
    </row>
    <row r="417" customFormat="false" ht="15" hidden="false" customHeight="false" outlineLevel="0" collapsed="false">
      <c r="A417" s="13" t="s">
        <v>87</v>
      </c>
      <c r="B417" s="13" t="s">
        <v>88</v>
      </c>
      <c r="C417" s="13" t="n">
        <v>57</v>
      </c>
      <c r="D417" s="13" t="s">
        <v>23</v>
      </c>
      <c r="E417" s="13" t="s">
        <v>24</v>
      </c>
      <c r="F417" s="13" t="n">
        <v>5</v>
      </c>
      <c r="G417" s="13" t="n">
        <v>57</v>
      </c>
      <c r="H417" s="13" t="n">
        <v>57</v>
      </c>
      <c r="I417" s="13" t="n">
        <f aca="false">H417-G417</f>
        <v>0</v>
      </c>
      <c r="J417" s="13" t="n">
        <f aca="false">H417-F417</f>
        <v>52</v>
      </c>
    </row>
    <row r="418" customFormat="false" ht="15" hidden="false" customHeight="false" outlineLevel="0" collapsed="false">
      <c r="A418" s="13" t="s">
        <v>87</v>
      </c>
      <c r="B418" s="13" t="s">
        <v>88</v>
      </c>
      <c r="C418" s="13" t="n">
        <v>57</v>
      </c>
      <c r="D418" s="13" t="s">
        <v>23</v>
      </c>
      <c r="E418" s="13" t="s">
        <v>25</v>
      </c>
      <c r="F418" s="13" t="n">
        <v>67</v>
      </c>
      <c r="G418" s="13" t="n">
        <v>57</v>
      </c>
      <c r="H418" s="13" t="n">
        <v>57</v>
      </c>
      <c r="I418" s="13" t="n">
        <f aca="false">H418-G418</f>
        <v>0</v>
      </c>
      <c r="J418" s="13" t="n">
        <f aca="false">H418-F418</f>
        <v>-10</v>
      </c>
    </row>
    <row r="419" customFormat="false" ht="15" hidden="false" customHeight="false" outlineLevel="0" collapsed="false">
      <c r="A419" s="13" t="s">
        <v>87</v>
      </c>
      <c r="B419" s="13" t="s">
        <v>88</v>
      </c>
      <c r="C419" s="13" t="n">
        <v>57</v>
      </c>
      <c r="D419" s="13" t="s">
        <v>23</v>
      </c>
      <c r="E419" s="13" t="s">
        <v>26</v>
      </c>
      <c r="F419" s="13" t="n">
        <v>0</v>
      </c>
      <c r="G419" s="13" t="n">
        <v>0</v>
      </c>
      <c r="H419" s="13" t="n">
        <v>0</v>
      </c>
      <c r="I419" s="13" t="n">
        <f aca="false">H419-G419</f>
        <v>0</v>
      </c>
      <c r="J419" s="13" t="n">
        <f aca="false">H419-F419</f>
        <v>0</v>
      </c>
    </row>
    <row r="420" customFormat="false" ht="15" hidden="false" customHeight="false" outlineLevel="0" collapsed="false">
      <c r="A420" s="13" t="s">
        <v>87</v>
      </c>
      <c r="B420" s="13" t="s">
        <v>88</v>
      </c>
      <c r="C420" s="13" t="n">
        <v>57</v>
      </c>
      <c r="D420" s="13" t="s">
        <v>23</v>
      </c>
      <c r="E420" s="13" t="s">
        <v>27</v>
      </c>
      <c r="F420" s="13" t="n">
        <v>63</v>
      </c>
      <c r="G420" s="13" t="n">
        <v>54</v>
      </c>
      <c r="H420" s="13" t="n">
        <v>54</v>
      </c>
      <c r="I420" s="13" t="n">
        <f aca="false">H420-G420</f>
        <v>0</v>
      </c>
      <c r="J420" s="13" t="n">
        <f aca="false">H420-F420</f>
        <v>-9</v>
      </c>
    </row>
    <row r="421" customFormat="false" ht="15" hidden="false" customHeight="false" outlineLevel="0" collapsed="false">
      <c r="A421" s="13" t="s">
        <v>87</v>
      </c>
      <c r="B421" s="13" t="s">
        <v>88</v>
      </c>
      <c r="C421" s="13" t="n">
        <v>57</v>
      </c>
      <c r="D421" s="13" t="s">
        <v>23</v>
      </c>
      <c r="E421" s="13" t="s">
        <v>28</v>
      </c>
      <c r="F421" s="13" t="n">
        <v>52</v>
      </c>
      <c r="G421" s="13" t="n">
        <v>51</v>
      </c>
      <c r="H421" s="13" t="n">
        <v>51</v>
      </c>
      <c r="I421" s="13" t="n">
        <f aca="false">H421-G421</f>
        <v>0</v>
      </c>
      <c r="J421" s="13" t="n">
        <f aca="false">H421-F421</f>
        <v>-1</v>
      </c>
    </row>
    <row r="422" customFormat="false" ht="15" hidden="false" customHeight="false" outlineLevel="0" collapsed="false">
      <c r="A422" s="13" t="s">
        <v>87</v>
      </c>
      <c r="B422" s="13" t="s">
        <v>88</v>
      </c>
      <c r="C422" s="13" t="n">
        <v>57</v>
      </c>
      <c r="D422" s="13" t="s">
        <v>23</v>
      </c>
      <c r="E422" s="13" t="s">
        <v>29</v>
      </c>
      <c r="F422" s="13" t="n">
        <v>0</v>
      </c>
      <c r="G422" s="13" t="n">
        <v>0</v>
      </c>
      <c r="H422" s="13" t="n">
        <v>0</v>
      </c>
      <c r="I422" s="13" t="n">
        <f aca="false">H422-G422</f>
        <v>0</v>
      </c>
      <c r="J422" s="13" t="n">
        <f aca="false">H422-F422</f>
        <v>0</v>
      </c>
    </row>
    <row r="423" customFormat="false" ht="15" hidden="false" customHeight="false" outlineLevel="0" collapsed="false">
      <c r="A423" s="13" t="s">
        <v>87</v>
      </c>
      <c r="B423" s="13" t="s">
        <v>88</v>
      </c>
      <c r="C423" s="13" t="n">
        <v>57</v>
      </c>
      <c r="D423" s="13" t="s">
        <v>23</v>
      </c>
      <c r="E423" s="13" t="s">
        <v>30</v>
      </c>
      <c r="F423" s="13" t="n">
        <v>68</v>
      </c>
      <c r="G423" s="13" t="n">
        <v>57</v>
      </c>
      <c r="H423" s="13" t="n">
        <v>57</v>
      </c>
      <c r="I423" s="13" t="n">
        <f aca="false">H423-G423</f>
        <v>0</v>
      </c>
      <c r="J423" s="13" t="n">
        <f aca="false">H423-F423</f>
        <v>-11</v>
      </c>
    </row>
    <row r="424" customFormat="false" ht="15" hidden="false" customHeight="false" outlineLevel="0" collapsed="false">
      <c r="A424" s="13" t="s">
        <v>87</v>
      </c>
      <c r="B424" s="13" t="s">
        <v>88</v>
      </c>
      <c r="C424" s="13" t="n">
        <v>57</v>
      </c>
      <c r="D424" s="13" t="s">
        <v>23</v>
      </c>
      <c r="E424" s="13" t="s">
        <v>31</v>
      </c>
      <c r="F424" s="13" t="n">
        <v>0</v>
      </c>
      <c r="G424" s="13" t="n">
        <v>16</v>
      </c>
      <c r="H424" s="13" t="n">
        <v>16</v>
      </c>
      <c r="I424" s="13" t="n">
        <f aca="false">H424-G424</f>
        <v>0</v>
      </c>
      <c r="J424" s="13" t="n">
        <f aca="false">H424-F424</f>
        <v>16</v>
      </c>
    </row>
    <row r="425" customFormat="false" ht="15" hidden="false" customHeight="false" outlineLevel="0" collapsed="false">
      <c r="A425" s="13" t="s">
        <v>87</v>
      </c>
      <c r="B425" s="13" t="s">
        <v>88</v>
      </c>
      <c r="C425" s="13" t="n">
        <v>57</v>
      </c>
      <c r="D425" s="13" t="s">
        <v>23</v>
      </c>
      <c r="E425" s="13" t="s">
        <v>32</v>
      </c>
      <c r="F425" s="13" t="n">
        <v>53</v>
      </c>
      <c r="G425" s="13" t="n">
        <v>51</v>
      </c>
      <c r="H425" s="13" t="n">
        <v>51</v>
      </c>
      <c r="I425" s="13" t="n">
        <f aca="false">H425-G425</f>
        <v>0</v>
      </c>
      <c r="J425" s="13" t="n">
        <f aca="false">H425-F425</f>
        <v>-2</v>
      </c>
    </row>
    <row r="426" customFormat="false" ht="15" hidden="false" customHeight="false" outlineLevel="0" collapsed="false">
      <c r="A426" s="13" t="s">
        <v>87</v>
      </c>
      <c r="B426" s="13" t="s">
        <v>88</v>
      </c>
      <c r="C426" s="13" t="n">
        <v>57</v>
      </c>
      <c r="D426" s="13" t="s">
        <v>23</v>
      </c>
      <c r="E426" s="13" t="s">
        <v>33</v>
      </c>
      <c r="F426" s="13" t="n">
        <v>0</v>
      </c>
      <c r="G426" s="13" t="n">
        <v>0</v>
      </c>
      <c r="H426" s="13" t="n">
        <v>0</v>
      </c>
      <c r="I426" s="13" t="n">
        <f aca="false">H426-G426</f>
        <v>0</v>
      </c>
      <c r="J426" s="13" t="n">
        <f aca="false">H426-F426</f>
        <v>0</v>
      </c>
    </row>
    <row r="427" customFormat="false" ht="15" hidden="false" customHeight="false" outlineLevel="0" collapsed="false">
      <c r="A427" s="13" t="s">
        <v>87</v>
      </c>
      <c r="B427" s="13" t="s">
        <v>88</v>
      </c>
      <c r="C427" s="13" t="n">
        <v>57</v>
      </c>
      <c r="D427" s="13" t="s">
        <v>23</v>
      </c>
      <c r="E427" s="13" t="s">
        <v>34</v>
      </c>
      <c r="F427" s="13" t="n">
        <v>0</v>
      </c>
      <c r="G427" s="13" t="n">
        <v>0</v>
      </c>
      <c r="H427" s="13" t="n">
        <v>0</v>
      </c>
      <c r="I427" s="13" t="n">
        <f aca="false">H427-G427</f>
        <v>0</v>
      </c>
      <c r="J427" s="13" t="n">
        <f aca="false">H427-F427</f>
        <v>0</v>
      </c>
    </row>
    <row r="428" customFormat="false" ht="15" hidden="false" customHeight="false" outlineLevel="0" collapsed="false">
      <c r="A428" s="13" t="s">
        <v>87</v>
      </c>
      <c r="B428" s="13" t="s">
        <v>88</v>
      </c>
      <c r="C428" s="13" t="n">
        <v>57</v>
      </c>
      <c r="D428" s="13" t="s">
        <v>23</v>
      </c>
      <c r="E428" s="13" t="s">
        <v>35</v>
      </c>
      <c r="F428" s="13" t="n">
        <v>0</v>
      </c>
      <c r="G428" s="13" t="n">
        <v>0</v>
      </c>
      <c r="H428" s="13" t="n">
        <v>0</v>
      </c>
      <c r="I428" s="13" t="n">
        <f aca="false">H428-G428</f>
        <v>0</v>
      </c>
      <c r="J428" s="13" t="n">
        <f aca="false">H428-F428</f>
        <v>0</v>
      </c>
    </row>
    <row r="429" customFormat="false" ht="15" hidden="false" customHeight="false" outlineLevel="0" collapsed="false">
      <c r="A429" s="13" t="s">
        <v>87</v>
      </c>
      <c r="B429" s="13" t="s">
        <v>88</v>
      </c>
      <c r="C429" s="13" t="n">
        <v>57</v>
      </c>
      <c r="D429" s="13" t="s">
        <v>23</v>
      </c>
      <c r="E429" s="13" t="s">
        <v>36</v>
      </c>
      <c r="F429" s="13" t="n">
        <v>0</v>
      </c>
      <c r="G429" s="13" t="n">
        <v>0</v>
      </c>
      <c r="H429" s="13" t="n">
        <v>0</v>
      </c>
      <c r="I429" s="13" t="n">
        <f aca="false">H429-G429</f>
        <v>0</v>
      </c>
      <c r="J429" s="13" t="n">
        <f aca="false">H429-F429</f>
        <v>0</v>
      </c>
    </row>
    <row r="430" customFormat="false" ht="15" hidden="false" customHeight="false" outlineLevel="0" collapsed="false">
      <c r="A430" s="13" t="s">
        <v>87</v>
      </c>
      <c r="B430" s="13" t="s">
        <v>88</v>
      </c>
      <c r="C430" s="13" t="n">
        <v>57</v>
      </c>
      <c r="D430" s="13" t="s">
        <v>155</v>
      </c>
      <c r="E430" s="13" t="s">
        <v>37</v>
      </c>
      <c r="F430" s="13" t="n">
        <v>1</v>
      </c>
      <c r="G430" s="13" t="n">
        <v>1</v>
      </c>
      <c r="H430" s="13" t="n">
        <v>1</v>
      </c>
      <c r="I430" s="13" t="n">
        <f aca="false">H430-G430</f>
        <v>0</v>
      </c>
      <c r="J430" s="13" t="n">
        <f aca="false">H430-F430</f>
        <v>0</v>
      </c>
    </row>
    <row r="431" customFormat="false" ht="15" hidden="false" customHeight="false" outlineLevel="0" collapsed="false">
      <c r="A431" s="13" t="s">
        <v>87</v>
      </c>
      <c r="B431" s="13" t="s">
        <v>88</v>
      </c>
      <c r="C431" s="13" t="n">
        <v>57</v>
      </c>
      <c r="D431" s="13" t="s">
        <v>155</v>
      </c>
      <c r="E431" s="13" t="s">
        <v>39</v>
      </c>
      <c r="F431" s="13" t="n">
        <v>0</v>
      </c>
      <c r="G431" s="13" t="n">
        <v>0</v>
      </c>
      <c r="H431" s="13" t="n">
        <v>0</v>
      </c>
      <c r="I431" s="13" t="n">
        <f aca="false">H431-G431</f>
        <v>0</v>
      </c>
      <c r="J431" s="13" t="n">
        <f aca="false">H431-F431</f>
        <v>0</v>
      </c>
    </row>
    <row r="432" customFormat="false" ht="15" hidden="false" customHeight="false" outlineLevel="0" collapsed="false">
      <c r="A432" s="13" t="s">
        <v>87</v>
      </c>
      <c r="B432" s="13" t="s">
        <v>88</v>
      </c>
      <c r="C432" s="13" t="n">
        <v>57</v>
      </c>
      <c r="D432" s="13" t="s">
        <v>155</v>
      </c>
      <c r="E432" s="13" t="s">
        <v>40</v>
      </c>
      <c r="F432" s="13" t="n">
        <v>1</v>
      </c>
      <c r="G432" s="13" t="n">
        <v>1</v>
      </c>
      <c r="H432" s="13" t="n">
        <v>1</v>
      </c>
      <c r="I432" s="13" t="n">
        <f aca="false">H432-G432</f>
        <v>0</v>
      </c>
      <c r="J432" s="13" t="n">
        <f aca="false">H432-F432</f>
        <v>0</v>
      </c>
    </row>
    <row r="433" customFormat="false" ht="15" hidden="false" customHeight="false" outlineLevel="0" collapsed="false">
      <c r="A433" s="13" t="s">
        <v>87</v>
      </c>
      <c r="B433" s="13" t="s">
        <v>88</v>
      </c>
      <c r="C433" s="13" t="n">
        <v>57</v>
      </c>
      <c r="D433" s="13" t="s">
        <v>155</v>
      </c>
      <c r="E433" s="13" t="s">
        <v>41</v>
      </c>
      <c r="F433" s="13" t="n">
        <v>0</v>
      </c>
      <c r="G433" s="13" t="n">
        <v>0</v>
      </c>
      <c r="H433" s="13" t="n">
        <v>0</v>
      </c>
      <c r="I433" s="13" t="n">
        <f aca="false">H433-G433</f>
        <v>0</v>
      </c>
      <c r="J433" s="13" t="n">
        <f aca="false">H433-F433</f>
        <v>0</v>
      </c>
    </row>
    <row r="434" customFormat="false" ht="15" hidden="false" customHeight="false" outlineLevel="0" collapsed="false">
      <c r="A434" s="13" t="s">
        <v>87</v>
      </c>
      <c r="B434" s="13" t="s">
        <v>88</v>
      </c>
      <c r="C434" s="13" t="n">
        <v>57</v>
      </c>
      <c r="D434" s="13" t="s">
        <v>155</v>
      </c>
      <c r="E434" s="13" t="s">
        <v>42</v>
      </c>
      <c r="F434" s="13" t="n">
        <v>1</v>
      </c>
      <c r="G434" s="13" t="n">
        <v>1</v>
      </c>
      <c r="H434" s="13" t="n">
        <v>1</v>
      </c>
      <c r="I434" s="13" t="n">
        <f aca="false">H434-G434</f>
        <v>0</v>
      </c>
      <c r="J434" s="13" t="n">
        <f aca="false">H434-F434</f>
        <v>0</v>
      </c>
    </row>
    <row r="435" customFormat="false" ht="15" hidden="false" customHeight="false" outlineLevel="0" collapsed="false">
      <c r="A435" s="13" t="s">
        <v>87</v>
      </c>
      <c r="B435" s="13" t="s">
        <v>88</v>
      </c>
      <c r="C435" s="13" t="n">
        <v>57</v>
      </c>
      <c r="D435" s="13" t="s">
        <v>155</v>
      </c>
      <c r="E435" s="13" t="s">
        <v>43</v>
      </c>
      <c r="F435" s="13" t="n">
        <v>1</v>
      </c>
      <c r="G435" s="13" t="n">
        <v>1</v>
      </c>
      <c r="H435" s="13" t="n">
        <v>1</v>
      </c>
      <c r="I435" s="13" t="n">
        <f aca="false">H435-G435</f>
        <v>0</v>
      </c>
      <c r="J435" s="13" t="n">
        <f aca="false">H435-F435</f>
        <v>0</v>
      </c>
    </row>
    <row r="436" customFormat="false" ht="15" hidden="false" customHeight="false" outlineLevel="0" collapsed="false">
      <c r="A436" s="13" t="s">
        <v>87</v>
      </c>
      <c r="B436" s="13" t="s">
        <v>88</v>
      </c>
      <c r="C436" s="13" t="n">
        <v>57</v>
      </c>
      <c r="D436" s="13" t="s">
        <v>155</v>
      </c>
      <c r="E436" s="13" t="s">
        <v>44</v>
      </c>
      <c r="F436" s="13" t="n">
        <v>1</v>
      </c>
      <c r="G436" s="13" t="n">
        <v>1</v>
      </c>
      <c r="H436" s="13" t="n">
        <v>1</v>
      </c>
      <c r="I436" s="13" t="n">
        <f aca="false">H436-G436</f>
        <v>0</v>
      </c>
      <c r="J436" s="13" t="n">
        <f aca="false">H436-F436</f>
        <v>0</v>
      </c>
    </row>
    <row r="437" customFormat="false" ht="15" hidden="false" customHeight="false" outlineLevel="0" collapsed="false">
      <c r="A437" s="13" t="s">
        <v>87</v>
      </c>
      <c r="B437" s="13" t="s">
        <v>88</v>
      </c>
      <c r="C437" s="13" t="n">
        <v>57</v>
      </c>
      <c r="D437" s="13" t="s">
        <v>155</v>
      </c>
      <c r="E437" s="13" t="s">
        <v>45</v>
      </c>
      <c r="F437" s="13" t="n">
        <v>0</v>
      </c>
      <c r="G437" s="13" t="n">
        <v>0</v>
      </c>
      <c r="H437" s="13" t="n">
        <v>0</v>
      </c>
      <c r="I437" s="13" t="n">
        <f aca="false">H437-G437</f>
        <v>0</v>
      </c>
      <c r="J437" s="13" t="n">
        <f aca="false">H437-F437</f>
        <v>0</v>
      </c>
    </row>
    <row r="438" customFormat="false" ht="15" hidden="false" customHeight="false" outlineLevel="0" collapsed="false">
      <c r="A438" s="13" t="s">
        <v>87</v>
      </c>
      <c r="B438" s="13" t="s">
        <v>88</v>
      </c>
      <c r="C438" s="13" t="n">
        <v>57</v>
      </c>
      <c r="D438" s="13" t="s">
        <v>155</v>
      </c>
      <c r="E438" s="13" t="s">
        <v>46</v>
      </c>
      <c r="F438" s="13" t="n">
        <v>0</v>
      </c>
      <c r="G438" s="13" t="n">
        <v>0</v>
      </c>
      <c r="H438" s="13" t="n">
        <v>0</v>
      </c>
      <c r="I438" s="13" t="n">
        <f aca="false">H438-G438</f>
        <v>0</v>
      </c>
      <c r="J438" s="13" t="n">
        <f aca="false">H438-F438</f>
        <v>0</v>
      </c>
    </row>
    <row r="439" customFormat="false" ht="15" hidden="false" customHeight="false" outlineLevel="0" collapsed="false">
      <c r="A439" s="13" t="s">
        <v>89</v>
      </c>
      <c r="B439" s="13" t="s">
        <v>90</v>
      </c>
      <c r="C439" s="13" t="n">
        <v>52</v>
      </c>
      <c r="D439" s="13" t="s">
        <v>23</v>
      </c>
      <c r="E439" s="13" t="s">
        <v>22</v>
      </c>
      <c r="F439" s="13" t="n">
        <v>76</v>
      </c>
      <c r="G439" s="13" t="n">
        <v>51</v>
      </c>
      <c r="H439" s="13" t="n">
        <v>51</v>
      </c>
      <c r="I439" s="13" t="n">
        <f aca="false">H439-G439</f>
        <v>0</v>
      </c>
      <c r="J439" s="13" t="n">
        <f aca="false">H439-F439</f>
        <v>-25</v>
      </c>
    </row>
    <row r="440" customFormat="false" ht="15" hidden="false" customHeight="false" outlineLevel="0" collapsed="false">
      <c r="A440" s="13" t="s">
        <v>89</v>
      </c>
      <c r="B440" s="13" t="s">
        <v>90</v>
      </c>
      <c r="C440" s="13" t="n">
        <v>52</v>
      </c>
      <c r="D440" s="13" t="s">
        <v>23</v>
      </c>
      <c r="E440" s="13" t="s">
        <v>24</v>
      </c>
      <c r="F440" s="13" t="n">
        <v>4</v>
      </c>
      <c r="G440" s="13" t="n">
        <v>52</v>
      </c>
      <c r="H440" s="13" t="n">
        <v>52</v>
      </c>
      <c r="I440" s="13" t="n">
        <f aca="false">H440-G440</f>
        <v>0</v>
      </c>
      <c r="J440" s="13" t="n">
        <f aca="false">H440-F440</f>
        <v>48</v>
      </c>
    </row>
    <row r="441" customFormat="false" ht="15" hidden="false" customHeight="false" outlineLevel="0" collapsed="false">
      <c r="A441" s="13" t="s">
        <v>89</v>
      </c>
      <c r="B441" s="13" t="s">
        <v>90</v>
      </c>
      <c r="C441" s="13" t="n">
        <v>52</v>
      </c>
      <c r="D441" s="13" t="s">
        <v>23</v>
      </c>
      <c r="E441" s="13" t="s">
        <v>25</v>
      </c>
      <c r="F441" s="13" t="n">
        <v>142</v>
      </c>
      <c r="G441" s="13" t="n">
        <v>51</v>
      </c>
      <c r="H441" s="13" t="n">
        <v>51</v>
      </c>
      <c r="I441" s="13" t="n">
        <f aca="false">H441-G441</f>
        <v>0</v>
      </c>
      <c r="J441" s="13" t="n">
        <f aca="false">H441-F441</f>
        <v>-91</v>
      </c>
    </row>
    <row r="442" customFormat="false" ht="15" hidden="false" customHeight="false" outlineLevel="0" collapsed="false">
      <c r="A442" s="13" t="s">
        <v>89</v>
      </c>
      <c r="B442" s="13" t="s">
        <v>90</v>
      </c>
      <c r="C442" s="13" t="n">
        <v>52</v>
      </c>
      <c r="D442" s="13" t="s">
        <v>23</v>
      </c>
      <c r="E442" s="13" t="s">
        <v>26</v>
      </c>
      <c r="F442" s="13" t="n">
        <v>117</v>
      </c>
      <c r="G442" s="13" t="n">
        <v>50</v>
      </c>
      <c r="H442" s="13" t="n">
        <v>50</v>
      </c>
      <c r="I442" s="13" t="n">
        <f aca="false">H442-G442</f>
        <v>0</v>
      </c>
      <c r="J442" s="13" t="n">
        <f aca="false">H442-F442</f>
        <v>-67</v>
      </c>
    </row>
    <row r="443" customFormat="false" ht="15" hidden="false" customHeight="false" outlineLevel="0" collapsed="false">
      <c r="A443" s="13" t="s">
        <v>89</v>
      </c>
      <c r="B443" s="13" t="s">
        <v>90</v>
      </c>
      <c r="C443" s="13" t="n">
        <v>52</v>
      </c>
      <c r="D443" s="13" t="s">
        <v>23</v>
      </c>
      <c r="E443" s="13" t="s">
        <v>27</v>
      </c>
      <c r="F443" s="13" t="n">
        <v>125</v>
      </c>
      <c r="G443" s="13" t="n">
        <v>50</v>
      </c>
      <c r="H443" s="13" t="n">
        <v>50</v>
      </c>
      <c r="I443" s="13" t="n">
        <f aca="false">H443-G443</f>
        <v>0</v>
      </c>
      <c r="J443" s="13" t="n">
        <f aca="false">H443-F443</f>
        <v>-75</v>
      </c>
    </row>
    <row r="444" customFormat="false" ht="15" hidden="false" customHeight="false" outlineLevel="0" collapsed="false">
      <c r="A444" s="13" t="s">
        <v>89</v>
      </c>
      <c r="B444" s="13" t="s">
        <v>90</v>
      </c>
      <c r="C444" s="13" t="n">
        <v>52</v>
      </c>
      <c r="D444" s="13" t="s">
        <v>23</v>
      </c>
      <c r="E444" s="13" t="s">
        <v>28</v>
      </c>
      <c r="F444" s="13" t="n">
        <v>111</v>
      </c>
      <c r="G444" s="13" t="n">
        <v>48</v>
      </c>
      <c r="H444" s="13" t="n">
        <v>48</v>
      </c>
      <c r="I444" s="13" t="n">
        <f aca="false">H444-G444</f>
        <v>0</v>
      </c>
      <c r="J444" s="13" t="n">
        <f aca="false">H444-F444</f>
        <v>-63</v>
      </c>
    </row>
    <row r="445" customFormat="false" ht="15" hidden="false" customHeight="false" outlineLevel="0" collapsed="false">
      <c r="A445" s="13" t="s">
        <v>89</v>
      </c>
      <c r="B445" s="13" t="s">
        <v>90</v>
      </c>
      <c r="C445" s="13" t="n">
        <v>52</v>
      </c>
      <c r="D445" s="13" t="s">
        <v>23</v>
      </c>
      <c r="E445" s="13" t="s">
        <v>29</v>
      </c>
      <c r="F445" s="13" t="n">
        <v>111</v>
      </c>
      <c r="G445" s="13" t="n">
        <v>48</v>
      </c>
      <c r="H445" s="13" t="n">
        <v>48</v>
      </c>
      <c r="I445" s="13" t="n">
        <f aca="false">H445-G445</f>
        <v>0</v>
      </c>
      <c r="J445" s="13" t="n">
        <f aca="false">H445-F445</f>
        <v>-63</v>
      </c>
    </row>
    <row r="446" customFormat="false" ht="15" hidden="false" customHeight="false" outlineLevel="0" collapsed="false">
      <c r="A446" s="13" t="s">
        <v>89</v>
      </c>
      <c r="B446" s="13" t="s">
        <v>90</v>
      </c>
      <c r="C446" s="13" t="n">
        <v>52</v>
      </c>
      <c r="D446" s="13" t="s">
        <v>23</v>
      </c>
      <c r="E446" s="13" t="s">
        <v>30</v>
      </c>
      <c r="F446" s="13" t="n">
        <v>143</v>
      </c>
      <c r="G446" s="13" t="n">
        <v>52</v>
      </c>
      <c r="H446" s="13" t="n">
        <v>52</v>
      </c>
      <c r="I446" s="13" t="n">
        <f aca="false">H446-G446</f>
        <v>0</v>
      </c>
      <c r="J446" s="13" t="n">
        <f aca="false">H446-F446</f>
        <v>-91</v>
      </c>
    </row>
    <row r="447" customFormat="false" ht="15" hidden="false" customHeight="false" outlineLevel="0" collapsed="false">
      <c r="A447" s="13" t="s">
        <v>89</v>
      </c>
      <c r="B447" s="13" t="s">
        <v>90</v>
      </c>
      <c r="C447" s="13" t="n">
        <v>52</v>
      </c>
      <c r="D447" s="13" t="s">
        <v>23</v>
      </c>
      <c r="E447" s="13" t="s">
        <v>31</v>
      </c>
      <c r="F447" s="13" t="n">
        <v>0</v>
      </c>
      <c r="G447" s="13" t="n">
        <v>17</v>
      </c>
      <c r="H447" s="13" t="n">
        <v>17</v>
      </c>
      <c r="I447" s="13" t="n">
        <f aca="false">H447-G447</f>
        <v>0</v>
      </c>
      <c r="J447" s="13" t="n">
        <f aca="false">H447-F447</f>
        <v>17</v>
      </c>
    </row>
    <row r="448" customFormat="false" ht="15" hidden="false" customHeight="false" outlineLevel="0" collapsed="false">
      <c r="A448" s="13" t="s">
        <v>89</v>
      </c>
      <c r="B448" s="13" t="s">
        <v>90</v>
      </c>
      <c r="C448" s="13" t="n">
        <v>52</v>
      </c>
      <c r="D448" s="13" t="s">
        <v>23</v>
      </c>
      <c r="E448" s="13" t="s">
        <v>32</v>
      </c>
      <c r="F448" s="13" t="n">
        <v>0</v>
      </c>
      <c r="G448" s="13" t="n">
        <v>9</v>
      </c>
      <c r="H448" s="13" t="n">
        <v>9</v>
      </c>
      <c r="I448" s="13" t="n">
        <f aca="false">H448-G448</f>
        <v>0</v>
      </c>
      <c r="J448" s="13" t="n">
        <f aca="false">H448-F448</f>
        <v>9</v>
      </c>
    </row>
    <row r="449" customFormat="false" ht="15" hidden="false" customHeight="false" outlineLevel="0" collapsed="false">
      <c r="A449" s="13" t="s">
        <v>89</v>
      </c>
      <c r="B449" s="13" t="s">
        <v>90</v>
      </c>
      <c r="C449" s="13" t="n">
        <v>52</v>
      </c>
      <c r="D449" s="13" t="s">
        <v>23</v>
      </c>
      <c r="E449" s="13" t="s">
        <v>33</v>
      </c>
      <c r="F449" s="13" t="n">
        <v>0</v>
      </c>
      <c r="G449" s="13" t="n">
        <v>0</v>
      </c>
      <c r="H449" s="13" t="n">
        <v>0</v>
      </c>
      <c r="I449" s="13" t="n">
        <f aca="false">H449-G449</f>
        <v>0</v>
      </c>
      <c r="J449" s="13" t="n">
        <f aca="false">H449-F449</f>
        <v>0</v>
      </c>
    </row>
    <row r="450" customFormat="false" ht="15" hidden="false" customHeight="false" outlineLevel="0" collapsed="false">
      <c r="A450" s="13" t="s">
        <v>89</v>
      </c>
      <c r="B450" s="13" t="s">
        <v>90</v>
      </c>
      <c r="C450" s="13" t="n">
        <v>52</v>
      </c>
      <c r="D450" s="13" t="s">
        <v>23</v>
      </c>
      <c r="E450" s="13" t="s">
        <v>34</v>
      </c>
      <c r="F450" s="13" t="n">
        <v>0</v>
      </c>
      <c r="G450" s="13" t="n">
        <v>1</v>
      </c>
      <c r="H450" s="13" t="n">
        <v>1</v>
      </c>
      <c r="I450" s="13" t="n">
        <f aca="false">H450-G450</f>
        <v>0</v>
      </c>
      <c r="J450" s="13" t="n">
        <f aca="false">H450-F450</f>
        <v>1</v>
      </c>
    </row>
    <row r="451" customFormat="false" ht="15" hidden="false" customHeight="false" outlineLevel="0" collapsed="false">
      <c r="A451" s="13" t="s">
        <v>89</v>
      </c>
      <c r="B451" s="13" t="s">
        <v>90</v>
      </c>
      <c r="C451" s="13" t="n">
        <v>52</v>
      </c>
      <c r="D451" s="13" t="s">
        <v>23</v>
      </c>
      <c r="E451" s="13" t="s">
        <v>35</v>
      </c>
      <c r="F451" s="13" t="n">
        <v>0</v>
      </c>
      <c r="G451" s="13" t="n">
        <v>0</v>
      </c>
      <c r="H451" s="13" t="n">
        <v>0</v>
      </c>
      <c r="I451" s="13" t="n">
        <f aca="false">H451-G451</f>
        <v>0</v>
      </c>
      <c r="J451" s="13" t="n">
        <f aca="false">H451-F451</f>
        <v>0</v>
      </c>
    </row>
    <row r="452" customFormat="false" ht="15" hidden="false" customHeight="false" outlineLevel="0" collapsed="false">
      <c r="A452" s="13" t="s">
        <v>89</v>
      </c>
      <c r="B452" s="13" t="s">
        <v>90</v>
      </c>
      <c r="C452" s="13" t="n">
        <v>52</v>
      </c>
      <c r="D452" s="13" t="s">
        <v>23</v>
      </c>
      <c r="E452" s="13" t="s">
        <v>36</v>
      </c>
      <c r="F452" s="13" t="n">
        <v>0</v>
      </c>
      <c r="G452" s="13" t="n">
        <v>0</v>
      </c>
      <c r="H452" s="13" t="n">
        <v>0</v>
      </c>
      <c r="I452" s="13" t="n">
        <f aca="false">H452-G452</f>
        <v>0</v>
      </c>
      <c r="J452" s="13" t="n">
        <f aca="false">H452-F452</f>
        <v>0</v>
      </c>
    </row>
    <row r="453" customFormat="false" ht="15" hidden="false" customHeight="false" outlineLevel="0" collapsed="false">
      <c r="A453" s="13" t="s">
        <v>89</v>
      </c>
      <c r="B453" s="13" t="s">
        <v>90</v>
      </c>
      <c r="C453" s="13" t="n">
        <v>52</v>
      </c>
      <c r="D453" s="13" t="s">
        <v>155</v>
      </c>
      <c r="E453" s="13" t="s">
        <v>37</v>
      </c>
      <c r="F453" s="13" t="n">
        <v>1</v>
      </c>
      <c r="G453" s="13" t="n">
        <v>1</v>
      </c>
      <c r="H453" s="13" t="n">
        <v>1</v>
      </c>
      <c r="I453" s="13" t="n">
        <f aca="false">H453-G453</f>
        <v>0</v>
      </c>
      <c r="J453" s="13" t="n">
        <f aca="false">H453-F453</f>
        <v>0</v>
      </c>
    </row>
    <row r="454" customFormat="false" ht="15" hidden="false" customHeight="false" outlineLevel="0" collapsed="false">
      <c r="A454" s="13" t="s">
        <v>89</v>
      </c>
      <c r="B454" s="13" t="s">
        <v>90</v>
      </c>
      <c r="C454" s="13" t="n">
        <v>52</v>
      </c>
      <c r="D454" s="13" t="s">
        <v>155</v>
      </c>
      <c r="E454" s="13" t="s">
        <v>39</v>
      </c>
      <c r="F454" s="13" t="n">
        <v>0</v>
      </c>
      <c r="G454" s="13" t="n">
        <v>0</v>
      </c>
      <c r="H454" s="13" t="n">
        <v>0</v>
      </c>
      <c r="I454" s="13" t="n">
        <f aca="false">H454-G454</f>
        <v>0</v>
      </c>
      <c r="J454" s="13" t="n">
        <f aca="false">H454-F454</f>
        <v>0</v>
      </c>
    </row>
    <row r="455" customFormat="false" ht="15" hidden="false" customHeight="false" outlineLevel="0" collapsed="false">
      <c r="A455" s="13" t="s">
        <v>89</v>
      </c>
      <c r="B455" s="13" t="s">
        <v>90</v>
      </c>
      <c r="C455" s="13" t="n">
        <v>52</v>
      </c>
      <c r="D455" s="13" t="s">
        <v>155</v>
      </c>
      <c r="E455" s="13" t="s">
        <v>40</v>
      </c>
      <c r="F455" s="13" t="n">
        <v>1</v>
      </c>
      <c r="G455" s="13" t="n">
        <v>1</v>
      </c>
      <c r="H455" s="13" t="n">
        <v>1</v>
      </c>
      <c r="I455" s="13" t="n">
        <f aca="false">H455-G455</f>
        <v>0</v>
      </c>
      <c r="J455" s="13" t="n">
        <f aca="false">H455-F455</f>
        <v>0</v>
      </c>
    </row>
    <row r="456" customFormat="false" ht="15" hidden="false" customHeight="false" outlineLevel="0" collapsed="false">
      <c r="A456" s="13" t="s">
        <v>89</v>
      </c>
      <c r="B456" s="13" t="s">
        <v>90</v>
      </c>
      <c r="C456" s="13" t="n">
        <v>52</v>
      </c>
      <c r="D456" s="13" t="s">
        <v>155</v>
      </c>
      <c r="E456" s="13" t="s">
        <v>41</v>
      </c>
      <c r="F456" s="13" t="n">
        <v>0</v>
      </c>
      <c r="G456" s="13" t="n">
        <v>0</v>
      </c>
      <c r="H456" s="13" t="n">
        <v>0</v>
      </c>
      <c r="I456" s="13" t="n">
        <f aca="false">H456-G456</f>
        <v>0</v>
      </c>
      <c r="J456" s="13" t="n">
        <f aca="false">H456-F456</f>
        <v>0</v>
      </c>
    </row>
    <row r="457" customFormat="false" ht="15" hidden="false" customHeight="false" outlineLevel="0" collapsed="false">
      <c r="A457" s="13" t="s">
        <v>89</v>
      </c>
      <c r="B457" s="13" t="s">
        <v>90</v>
      </c>
      <c r="C457" s="13" t="n">
        <v>52</v>
      </c>
      <c r="D457" s="13" t="s">
        <v>155</v>
      </c>
      <c r="E457" s="13" t="s">
        <v>42</v>
      </c>
      <c r="F457" s="13" t="n">
        <v>1</v>
      </c>
      <c r="G457" s="13" t="n">
        <v>1</v>
      </c>
      <c r="H457" s="13" t="n">
        <v>1</v>
      </c>
      <c r="I457" s="13" t="n">
        <f aca="false">H457-G457</f>
        <v>0</v>
      </c>
      <c r="J457" s="13" t="n">
        <f aca="false">H457-F457</f>
        <v>0</v>
      </c>
    </row>
    <row r="458" customFormat="false" ht="15" hidden="false" customHeight="false" outlineLevel="0" collapsed="false">
      <c r="A458" s="13" t="s">
        <v>89</v>
      </c>
      <c r="B458" s="13" t="s">
        <v>90</v>
      </c>
      <c r="C458" s="13" t="n">
        <v>52</v>
      </c>
      <c r="D458" s="13" t="s">
        <v>155</v>
      </c>
      <c r="E458" s="13" t="s">
        <v>43</v>
      </c>
      <c r="F458" s="13" t="n">
        <v>0</v>
      </c>
      <c r="G458" s="13" t="n">
        <v>0</v>
      </c>
      <c r="H458" s="13" t="n">
        <v>0</v>
      </c>
      <c r="I458" s="13" t="n">
        <f aca="false">H458-G458</f>
        <v>0</v>
      </c>
      <c r="J458" s="13" t="n">
        <f aca="false">H458-F458</f>
        <v>0</v>
      </c>
    </row>
    <row r="459" customFormat="false" ht="15" hidden="false" customHeight="false" outlineLevel="0" collapsed="false">
      <c r="A459" s="13" t="s">
        <v>89</v>
      </c>
      <c r="B459" s="13" t="s">
        <v>90</v>
      </c>
      <c r="C459" s="13" t="n">
        <v>52</v>
      </c>
      <c r="D459" s="13" t="s">
        <v>155</v>
      </c>
      <c r="E459" s="13" t="s">
        <v>44</v>
      </c>
      <c r="F459" s="13" t="n">
        <v>0</v>
      </c>
      <c r="G459" s="13" t="n">
        <v>0</v>
      </c>
      <c r="H459" s="13" t="n">
        <v>0</v>
      </c>
      <c r="I459" s="13" t="n">
        <f aca="false">H459-G459</f>
        <v>0</v>
      </c>
      <c r="J459" s="13" t="n">
        <f aca="false">H459-F459</f>
        <v>0</v>
      </c>
    </row>
    <row r="460" customFormat="false" ht="15" hidden="false" customHeight="false" outlineLevel="0" collapsed="false">
      <c r="A460" s="13" t="s">
        <v>89</v>
      </c>
      <c r="B460" s="13" t="s">
        <v>90</v>
      </c>
      <c r="C460" s="13" t="n">
        <v>52</v>
      </c>
      <c r="D460" s="13" t="s">
        <v>155</v>
      </c>
      <c r="E460" s="13" t="s">
        <v>45</v>
      </c>
      <c r="F460" s="13" t="n">
        <v>0</v>
      </c>
      <c r="G460" s="13" t="n">
        <v>0</v>
      </c>
      <c r="H460" s="13" t="n">
        <v>0</v>
      </c>
      <c r="I460" s="13" t="n">
        <f aca="false">H460-G460</f>
        <v>0</v>
      </c>
      <c r="J460" s="13" t="n">
        <f aca="false">H460-F460</f>
        <v>0</v>
      </c>
    </row>
    <row r="461" customFormat="false" ht="15" hidden="false" customHeight="false" outlineLevel="0" collapsed="false">
      <c r="A461" s="13" t="s">
        <v>89</v>
      </c>
      <c r="B461" s="13" t="s">
        <v>90</v>
      </c>
      <c r="C461" s="13" t="n">
        <v>52</v>
      </c>
      <c r="D461" s="13" t="s">
        <v>155</v>
      </c>
      <c r="E461" s="13" t="s">
        <v>46</v>
      </c>
      <c r="F461" s="13" t="n">
        <v>0</v>
      </c>
      <c r="G461" s="13" t="n">
        <v>0</v>
      </c>
      <c r="H461" s="13" t="n">
        <v>0</v>
      </c>
      <c r="I461" s="13" t="n">
        <f aca="false">H461-G461</f>
        <v>0</v>
      </c>
      <c r="J461" s="13" t="n">
        <f aca="false">H461-F461</f>
        <v>0</v>
      </c>
    </row>
    <row r="462" customFormat="false" ht="15" hidden="false" customHeight="false" outlineLevel="0" collapsed="false">
      <c r="A462" s="13" t="s">
        <v>91</v>
      </c>
      <c r="B462" s="13" t="s">
        <v>92</v>
      </c>
      <c r="C462" s="13" t="n">
        <v>50</v>
      </c>
      <c r="D462" s="13" t="s">
        <v>23</v>
      </c>
      <c r="E462" s="13" t="s">
        <v>22</v>
      </c>
      <c r="F462" s="13" t="n">
        <v>50</v>
      </c>
      <c r="G462" s="13" t="n">
        <v>50</v>
      </c>
      <c r="H462" s="13" t="n">
        <v>50</v>
      </c>
      <c r="I462" s="13" t="n">
        <f aca="false">H462-G462</f>
        <v>0</v>
      </c>
      <c r="J462" s="13" t="n">
        <f aca="false">H462-F462</f>
        <v>0</v>
      </c>
    </row>
    <row r="463" customFormat="false" ht="15" hidden="false" customHeight="false" outlineLevel="0" collapsed="false">
      <c r="A463" s="13" t="s">
        <v>91</v>
      </c>
      <c r="B463" s="13" t="s">
        <v>92</v>
      </c>
      <c r="C463" s="13" t="n">
        <v>50</v>
      </c>
      <c r="D463" s="13" t="s">
        <v>23</v>
      </c>
      <c r="E463" s="13" t="s">
        <v>24</v>
      </c>
      <c r="F463" s="13" t="n">
        <v>50</v>
      </c>
      <c r="G463" s="13" t="n">
        <v>50</v>
      </c>
      <c r="H463" s="13" t="n">
        <v>50</v>
      </c>
      <c r="I463" s="13" t="n">
        <f aca="false">H463-G463</f>
        <v>0</v>
      </c>
      <c r="J463" s="13" t="n">
        <f aca="false">H463-F463</f>
        <v>0</v>
      </c>
    </row>
    <row r="464" customFormat="false" ht="15" hidden="false" customHeight="false" outlineLevel="0" collapsed="false">
      <c r="A464" s="13" t="s">
        <v>91</v>
      </c>
      <c r="B464" s="13" t="s">
        <v>92</v>
      </c>
      <c r="C464" s="13" t="n">
        <v>50</v>
      </c>
      <c r="D464" s="13" t="s">
        <v>23</v>
      </c>
      <c r="E464" s="13" t="s">
        <v>25</v>
      </c>
      <c r="F464" s="13" t="n">
        <v>50</v>
      </c>
      <c r="G464" s="13" t="n">
        <v>50</v>
      </c>
      <c r="H464" s="13" t="n">
        <v>50</v>
      </c>
      <c r="I464" s="13" t="n">
        <f aca="false">H464-G464</f>
        <v>0</v>
      </c>
      <c r="J464" s="13" t="n">
        <f aca="false">H464-F464</f>
        <v>0</v>
      </c>
    </row>
    <row r="465" customFormat="false" ht="15" hidden="false" customHeight="false" outlineLevel="0" collapsed="false">
      <c r="A465" s="13" t="s">
        <v>91</v>
      </c>
      <c r="B465" s="13" t="s">
        <v>92</v>
      </c>
      <c r="C465" s="13" t="n">
        <v>50</v>
      </c>
      <c r="D465" s="13" t="s">
        <v>23</v>
      </c>
      <c r="E465" s="13" t="s">
        <v>26</v>
      </c>
      <c r="F465" s="13" t="n">
        <v>39</v>
      </c>
      <c r="G465" s="13" t="n">
        <v>39</v>
      </c>
      <c r="H465" s="13" t="n">
        <v>39</v>
      </c>
      <c r="I465" s="13" t="n">
        <f aca="false">H465-G465</f>
        <v>0</v>
      </c>
      <c r="J465" s="13" t="n">
        <f aca="false">H465-F465</f>
        <v>0</v>
      </c>
    </row>
    <row r="466" customFormat="false" ht="15" hidden="false" customHeight="false" outlineLevel="0" collapsed="false">
      <c r="A466" s="13" t="s">
        <v>91</v>
      </c>
      <c r="B466" s="13" t="s">
        <v>92</v>
      </c>
      <c r="C466" s="13" t="n">
        <v>50</v>
      </c>
      <c r="D466" s="13" t="s">
        <v>23</v>
      </c>
      <c r="E466" s="13" t="s">
        <v>27</v>
      </c>
      <c r="F466" s="13" t="n">
        <v>50</v>
      </c>
      <c r="G466" s="13" t="n">
        <v>50</v>
      </c>
      <c r="H466" s="13" t="n">
        <v>50</v>
      </c>
      <c r="I466" s="13" t="n">
        <f aca="false">H466-G466</f>
        <v>0</v>
      </c>
      <c r="J466" s="13" t="n">
        <f aca="false">H466-F466</f>
        <v>0</v>
      </c>
    </row>
    <row r="467" customFormat="false" ht="15" hidden="false" customHeight="false" outlineLevel="0" collapsed="false">
      <c r="A467" s="13" t="s">
        <v>91</v>
      </c>
      <c r="B467" s="13" t="s">
        <v>92</v>
      </c>
      <c r="C467" s="13" t="n">
        <v>50</v>
      </c>
      <c r="D467" s="13" t="s">
        <v>23</v>
      </c>
      <c r="E467" s="13" t="s">
        <v>28</v>
      </c>
      <c r="F467" s="13" t="n">
        <v>0</v>
      </c>
      <c r="G467" s="13" t="n">
        <v>0</v>
      </c>
      <c r="H467" s="13" t="n">
        <v>0</v>
      </c>
      <c r="I467" s="13" t="n">
        <f aca="false">H467-G467</f>
        <v>0</v>
      </c>
      <c r="J467" s="13" t="n">
        <f aca="false">H467-F467</f>
        <v>0</v>
      </c>
    </row>
    <row r="468" customFormat="false" ht="15" hidden="false" customHeight="false" outlineLevel="0" collapsed="false">
      <c r="A468" s="13" t="s">
        <v>91</v>
      </c>
      <c r="B468" s="13" t="s">
        <v>92</v>
      </c>
      <c r="C468" s="13" t="n">
        <v>50</v>
      </c>
      <c r="D468" s="13" t="s">
        <v>23</v>
      </c>
      <c r="E468" s="13" t="s">
        <v>29</v>
      </c>
      <c r="F468" s="13" t="n">
        <v>0</v>
      </c>
      <c r="G468" s="13" t="n">
        <v>0</v>
      </c>
      <c r="H468" s="13" t="n">
        <v>0</v>
      </c>
      <c r="I468" s="13" t="n">
        <f aca="false">H468-G468</f>
        <v>0</v>
      </c>
      <c r="J468" s="13" t="n">
        <f aca="false">H468-F468</f>
        <v>0</v>
      </c>
    </row>
    <row r="469" customFormat="false" ht="15" hidden="false" customHeight="false" outlineLevel="0" collapsed="false">
      <c r="A469" s="13" t="s">
        <v>91</v>
      </c>
      <c r="B469" s="13" t="s">
        <v>92</v>
      </c>
      <c r="C469" s="13" t="n">
        <v>50</v>
      </c>
      <c r="D469" s="13" t="s">
        <v>23</v>
      </c>
      <c r="E469" s="13" t="s">
        <v>30</v>
      </c>
      <c r="F469" s="13" t="n">
        <v>50</v>
      </c>
      <c r="G469" s="13" t="n">
        <v>50</v>
      </c>
      <c r="H469" s="13" t="n">
        <v>50</v>
      </c>
      <c r="I469" s="13" t="n">
        <f aca="false">H469-G469</f>
        <v>0</v>
      </c>
      <c r="J469" s="13" t="n">
        <f aca="false">H469-F469</f>
        <v>0</v>
      </c>
    </row>
    <row r="470" customFormat="false" ht="15" hidden="false" customHeight="false" outlineLevel="0" collapsed="false">
      <c r="A470" s="13" t="s">
        <v>91</v>
      </c>
      <c r="B470" s="13" t="s">
        <v>92</v>
      </c>
      <c r="C470" s="13" t="n">
        <v>50</v>
      </c>
      <c r="D470" s="13" t="s">
        <v>23</v>
      </c>
      <c r="E470" s="13" t="s">
        <v>31</v>
      </c>
      <c r="F470" s="13" t="n">
        <v>39</v>
      </c>
      <c r="G470" s="13" t="n">
        <v>39</v>
      </c>
      <c r="H470" s="13" t="n">
        <v>39</v>
      </c>
      <c r="I470" s="13" t="n">
        <f aca="false">H470-G470</f>
        <v>0</v>
      </c>
      <c r="J470" s="13" t="n">
        <f aca="false">H470-F470</f>
        <v>0</v>
      </c>
    </row>
    <row r="471" customFormat="false" ht="15" hidden="false" customHeight="false" outlineLevel="0" collapsed="false">
      <c r="A471" s="13" t="s">
        <v>91</v>
      </c>
      <c r="B471" s="13" t="s">
        <v>92</v>
      </c>
      <c r="C471" s="13" t="n">
        <v>50</v>
      </c>
      <c r="D471" s="13" t="s">
        <v>23</v>
      </c>
      <c r="E471" s="13" t="s">
        <v>32</v>
      </c>
      <c r="F471" s="13" t="n">
        <v>49</v>
      </c>
      <c r="G471" s="13" t="n">
        <v>49</v>
      </c>
      <c r="H471" s="13" t="n">
        <v>49</v>
      </c>
      <c r="I471" s="13" t="n">
        <f aca="false">H471-G471</f>
        <v>0</v>
      </c>
      <c r="J471" s="13" t="n">
        <f aca="false">H471-F471</f>
        <v>0</v>
      </c>
    </row>
    <row r="472" customFormat="false" ht="15" hidden="false" customHeight="false" outlineLevel="0" collapsed="false">
      <c r="A472" s="13" t="s">
        <v>91</v>
      </c>
      <c r="B472" s="13" t="s">
        <v>92</v>
      </c>
      <c r="C472" s="13" t="n">
        <v>50</v>
      </c>
      <c r="D472" s="13" t="s">
        <v>23</v>
      </c>
      <c r="E472" s="13" t="s">
        <v>33</v>
      </c>
      <c r="F472" s="13" t="n">
        <v>0</v>
      </c>
      <c r="G472" s="13" t="n">
        <v>0</v>
      </c>
      <c r="H472" s="13" t="n">
        <v>0</v>
      </c>
      <c r="I472" s="13" t="n">
        <f aca="false">H472-G472</f>
        <v>0</v>
      </c>
      <c r="J472" s="13" t="n">
        <f aca="false">H472-F472</f>
        <v>0</v>
      </c>
    </row>
    <row r="473" customFormat="false" ht="15" hidden="false" customHeight="false" outlineLevel="0" collapsed="false">
      <c r="A473" s="13" t="s">
        <v>91</v>
      </c>
      <c r="B473" s="13" t="s">
        <v>92</v>
      </c>
      <c r="C473" s="13" t="n">
        <v>50</v>
      </c>
      <c r="D473" s="13" t="s">
        <v>23</v>
      </c>
      <c r="E473" s="13" t="s">
        <v>34</v>
      </c>
      <c r="F473" s="13" t="n">
        <v>48</v>
      </c>
      <c r="G473" s="13" t="n">
        <v>48</v>
      </c>
      <c r="H473" s="13" t="n">
        <v>48</v>
      </c>
      <c r="I473" s="13" t="n">
        <f aca="false">H473-G473</f>
        <v>0</v>
      </c>
      <c r="J473" s="13" t="n">
        <f aca="false">H473-F473</f>
        <v>0</v>
      </c>
    </row>
    <row r="474" customFormat="false" ht="15" hidden="false" customHeight="false" outlineLevel="0" collapsed="false">
      <c r="A474" s="13" t="s">
        <v>91</v>
      </c>
      <c r="B474" s="13" t="s">
        <v>92</v>
      </c>
      <c r="C474" s="13" t="n">
        <v>50</v>
      </c>
      <c r="D474" s="13" t="s">
        <v>23</v>
      </c>
      <c r="E474" s="13" t="s">
        <v>35</v>
      </c>
      <c r="F474" s="13" t="n">
        <v>0</v>
      </c>
      <c r="G474" s="13" t="n">
        <v>0</v>
      </c>
      <c r="H474" s="13" t="n">
        <v>0</v>
      </c>
      <c r="I474" s="13" t="n">
        <f aca="false">H474-G474</f>
        <v>0</v>
      </c>
      <c r="J474" s="13" t="n">
        <f aca="false">H474-F474</f>
        <v>0</v>
      </c>
    </row>
    <row r="475" customFormat="false" ht="15" hidden="false" customHeight="false" outlineLevel="0" collapsed="false">
      <c r="A475" s="13" t="s">
        <v>91</v>
      </c>
      <c r="B475" s="13" t="s">
        <v>92</v>
      </c>
      <c r="C475" s="13" t="n">
        <v>50</v>
      </c>
      <c r="D475" s="13" t="s">
        <v>23</v>
      </c>
      <c r="E475" s="13" t="s">
        <v>36</v>
      </c>
      <c r="F475" s="13" t="n">
        <v>0</v>
      </c>
      <c r="G475" s="13" t="n">
        <v>0</v>
      </c>
      <c r="H475" s="13" t="n">
        <v>0</v>
      </c>
      <c r="I475" s="13" t="n">
        <f aca="false">H475-G475</f>
        <v>0</v>
      </c>
      <c r="J475" s="13" t="n">
        <f aca="false">H475-F475</f>
        <v>0</v>
      </c>
    </row>
    <row r="476" customFormat="false" ht="15" hidden="false" customHeight="false" outlineLevel="0" collapsed="false">
      <c r="A476" s="13" t="s">
        <v>91</v>
      </c>
      <c r="B476" s="13" t="s">
        <v>92</v>
      </c>
      <c r="C476" s="13" t="n">
        <v>50</v>
      </c>
      <c r="D476" s="13" t="s">
        <v>155</v>
      </c>
      <c r="E476" s="13" t="s">
        <v>37</v>
      </c>
      <c r="F476" s="13" t="n">
        <v>1</v>
      </c>
      <c r="G476" s="13" t="n">
        <v>1</v>
      </c>
      <c r="H476" s="13" t="n">
        <v>1</v>
      </c>
      <c r="I476" s="13" t="n">
        <f aca="false">H476-G476</f>
        <v>0</v>
      </c>
      <c r="J476" s="13" t="n">
        <f aca="false">H476-F476</f>
        <v>0</v>
      </c>
    </row>
    <row r="477" customFormat="false" ht="15" hidden="false" customHeight="false" outlineLevel="0" collapsed="false">
      <c r="A477" s="13" t="s">
        <v>91</v>
      </c>
      <c r="B477" s="13" t="s">
        <v>92</v>
      </c>
      <c r="C477" s="13" t="n">
        <v>50</v>
      </c>
      <c r="D477" s="13" t="s">
        <v>155</v>
      </c>
      <c r="E477" s="13" t="s">
        <v>39</v>
      </c>
      <c r="F477" s="13" t="n">
        <v>1</v>
      </c>
      <c r="G477" s="13" t="n">
        <v>1</v>
      </c>
      <c r="H477" s="13" t="n">
        <v>1</v>
      </c>
      <c r="I477" s="13" t="n">
        <f aca="false">H477-G477</f>
        <v>0</v>
      </c>
      <c r="J477" s="13" t="n">
        <f aca="false">H477-F477</f>
        <v>0</v>
      </c>
    </row>
    <row r="478" customFormat="false" ht="15" hidden="false" customHeight="false" outlineLevel="0" collapsed="false">
      <c r="A478" s="13" t="s">
        <v>91</v>
      </c>
      <c r="B478" s="13" t="s">
        <v>92</v>
      </c>
      <c r="C478" s="13" t="n">
        <v>50</v>
      </c>
      <c r="D478" s="13" t="s">
        <v>155</v>
      </c>
      <c r="E478" s="13" t="s">
        <v>40</v>
      </c>
      <c r="F478" s="13" t="n">
        <v>0</v>
      </c>
      <c r="G478" s="13" t="n">
        <v>0</v>
      </c>
      <c r="H478" s="13" t="n">
        <v>0</v>
      </c>
      <c r="I478" s="13" t="n">
        <f aca="false">H478-G478</f>
        <v>0</v>
      </c>
      <c r="J478" s="13" t="n">
        <f aca="false">H478-F478</f>
        <v>0</v>
      </c>
    </row>
    <row r="479" customFormat="false" ht="15" hidden="false" customHeight="false" outlineLevel="0" collapsed="false">
      <c r="A479" s="13" t="s">
        <v>91</v>
      </c>
      <c r="B479" s="13" t="s">
        <v>92</v>
      </c>
      <c r="C479" s="13" t="n">
        <v>50</v>
      </c>
      <c r="D479" s="13" t="s">
        <v>155</v>
      </c>
      <c r="E479" s="13" t="s">
        <v>41</v>
      </c>
      <c r="F479" s="13" t="n">
        <v>0</v>
      </c>
      <c r="G479" s="13" t="n">
        <v>0</v>
      </c>
      <c r="H479" s="13" t="n">
        <v>0</v>
      </c>
      <c r="I479" s="13" t="n">
        <f aca="false">H479-G479</f>
        <v>0</v>
      </c>
      <c r="J479" s="13" t="n">
        <f aca="false">H479-F479</f>
        <v>0</v>
      </c>
    </row>
    <row r="480" customFormat="false" ht="15" hidden="false" customHeight="false" outlineLevel="0" collapsed="false">
      <c r="A480" s="13" t="s">
        <v>91</v>
      </c>
      <c r="B480" s="13" t="s">
        <v>92</v>
      </c>
      <c r="C480" s="13" t="n">
        <v>50</v>
      </c>
      <c r="D480" s="13" t="s">
        <v>155</v>
      </c>
      <c r="E480" s="13" t="s">
        <v>42</v>
      </c>
      <c r="F480" s="13" t="n">
        <v>1</v>
      </c>
      <c r="G480" s="13" t="n">
        <v>1</v>
      </c>
      <c r="H480" s="13" t="n">
        <v>1</v>
      </c>
      <c r="I480" s="13" t="n">
        <f aca="false">H480-G480</f>
        <v>0</v>
      </c>
      <c r="J480" s="13" t="n">
        <f aca="false">H480-F480</f>
        <v>0</v>
      </c>
    </row>
    <row r="481" customFormat="false" ht="15" hidden="false" customHeight="false" outlineLevel="0" collapsed="false">
      <c r="A481" s="13" t="s">
        <v>91</v>
      </c>
      <c r="B481" s="13" t="s">
        <v>92</v>
      </c>
      <c r="C481" s="13" t="n">
        <v>50</v>
      </c>
      <c r="D481" s="13" t="s">
        <v>155</v>
      </c>
      <c r="E481" s="13" t="s">
        <v>43</v>
      </c>
      <c r="F481" s="13" t="n">
        <v>1</v>
      </c>
      <c r="G481" s="13" t="n">
        <v>1</v>
      </c>
      <c r="H481" s="13" t="n">
        <v>1</v>
      </c>
      <c r="I481" s="13" t="n">
        <f aca="false">H481-G481</f>
        <v>0</v>
      </c>
      <c r="J481" s="13" t="n">
        <f aca="false">H481-F481</f>
        <v>0</v>
      </c>
    </row>
    <row r="482" customFormat="false" ht="15" hidden="false" customHeight="false" outlineLevel="0" collapsed="false">
      <c r="A482" s="13" t="s">
        <v>91</v>
      </c>
      <c r="B482" s="13" t="s">
        <v>92</v>
      </c>
      <c r="C482" s="13" t="n">
        <v>50</v>
      </c>
      <c r="D482" s="13" t="s">
        <v>155</v>
      </c>
      <c r="E482" s="13" t="s">
        <v>44</v>
      </c>
      <c r="F482" s="13" t="n">
        <v>0</v>
      </c>
      <c r="G482" s="13" t="n">
        <v>0</v>
      </c>
      <c r="H482" s="13" t="n">
        <v>0</v>
      </c>
      <c r="I482" s="13" t="n">
        <f aca="false">H482-G482</f>
        <v>0</v>
      </c>
      <c r="J482" s="13" t="n">
        <f aca="false">H482-F482</f>
        <v>0</v>
      </c>
    </row>
    <row r="483" customFormat="false" ht="15" hidden="false" customHeight="false" outlineLevel="0" collapsed="false">
      <c r="A483" s="13" t="s">
        <v>91</v>
      </c>
      <c r="B483" s="13" t="s">
        <v>92</v>
      </c>
      <c r="C483" s="13" t="n">
        <v>50</v>
      </c>
      <c r="D483" s="13" t="s">
        <v>155</v>
      </c>
      <c r="E483" s="13" t="s">
        <v>45</v>
      </c>
      <c r="F483" s="13" t="n">
        <v>0</v>
      </c>
      <c r="G483" s="13" t="n">
        <v>0</v>
      </c>
      <c r="H483" s="13" t="n">
        <v>0</v>
      </c>
      <c r="I483" s="13" t="n">
        <f aca="false">H483-G483</f>
        <v>0</v>
      </c>
      <c r="J483" s="13" t="n">
        <f aca="false">H483-F483</f>
        <v>0</v>
      </c>
    </row>
    <row r="484" customFormat="false" ht="15" hidden="false" customHeight="false" outlineLevel="0" collapsed="false">
      <c r="A484" s="13" t="s">
        <v>91</v>
      </c>
      <c r="B484" s="13" t="s">
        <v>92</v>
      </c>
      <c r="C484" s="13" t="n">
        <v>50</v>
      </c>
      <c r="D484" s="13" t="s">
        <v>155</v>
      </c>
      <c r="E484" s="13" t="s">
        <v>46</v>
      </c>
      <c r="F484" s="13" t="n">
        <v>0</v>
      </c>
      <c r="G484" s="13" t="n">
        <v>0</v>
      </c>
      <c r="H484" s="13" t="n">
        <v>0</v>
      </c>
      <c r="I484" s="13" t="n">
        <f aca="false">H484-G484</f>
        <v>0</v>
      </c>
      <c r="J484" s="13" t="n">
        <f aca="false">H484-F484</f>
        <v>0</v>
      </c>
    </row>
    <row r="485" customFormat="false" ht="15" hidden="false" customHeight="false" outlineLevel="0" collapsed="false">
      <c r="A485" s="13" t="s">
        <v>93</v>
      </c>
      <c r="B485" s="13" t="s">
        <v>94</v>
      </c>
      <c r="C485" s="13" t="n">
        <v>49</v>
      </c>
      <c r="D485" s="13" t="s">
        <v>23</v>
      </c>
      <c r="E485" s="13" t="s">
        <v>22</v>
      </c>
      <c r="F485" s="13" t="n">
        <v>87</v>
      </c>
      <c r="G485" s="13" t="n">
        <v>47</v>
      </c>
      <c r="H485" s="13" t="n">
        <v>47</v>
      </c>
      <c r="I485" s="13" t="n">
        <f aca="false">H485-G485</f>
        <v>0</v>
      </c>
      <c r="J485" s="13" t="n">
        <f aca="false">H485-F485</f>
        <v>-40</v>
      </c>
    </row>
    <row r="486" customFormat="false" ht="15" hidden="false" customHeight="false" outlineLevel="0" collapsed="false">
      <c r="A486" s="13" t="s">
        <v>93</v>
      </c>
      <c r="B486" s="13" t="s">
        <v>94</v>
      </c>
      <c r="C486" s="13" t="n">
        <v>49</v>
      </c>
      <c r="D486" s="13" t="s">
        <v>23</v>
      </c>
      <c r="E486" s="13" t="s">
        <v>24</v>
      </c>
      <c r="F486" s="13" t="n">
        <v>16</v>
      </c>
      <c r="G486" s="13" t="n">
        <v>49</v>
      </c>
      <c r="H486" s="13" t="n">
        <v>49</v>
      </c>
      <c r="I486" s="13" t="n">
        <f aca="false">H486-G486</f>
        <v>0</v>
      </c>
      <c r="J486" s="13" t="n">
        <f aca="false">H486-F486</f>
        <v>33</v>
      </c>
    </row>
    <row r="487" customFormat="false" ht="15" hidden="false" customHeight="false" outlineLevel="0" collapsed="false">
      <c r="A487" s="13" t="s">
        <v>93</v>
      </c>
      <c r="B487" s="13" t="s">
        <v>94</v>
      </c>
      <c r="C487" s="13" t="n">
        <v>49</v>
      </c>
      <c r="D487" s="13" t="s">
        <v>23</v>
      </c>
      <c r="E487" s="13" t="s">
        <v>25</v>
      </c>
      <c r="F487" s="13" t="n">
        <v>210</v>
      </c>
      <c r="G487" s="13" t="n">
        <v>49</v>
      </c>
      <c r="H487" s="13" t="n">
        <v>49</v>
      </c>
      <c r="I487" s="13" t="n">
        <f aca="false">H487-G487</f>
        <v>0</v>
      </c>
      <c r="J487" s="13" t="n">
        <f aca="false">H487-F487</f>
        <v>-161</v>
      </c>
    </row>
    <row r="488" customFormat="false" ht="15" hidden="false" customHeight="false" outlineLevel="0" collapsed="false">
      <c r="A488" s="13" t="s">
        <v>93</v>
      </c>
      <c r="B488" s="13" t="s">
        <v>94</v>
      </c>
      <c r="C488" s="13" t="n">
        <v>49</v>
      </c>
      <c r="D488" s="13" t="s">
        <v>23</v>
      </c>
      <c r="E488" s="13" t="s">
        <v>26</v>
      </c>
      <c r="F488" s="13" t="n">
        <v>74</v>
      </c>
      <c r="G488" s="13" t="n">
        <v>44</v>
      </c>
      <c r="H488" s="13" t="n">
        <v>44</v>
      </c>
      <c r="I488" s="13" t="n">
        <f aca="false">H488-G488</f>
        <v>0</v>
      </c>
      <c r="J488" s="13" t="n">
        <f aca="false">H488-F488</f>
        <v>-30</v>
      </c>
    </row>
    <row r="489" customFormat="false" ht="15" hidden="false" customHeight="false" outlineLevel="0" collapsed="false">
      <c r="A489" s="13" t="s">
        <v>93</v>
      </c>
      <c r="B489" s="13" t="s">
        <v>94</v>
      </c>
      <c r="C489" s="13" t="n">
        <v>49</v>
      </c>
      <c r="D489" s="13" t="s">
        <v>23</v>
      </c>
      <c r="E489" s="13" t="s">
        <v>27</v>
      </c>
      <c r="F489" s="13" t="n">
        <v>119</v>
      </c>
      <c r="G489" s="13" t="n">
        <v>48</v>
      </c>
      <c r="H489" s="13" t="n">
        <v>48</v>
      </c>
      <c r="I489" s="13" t="n">
        <f aca="false">H489-G489</f>
        <v>0</v>
      </c>
      <c r="J489" s="13" t="n">
        <f aca="false">H489-F489</f>
        <v>-71</v>
      </c>
    </row>
    <row r="490" customFormat="false" ht="15" hidden="false" customHeight="false" outlineLevel="0" collapsed="false">
      <c r="A490" s="13" t="s">
        <v>93</v>
      </c>
      <c r="B490" s="13" t="s">
        <v>94</v>
      </c>
      <c r="C490" s="13" t="n">
        <v>49</v>
      </c>
      <c r="D490" s="13" t="s">
        <v>23</v>
      </c>
      <c r="E490" s="13" t="s">
        <v>28</v>
      </c>
      <c r="F490" s="13" t="n">
        <v>69</v>
      </c>
      <c r="G490" s="13" t="n">
        <v>44</v>
      </c>
      <c r="H490" s="13" t="n">
        <v>44</v>
      </c>
      <c r="I490" s="13" t="n">
        <f aca="false">H490-G490</f>
        <v>0</v>
      </c>
      <c r="J490" s="13" t="n">
        <f aca="false">H490-F490</f>
        <v>-25</v>
      </c>
    </row>
    <row r="491" customFormat="false" ht="15" hidden="false" customHeight="false" outlineLevel="0" collapsed="false">
      <c r="A491" s="13" t="s">
        <v>93</v>
      </c>
      <c r="B491" s="13" t="s">
        <v>94</v>
      </c>
      <c r="C491" s="13" t="n">
        <v>49</v>
      </c>
      <c r="D491" s="13" t="s">
        <v>23</v>
      </c>
      <c r="E491" s="13" t="s">
        <v>29</v>
      </c>
      <c r="F491" s="13" t="n">
        <v>69</v>
      </c>
      <c r="G491" s="13" t="n">
        <v>36</v>
      </c>
      <c r="H491" s="13" t="n">
        <v>36</v>
      </c>
      <c r="I491" s="13" t="n">
        <f aca="false">H491-G491</f>
        <v>0</v>
      </c>
      <c r="J491" s="13" t="n">
        <f aca="false">H491-F491</f>
        <v>-33</v>
      </c>
    </row>
    <row r="492" customFormat="false" ht="15" hidden="false" customHeight="false" outlineLevel="0" collapsed="false">
      <c r="A492" s="13" t="s">
        <v>93</v>
      </c>
      <c r="B492" s="13" t="s">
        <v>94</v>
      </c>
      <c r="C492" s="13" t="n">
        <v>49</v>
      </c>
      <c r="D492" s="13" t="s">
        <v>23</v>
      </c>
      <c r="E492" s="13" t="s">
        <v>30</v>
      </c>
      <c r="F492" s="13" t="n">
        <v>214</v>
      </c>
      <c r="G492" s="13" t="n">
        <v>49</v>
      </c>
      <c r="H492" s="13" t="n">
        <v>49</v>
      </c>
      <c r="I492" s="13" t="n">
        <f aca="false">H492-G492</f>
        <v>0</v>
      </c>
      <c r="J492" s="13" t="n">
        <f aca="false">H492-F492</f>
        <v>-165</v>
      </c>
    </row>
    <row r="493" customFormat="false" ht="15" hidden="false" customHeight="false" outlineLevel="0" collapsed="false">
      <c r="A493" s="13" t="s">
        <v>93</v>
      </c>
      <c r="B493" s="13" t="s">
        <v>94</v>
      </c>
      <c r="C493" s="13" t="n">
        <v>49</v>
      </c>
      <c r="D493" s="13" t="s">
        <v>23</v>
      </c>
      <c r="E493" s="13" t="s">
        <v>31</v>
      </c>
      <c r="F493" s="13" t="n">
        <v>0</v>
      </c>
      <c r="G493" s="13" t="n">
        <v>10</v>
      </c>
      <c r="H493" s="13" t="n">
        <v>10</v>
      </c>
      <c r="I493" s="13" t="n">
        <f aca="false">H493-G493</f>
        <v>0</v>
      </c>
      <c r="J493" s="13" t="n">
        <f aca="false">H493-F493</f>
        <v>10</v>
      </c>
    </row>
    <row r="494" customFormat="false" ht="15" hidden="false" customHeight="false" outlineLevel="0" collapsed="false">
      <c r="A494" s="13" t="s">
        <v>93</v>
      </c>
      <c r="B494" s="13" t="s">
        <v>94</v>
      </c>
      <c r="C494" s="13" t="n">
        <v>49</v>
      </c>
      <c r="D494" s="13" t="s">
        <v>23</v>
      </c>
      <c r="E494" s="13" t="s">
        <v>32</v>
      </c>
      <c r="F494" s="13" t="n">
        <v>0</v>
      </c>
      <c r="G494" s="13" t="n">
        <v>42</v>
      </c>
      <c r="H494" s="13" t="n">
        <v>42</v>
      </c>
      <c r="I494" s="13" t="n">
        <f aca="false">H494-G494</f>
        <v>0</v>
      </c>
      <c r="J494" s="13" t="n">
        <f aca="false">H494-F494</f>
        <v>42</v>
      </c>
    </row>
    <row r="495" customFormat="false" ht="15" hidden="false" customHeight="false" outlineLevel="0" collapsed="false">
      <c r="A495" s="13" t="s">
        <v>93</v>
      </c>
      <c r="B495" s="13" t="s">
        <v>94</v>
      </c>
      <c r="C495" s="13" t="n">
        <v>49</v>
      </c>
      <c r="D495" s="13" t="s">
        <v>23</v>
      </c>
      <c r="E495" s="13" t="s">
        <v>33</v>
      </c>
      <c r="F495" s="13" t="n">
        <v>0</v>
      </c>
      <c r="G495" s="13" t="n">
        <v>0</v>
      </c>
      <c r="H495" s="13" t="n">
        <v>0</v>
      </c>
      <c r="I495" s="13" t="n">
        <f aca="false">H495-G495</f>
        <v>0</v>
      </c>
      <c r="J495" s="13" t="n">
        <f aca="false">H495-F495</f>
        <v>0</v>
      </c>
    </row>
    <row r="496" customFormat="false" ht="15" hidden="false" customHeight="false" outlineLevel="0" collapsed="false">
      <c r="A496" s="13" t="s">
        <v>93</v>
      </c>
      <c r="B496" s="13" t="s">
        <v>94</v>
      </c>
      <c r="C496" s="13" t="n">
        <v>49</v>
      </c>
      <c r="D496" s="13" t="s">
        <v>23</v>
      </c>
      <c r="E496" s="13" t="s">
        <v>34</v>
      </c>
      <c r="F496" s="13" t="n">
        <v>2</v>
      </c>
      <c r="G496" s="13" t="n">
        <v>3</v>
      </c>
      <c r="H496" s="13" t="n">
        <v>3</v>
      </c>
      <c r="I496" s="13" t="n">
        <f aca="false">H496-G496</f>
        <v>0</v>
      </c>
      <c r="J496" s="13" t="n">
        <f aca="false">H496-F496</f>
        <v>1</v>
      </c>
    </row>
    <row r="497" customFormat="false" ht="15" hidden="false" customHeight="false" outlineLevel="0" collapsed="false">
      <c r="A497" s="13" t="s">
        <v>93</v>
      </c>
      <c r="B497" s="13" t="s">
        <v>94</v>
      </c>
      <c r="C497" s="13" t="n">
        <v>49</v>
      </c>
      <c r="D497" s="13" t="s">
        <v>23</v>
      </c>
      <c r="E497" s="13" t="s">
        <v>35</v>
      </c>
      <c r="F497" s="13" t="n">
        <v>0</v>
      </c>
      <c r="G497" s="13" t="n">
        <v>0</v>
      </c>
      <c r="H497" s="13" t="n">
        <v>0</v>
      </c>
      <c r="I497" s="13" t="n">
        <f aca="false">H497-G497</f>
        <v>0</v>
      </c>
      <c r="J497" s="13" t="n">
        <f aca="false">H497-F497</f>
        <v>0</v>
      </c>
    </row>
    <row r="498" customFormat="false" ht="15" hidden="false" customHeight="false" outlineLevel="0" collapsed="false">
      <c r="A498" s="13" t="s">
        <v>93</v>
      </c>
      <c r="B498" s="13" t="s">
        <v>94</v>
      </c>
      <c r="C498" s="13" t="n">
        <v>49</v>
      </c>
      <c r="D498" s="13" t="s">
        <v>23</v>
      </c>
      <c r="E498" s="13" t="s">
        <v>36</v>
      </c>
      <c r="F498" s="13" t="n">
        <v>0</v>
      </c>
      <c r="G498" s="13" t="n">
        <v>0</v>
      </c>
      <c r="H498" s="13" t="n">
        <v>0</v>
      </c>
      <c r="I498" s="13" t="n">
        <f aca="false">H498-G498</f>
        <v>0</v>
      </c>
      <c r="J498" s="13" t="n">
        <f aca="false">H498-F498</f>
        <v>0</v>
      </c>
    </row>
    <row r="499" customFormat="false" ht="15" hidden="false" customHeight="false" outlineLevel="0" collapsed="false">
      <c r="A499" s="13" t="s">
        <v>93</v>
      </c>
      <c r="B499" s="13" t="s">
        <v>94</v>
      </c>
      <c r="C499" s="13" t="n">
        <v>49</v>
      </c>
      <c r="D499" s="13" t="s">
        <v>155</v>
      </c>
      <c r="E499" s="13" t="s">
        <v>37</v>
      </c>
      <c r="F499" s="13" t="n">
        <v>1</v>
      </c>
      <c r="G499" s="13" t="n">
        <v>1</v>
      </c>
      <c r="H499" s="13" t="n">
        <v>1</v>
      </c>
      <c r="I499" s="13" t="n">
        <f aca="false">H499-G499</f>
        <v>0</v>
      </c>
      <c r="J499" s="13" t="n">
        <f aca="false">H499-F499</f>
        <v>0</v>
      </c>
    </row>
    <row r="500" customFormat="false" ht="15" hidden="false" customHeight="false" outlineLevel="0" collapsed="false">
      <c r="A500" s="13" t="s">
        <v>93</v>
      </c>
      <c r="B500" s="13" t="s">
        <v>94</v>
      </c>
      <c r="C500" s="13" t="n">
        <v>49</v>
      </c>
      <c r="D500" s="13" t="s">
        <v>155</v>
      </c>
      <c r="E500" s="13" t="s">
        <v>39</v>
      </c>
      <c r="F500" s="13" t="n">
        <v>0</v>
      </c>
      <c r="G500" s="13" t="n">
        <v>0</v>
      </c>
      <c r="H500" s="13" t="n">
        <v>0</v>
      </c>
      <c r="I500" s="13" t="n">
        <f aca="false">H500-G500</f>
        <v>0</v>
      </c>
      <c r="J500" s="13" t="n">
        <f aca="false">H500-F500</f>
        <v>0</v>
      </c>
    </row>
    <row r="501" customFormat="false" ht="15" hidden="false" customHeight="false" outlineLevel="0" collapsed="false">
      <c r="A501" s="13" t="s">
        <v>93</v>
      </c>
      <c r="B501" s="13" t="s">
        <v>94</v>
      </c>
      <c r="C501" s="13" t="n">
        <v>49</v>
      </c>
      <c r="D501" s="13" t="s">
        <v>155</v>
      </c>
      <c r="E501" s="13" t="s">
        <v>40</v>
      </c>
      <c r="F501" s="13" t="n">
        <v>1</v>
      </c>
      <c r="G501" s="13" t="n">
        <v>1</v>
      </c>
      <c r="H501" s="13" t="n">
        <v>1</v>
      </c>
      <c r="I501" s="13" t="n">
        <f aca="false">H501-G501</f>
        <v>0</v>
      </c>
      <c r="J501" s="13" t="n">
        <f aca="false">H501-F501</f>
        <v>0</v>
      </c>
    </row>
    <row r="502" customFormat="false" ht="15" hidden="false" customHeight="false" outlineLevel="0" collapsed="false">
      <c r="A502" s="13" t="s">
        <v>93</v>
      </c>
      <c r="B502" s="13" t="s">
        <v>94</v>
      </c>
      <c r="C502" s="13" t="n">
        <v>49</v>
      </c>
      <c r="D502" s="13" t="s">
        <v>155</v>
      </c>
      <c r="E502" s="13" t="s">
        <v>41</v>
      </c>
      <c r="F502" s="13" t="n">
        <v>0</v>
      </c>
      <c r="G502" s="13" t="n">
        <v>0</v>
      </c>
      <c r="H502" s="13" t="n">
        <v>0</v>
      </c>
      <c r="I502" s="13" t="n">
        <f aca="false">H502-G502</f>
        <v>0</v>
      </c>
      <c r="J502" s="13" t="n">
        <f aca="false">H502-F502</f>
        <v>0</v>
      </c>
    </row>
    <row r="503" customFormat="false" ht="15" hidden="false" customHeight="false" outlineLevel="0" collapsed="false">
      <c r="A503" s="13" t="s">
        <v>93</v>
      </c>
      <c r="B503" s="13" t="s">
        <v>94</v>
      </c>
      <c r="C503" s="13" t="n">
        <v>49</v>
      </c>
      <c r="D503" s="13" t="s">
        <v>155</v>
      </c>
      <c r="E503" s="13" t="s">
        <v>42</v>
      </c>
      <c r="F503" s="13" t="n">
        <v>1</v>
      </c>
      <c r="G503" s="13" t="n">
        <v>1</v>
      </c>
      <c r="H503" s="13" t="n">
        <v>1</v>
      </c>
      <c r="I503" s="13" t="n">
        <f aca="false">H503-G503</f>
        <v>0</v>
      </c>
      <c r="J503" s="13" t="n">
        <f aca="false">H503-F503</f>
        <v>0</v>
      </c>
    </row>
    <row r="504" customFormat="false" ht="15" hidden="false" customHeight="false" outlineLevel="0" collapsed="false">
      <c r="A504" s="13" t="s">
        <v>93</v>
      </c>
      <c r="B504" s="13" t="s">
        <v>94</v>
      </c>
      <c r="C504" s="13" t="n">
        <v>49</v>
      </c>
      <c r="D504" s="13" t="s">
        <v>155</v>
      </c>
      <c r="E504" s="13" t="s">
        <v>43</v>
      </c>
      <c r="F504" s="13" t="n">
        <v>0</v>
      </c>
      <c r="G504" s="13" t="n">
        <v>0</v>
      </c>
      <c r="H504" s="13" t="n">
        <v>0</v>
      </c>
      <c r="I504" s="13" t="n">
        <f aca="false">H504-G504</f>
        <v>0</v>
      </c>
      <c r="J504" s="13" t="n">
        <f aca="false">H504-F504</f>
        <v>0</v>
      </c>
    </row>
    <row r="505" customFormat="false" ht="15" hidden="false" customHeight="false" outlineLevel="0" collapsed="false">
      <c r="A505" s="13" t="s">
        <v>93</v>
      </c>
      <c r="B505" s="13" t="s">
        <v>94</v>
      </c>
      <c r="C505" s="13" t="n">
        <v>49</v>
      </c>
      <c r="D505" s="13" t="s">
        <v>155</v>
      </c>
      <c r="E505" s="13" t="s">
        <v>44</v>
      </c>
      <c r="F505" s="13" t="n">
        <v>0</v>
      </c>
      <c r="G505" s="13" t="n">
        <v>0</v>
      </c>
      <c r="H505" s="13" t="n">
        <v>0</v>
      </c>
      <c r="I505" s="13" t="n">
        <f aca="false">H505-G505</f>
        <v>0</v>
      </c>
      <c r="J505" s="13" t="n">
        <f aca="false">H505-F505</f>
        <v>0</v>
      </c>
    </row>
    <row r="506" customFormat="false" ht="15" hidden="false" customHeight="false" outlineLevel="0" collapsed="false">
      <c r="A506" s="13" t="s">
        <v>93</v>
      </c>
      <c r="B506" s="13" t="s">
        <v>94</v>
      </c>
      <c r="C506" s="13" t="n">
        <v>49</v>
      </c>
      <c r="D506" s="13" t="s">
        <v>155</v>
      </c>
      <c r="E506" s="13" t="s">
        <v>45</v>
      </c>
      <c r="F506" s="13" t="n">
        <v>0</v>
      </c>
      <c r="G506" s="13" t="n">
        <v>0</v>
      </c>
      <c r="H506" s="13" t="n">
        <v>0</v>
      </c>
      <c r="I506" s="13" t="n">
        <f aca="false">H506-G506</f>
        <v>0</v>
      </c>
      <c r="J506" s="13" t="n">
        <f aca="false">H506-F506</f>
        <v>0</v>
      </c>
    </row>
    <row r="507" customFormat="false" ht="15" hidden="false" customHeight="false" outlineLevel="0" collapsed="false">
      <c r="A507" s="13" t="s">
        <v>93</v>
      </c>
      <c r="B507" s="13" t="s">
        <v>94</v>
      </c>
      <c r="C507" s="13" t="n">
        <v>49</v>
      </c>
      <c r="D507" s="13" t="s">
        <v>155</v>
      </c>
      <c r="E507" s="13" t="s">
        <v>46</v>
      </c>
      <c r="F507" s="13" t="n">
        <v>0</v>
      </c>
      <c r="G507" s="13" t="n">
        <v>0</v>
      </c>
      <c r="H507" s="13" t="n">
        <v>0</v>
      </c>
      <c r="I507" s="13" t="n">
        <f aca="false">H507-G507</f>
        <v>0</v>
      </c>
      <c r="J507" s="13" t="n">
        <f aca="false">H507-F507</f>
        <v>0</v>
      </c>
    </row>
    <row r="508" customFormat="false" ht="15" hidden="false" customHeight="false" outlineLevel="0" collapsed="false">
      <c r="A508" s="13" t="s">
        <v>95</v>
      </c>
      <c r="B508" s="13" t="s">
        <v>96</v>
      </c>
      <c r="C508" s="13" t="n">
        <v>44</v>
      </c>
      <c r="D508" s="13" t="s">
        <v>23</v>
      </c>
      <c r="E508" s="13" t="s">
        <v>22</v>
      </c>
      <c r="F508" s="13" t="n">
        <v>43</v>
      </c>
      <c r="G508" s="13" t="n">
        <v>43</v>
      </c>
      <c r="H508" s="13" t="n">
        <v>43</v>
      </c>
      <c r="I508" s="13" t="n">
        <f aca="false">H508-G508</f>
        <v>0</v>
      </c>
      <c r="J508" s="13" t="n">
        <f aca="false">H508-F508</f>
        <v>0</v>
      </c>
    </row>
    <row r="509" customFormat="false" ht="15" hidden="false" customHeight="false" outlineLevel="0" collapsed="false">
      <c r="A509" s="13" t="s">
        <v>95</v>
      </c>
      <c r="B509" s="13" t="s">
        <v>96</v>
      </c>
      <c r="C509" s="13" t="n">
        <v>44</v>
      </c>
      <c r="D509" s="13" t="s">
        <v>23</v>
      </c>
      <c r="E509" s="13" t="s">
        <v>24</v>
      </c>
      <c r="F509" s="13" t="n">
        <v>44</v>
      </c>
      <c r="G509" s="13" t="n">
        <v>44</v>
      </c>
      <c r="H509" s="13" t="n">
        <v>44</v>
      </c>
      <c r="I509" s="13" t="n">
        <f aca="false">H509-G509</f>
        <v>0</v>
      </c>
      <c r="J509" s="13" t="n">
        <f aca="false">H509-F509</f>
        <v>0</v>
      </c>
    </row>
    <row r="510" customFormat="false" ht="15" hidden="false" customHeight="false" outlineLevel="0" collapsed="false">
      <c r="A510" s="13" t="s">
        <v>95</v>
      </c>
      <c r="B510" s="13" t="s">
        <v>96</v>
      </c>
      <c r="C510" s="13" t="n">
        <v>44</v>
      </c>
      <c r="D510" s="13" t="s">
        <v>23</v>
      </c>
      <c r="E510" s="13" t="s">
        <v>25</v>
      </c>
      <c r="F510" s="13" t="n">
        <v>41</v>
      </c>
      <c r="G510" s="13" t="n">
        <v>41</v>
      </c>
      <c r="H510" s="13" t="n">
        <v>41</v>
      </c>
      <c r="I510" s="13" t="n">
        <f aca="false">H510-G510</f>
        <v>0</v>
      </c>
      <c r="J510" s="13" t="n">
        <f aca="false">H510-F510</f>
        <v>0</v>
      </c>
    </row>
    <row r="511" customFormat="false" ht="15" hidden="false" customHeight="false" outlineLevel="0" collapsed="false">
      <c r="A511" s="13" t="s">
        <v>95</v>
      </c>
      <c r="B511" s="13" t="s">
        <v>96</v>
      </c>
      <c r="C511" s="13" t="n">
        <v>44</v>
      </c>
      <c r="D511" s="13" t="s">
        <v>23</v>
      </c>
      <c r="E511" s="13" t="s">
        <v>26</v>
      </c>
      <c r="F511" s="13" t="n">
        <v>0</v>
      </c>
      <c r="G511" s="13" t="n">
        <v>0</v>
      </c>
      <c r="H511" s="13" t="n">
        <v>0</v>
      </c>
      <c r="I511" s="13" t="n">
        <f aca="false">H511-G511</f>
        <v>0</v>
      </c>
      <c r="J511" s="13" t="n">
        <f aca="false">H511-F511</f>
        <v>0</v>
      </c>
    </row>
    <row r="512" customFormat="false" ht="15" hidden="false" customHeight="false" outlineLevel="0" collapsed="false">
      <c r="A512" s="13" t="s">
        <v>95</v>
      </c>
      <c r="B512" s="13" t="s">
        <v>96</v>
      </c>
      <c r="C512" s="13" t="n">
        <v>44</v>
      </c>
      <c r="D512" s="13" t="s">
        <v>23</v>
      </c>
      <c r="E512" s="13" t="s">
        <v>27</v>
      </c>
      <c r="F512" s="13" t="n">
        <v>29</v>
      </c>
      <c r="G512" s="13" t="n">
        <v>29</v>
      </c>
      <c r="H512" s="13" t="n">
        <v>29</v>
      </c>
      <c r="I512" s="13" t="n">
        <f aca="false">H512-G512</f>
        <v>0</v>
      </c>
      <c r="J512" s="13" t="n">
        <f aca="false">H512-F512</f>
        <v>0</v>
      </c>
    </row>
    <row r="513" customFormat="false" ht="15" hidden="false" customHeight="false" outlineLevel="0" collapsed="false">
      <c r="A513" s="13" t="s">
        <v>95</v>
      </c>
      <c r="B513" s="13" t="s">
        <v>96</v>
      </c>
      <c r="C513" s="13" t="n">
        <v>44</v>
      </c>
      <c r="D513" s="13" t="s">
        <v>23</v>
      </c>
      <c r="E513" s="13" t="s">
        <v>28</v>
      </c>
      <c r="F513" s="13" t="n">
        <v>22</v>
      </c>
      <c r="G513" s="13" t="n">
        <v>23</v>
      </c>
      <c r="H513" s="13" t="n">
        <v>23</v>
      </c>
      <c r="I513" s="13" t="n">
        <f aca="false">H513-G513</f>
        <v>0</v>
      </c>
      <c r="J513" s="13" t="n">
        <f aca="false">H513-F513</f>
        <v>1</v>
      </c>
    </row>
    <row r="514" customFormat="false" ht="15" hidden="false" customHeight="false" outlineLevel="0" collapsed="false">
      <c r="A514" s="13" t="s">
        <v>95</v>
      </c>
      <c r="B514" s="13" t="s">
        <v>96</v>
      </c>
      <c r="C514" s="13" t="n">
        <v>44</v>
      </c>
      <c r="D514" s="13" t="s">
        <v>23</v>
      </c>
      <c r="E514" s="13" t="s">
        <v>29</v>
      </c>
      <c r="F514" s="13" t="n">
        <v>22</v>
      </c>
      <c r="G514" s="13" t="n">
        <v>23</v>
      </c>
      <c r="H514" s="13" t="n">
        <v>23</v>
      </c>
      <c r="I514" s="13" t="n">
        <f aca="false">H514-G514</f>
        <v>0</v>
      </c>
      <c r="J514" s="13" t="n">
        <f aca="false">H514-F514</f>
        <v>1</v>
      </c>
    </row>
    <row r="515" customFormat="false" ht="15" hidden="false" customHeight="false" outlineLevel="0" collapsed="false">
      <c r="A515" s="13" t="s">
        <v>95</v>
      </c>
      <c r="B515" s="13" t="s">
        <v>96</v>
      </c>
      <c r="C515" s="13" t="n">
        <v>44</v>
      </c>
      <c r="D515" s="13" t="s">
        <v>23</v>
      </c>
      <c r="E515" s="13" t="s">
        <v>30</v>
      </c>
      <c r="F515" s="13" t="n">
        <v>44</v>
      </c>
      <c r="G515" s="13" t="n">
        <v>44</v>
      </c>
      <c r="H515" s="13" t="n">
        <v>44</v>
      </c>
      <c r="I515" s="13" t="n">
        <f aca="false">H515-G515</f>
        <v>0</v>
      </c>
      <c r="J515" s="13" t="n">
        <f aca="false">H515-F515</f>
        <v>0</v>
      </c>
    </row>
    <row r="516" customFormat="false" ht="15" hidden="false" customHeight="false" outlineLevel="0" collapsed="false">
      <c r="A516" s="13" t="s">
        <v>95</v>
      </c>
      <c r="B516" s="13" t="s">
        <v>96</v>
      </c>
      <c r="C516" s="13" t="n">
        <v>44</v>
      </c>
      <c r="D516" s="13" t="s">
        <v>23</v>
      </c>
      <c r="E516" s="13" t="s">
        <v>31</v>
      </c>
      <c r="F516" s="13" t="n">
        <v>0</v>
      </c>
      <c r="G516" s="13" t="n">
        <v>0</v>
      </c>
      <c r="H516" s="13" t="n">
        <v>0</v>
      </c>
      <c r="I516" s="13" t="n">
        <f aca="false">H516-G516</f>
        <v>0</v>
      </c>
      <c r="J516" s="13" t="n">
        <f aca="false">H516-F516</f>
        <v>0</v>
      </c>
    </row>
    <row r="517" customFormat="false" ht="15" hidden="false" customHeight="false" outlineLevel="0" collapsed="false">
      <c r="A517" s="13" t="s">
        <v>95</v>
      </c>
      <c r="B517" s="13" t="s">
        <v>96</v>
      </c>
      <c r="C517" s="13" t="n">
        <v>44</v>
      </c>
      <c r="D517" s="13" t="s">
        <v>23</v>
      </c>
      <c r="E517" s="13" t="s">
        <v>32</v>
      </c>
      <c r="F517" s="13" t="n">
        <v>0</v>
      </c>
      <c r="G517" s="13" t="n">
        <v>0</v>
      </c>
      <c r="H517" s="13" t="n">
        <v>0</v>
      </c>
      <c r="I517" s="13" t="n">
        <f aca="false">H517-G517</f>
        <v>0</v>
      </c>
      <c r="J517" s="13" t="n">
        <f aca="false">H517-F517</f>
        <v>0</v>
      </c>
    </row>
    <row r="518" customFormat="false" ht="15" hidden="false" customHeight="false" outlineLevel="0" collapsed="false">
      <c r="A518" s="13" t="s">
        <v>95</v>
      </c>
      <c r="B518" s="13" t="s">
        <v>96</v>
      </c>
      <c r="C518" s="13" t="n">
        <v>44</v>
      </c>
      <c r="D518" s="13" t="s">
        <v>23</v>
      </c>
      <c r="E518" s="13" t="s">
        <v>33</v>
      </c>
      <c r="F518" s="13" t="n">
        <v>0</v>
      </c>
      <c r="G518" s="13" t="n">
        <v>0</v>
      </c>
      <c r="H518" s="13" t="n">
        <v>0</v>
      </c>
      <c r="I518" s="13" t="n">
        <f aca="false">H518-G518</f>
        <v>0</v>
      </c>
      <c r="J518" s="13" t="n">
        <f aca="false">H518-F518</f>
        <v>0</v>
      </c>
    </row>
    <row r="519" customFormat="false" ht="15" hidden="false" customHeight="false" outlineLevel="0" collapsed="false">
      <c r="A519" s="13" t="s">
        <v>95</v>
      </c>
      <c r="B519" s="13" t="s">
        <v>96</v>
      </c>
      <c r="C519" s="13" t="n">
        <v>44</v>
      </c>
      <c r="D519" s="13" t="s">
        <v>23</v>
      </c>
      <c r="E519" s="13" t="s">
        <v>34</v>
      </c>
      <c r="F519" s="13" t="n">
        <v>44</v>
      </c>
      <c r="G519" s="13" t="n">
        <v>44</v>
      </c>
      <c r="H519" s="13" t="n">
        <v>44</v>
      </c>
      <c r="I519" s="13" t="n">
        <f aca="false">H519-G519</f>
        <v>0</v>
      </c>
      <c r="J519" s="13" t="n">
        <f aca="false">H519-F519</f>
        <v>0</v>
      </c>
    </row>
    <row r="520" customFormat="false" ht="15" hidden="false" customHeight="false" outlineLevel="0" collapsed="false">
      <c r="A520" s="13" t="s">
        <v>95</v>
      </c>
      <c r="B520" s="13" t="s">
        <v>96</v>
      </c>
      <c r="C520" s="13" t="n">
        <v>44</v>
      </c>
      <c r="D520" s="13" t="s">
        <v>23</v>
      </c>
      <c r="E520" s="13" t="s">
        <v>35</v>
      </c>
      <c r="F520" s="13" t="n">
        <v>0</v>
      </c>
      <c r="G520" s="13" t="n">
        <v>0</v>
      </c>
      <c r="H520" s="13" t="n">
        <v>0</v>
      </c>
      <c r="I520" s="13" t="n">
        <f aca="false">H520-G520</f>
        <v>0</v>
      </c>
      <c r="J520" s="13" t="n">
        <f aca="false">H520-F520</f>
        <v>0</v>
      </c>
    </row>
    <row r="521" customFormat="false" ht="15" hidden="false" customHeight="false" outlineLevel="0" collapsed="false">
      <c r="A521" s="13" t="s">
        <v>95</v>
      </c>
      <c r="B521" s="13" t="s">
        <v>96</v>
      </c>
      <c r="C521" s="13" t="n">
        <v>44</v>
      </c>
      <c r="D521" s="13" t="s">
        <v>23</v>
      </c>
      <c r="E521" s="13" t="s">
        <v>36</v>
      </c>
      <c r="F521" s="13" t="n">
        <v>0</v>
      </c>
      <c r="G521" s="13" t="n">
        <v>0</v>
      </c>
      <c r="H521" s="13" t="n">
        <v>0</v>
      </c>
      <c r="I521" s="13" t="n">
        <f aca="false">H521-G521</f>
        <v>0</v>
      </c>
      <c r="J521" s="13" t="n">
        <f aca="false">H521-F521</f>
        <v>0</v>
      </c>
    </row>
    <row r="522" customFormat="false" ht="15" hidden="false" customHeight="false" outlineLevel="0" collapsed="false">
      <c r="A522" s="13" t="s">
        <v>95</v>
      </c>
      <c r="B522" s="13" t="s">
        <v>96</v>
      </c>
      <c r="C522" s="13" t="n">
        <v>44</v>
      </c>
      <c r="D522" s="13" t="s">
        <v>155</v>
      </c>
      <c r="E522" s="13" t="s">
        <v>37</v>
      </c>
      <c r="F522" s="13" t="n">
        <v>1</v>
      </c>
      <c r="G522" s="13" t="n">
        <v>1</v>
      </c>
      <c r="H522" s="13" t="n">
        <v>1</v>
      </c>
      <c r="I522" s="13" t="n">
        <f aca="false">H522-G522</f>
        <v>0</v>
      </c>
      <c r="J522" s="13" t="n">
        <f aca="false">H522-F522</f>
        <v>0</v>
      </c>
    </row>
    <row r="523" customFormat="false" ht="15" hidden="false" customHeight="false" outlineLevel="0" collapsed="false">
      <c r="A523" s="13" t="s">
        <v>95</v>
      </c>
      <c r="B523" s="13" t="s">
        <v>96</v>
      </c>
      <c r="C523" s="13" t="n">
        <v>44</v>
      </c>
      <c r="D523" s="13" t="s">
        <v>155</v>
      </c>
      <c r="E523" s="13" t="s">
        <v>39</v>
      </c>
      <c r="F523" s="13" t="n">
        <v>0</v>
      </c>
      <c r="G523" s="13" t="n">
        <v>0</v>
      </c>
      <c r="H523" s="13" t="n">
        <v>0</v>
      </c>
      <c r="I523" s="13" t="n">
        <f aca="false">H523-G523</f>
        <v>0</v>
      </c>
      <c r="J523" s="13" t="n">
        <f aca="false">H523-F523</f>
        <v>0</v>
      </c>
    </row>
    <row r="524" customFormat="false" ht="15" hidden="false" customHeight="false" outlineLevel="0" collapsed="false">
      <c r="A524" s="13" t="s">
        <v>95</v>
      </c>
      <c r="B524" s="13" t="s">
        <v>96</v>
      </c>
      <c r="C524" s="13" t="n">
        <v>44</v>
      </c>
      <c r="D524" s="13" t="s">
        <v>155</v>
      </c>
      <c r="E524" s="13" t="s">
        <v>40</v>
      </c>
      <c r="F524" s="13" t="n">
        <v>1</v>
      </c>
      <c r="G524" s="13" t="n">
        <v>1</v>
      </c>
      <c r="H524" s="13" t="n">
        <v>1</v>
      </c>
      <c r="I524" s="13" t="n">
        <f aca="false">H524-G524</f>
        <v>0</v>
      </c>
      <c r="J524" s="13" t="n">
        <f aca="false">H524-F524</f>
        <v>0</v>
      </c>
    </row>
    <row r="525" customFormat="false" ht="15" hidden="false" customHeight="false" outlineLevel="0" collapsed="false">
      <c r="A525" s="13" t="s">
        <v>95</v>
      </c>
      <c r="B525" s="13" t="s">
        <v>96</v>
      </c>
      <c r="C525" s="13" t="n">
        <v>44</v>
      </c>
      <c r="D525" s="13" t="s">
        <v>155</v>
      </c>
      <c r="E525" s="13" t="s">
        <v>41</v>
      </c>
      <c r="F525" s="13" t="n">
        <v>0</v>
      </c>
      <c r="G525" s="13" t="n">
        <v>0</v>
      </c>
      <c r="H525" s="13" t="n">
        <v>0</v>
      </c>
      <c r="I525" s="13" t="n">
        <f aca="false">H525-G525</f>
        <v>0</v>
      </c>
      <c r="J525" s="13" t="n">
        <f aca="false">H525-F525</f>
        <v>0</v>
      </c>
    </row>
    <row r="526" customFormat="false" ht="15" hidden="false" customHeight="false" outlineLevel="0" collapsed="false">
      <c r="A526" s="13" t="s">
        <v>95</v>
      </c>
      <c r="B526" s="13" t="s">
        <v>96</v>
      </c>
      <c r="C526" s="13" t="n">
        <v>44</v>
      </c>
      <c r="D526" s="13" t="s">
        <v>155</v>
      </c>
      <c r="E526" s="13" t="s">
        <v>42</v>
      </c>
      <c r="F526" s="13" t="n">
        <v>1</v>
      </c>
      <c r="G526" s="13" t="n">
        <v>1</v>
      </c>
      <c r="H526" s="13" t="n">
        <v>1</v>
      </c>
      <c r="I526" s="13" t="n">
        <f aca="false">H526-G526</f>
        <v>0</v>
      </c>
      <c r="J526" s="13" t="n">
        <f aca="false">H526-F526</f>
        <v>0</v>
      </c>
    </row>
    <row r="527" customFormat="false" ht="15" hidden="false" customHeight="false" outlineLevel="0" collapsed="false">
      <c r="A527" s="13" t="s">
        <v>95</v>
      </c>
      <c r="B527" s="13" t="s">
        <v>96</v>
      </c>
      <c r="C527" s="13" t="n">
        <v>44</v>
      </c>
      <c r="D527" s="13" t="s">
        <v>155</v>
      </c>
      <c r="E527" s="13" t="s">
        <v>43</v>
      </c>
      <c r="F527" s="13" t="n">
        <v>1</v>
      </c>
      <c r="G527" s="13" t="n">
        <v>1</v>
      </c>
      <c r="H527" s="13" t="n">
        <v>1</v>
      </c>
      <c r="I527" s="13" t="n">
        <f aca="false">H527-G527</f>
        <v>0</v>
      </c>
      <c r="J527" s="13" t="n">
        <f aca="false">H527-F527</f>
        <v>0</v>
      </c>
    </row>
    <row r="528" customFormat="false" ht="15" hidden="false" customHeight="false" outlineLevel="0" collapsed="false">
      <c r="A528" s="13" t="s">
        <v>95</v>
      </c>
      <c r="B528" s="13" t="s">
        <v>96</v>
      </c>
      <c r="C528" s="13" t="n">
        <v>44</v>
      </c>
      <c r="D528" s="13" t="s">
        <v>155</v>
      </c>
      <c r="E528" s="13" t="s">
        <v>44</v>
      </c>
      <c r="F528" s="13" t="n">
        <v>1</v>
      </c>
      <c r="G528" s="13" t="n">
        <v>1</v>
      </c>
      <c r="H528" s="13" t="n">
        <v>1</v>
      </c>
      <c r="I528" s="13" t="n">
        <f aca="false">H528-G528</f>
        <v>0</v>
      </c>
      <c r="J528" s="13" t="n">
        <f aca="false">H528-F528</f>
        <v>0</v>
      </c>
    </row>
    <row r="529" customFormat="false" ht="15" hidden="false" customHeight="false" outlineLevel="0" collapsed="false">
      <c r="A529" s="13" t="s">
        <v>95</v>
      </c>
      <c r="B529" s="13" t="s">
        <v>96</v>
      </c>
      <c r="C529" s="13" t="n">
        <v>44</v>
      </c>
      <c r="D529" s="13" t="s">
        <v>155</v>
      </c>
      <c r="E529" s="13" t="s">
        <v>45</v>
      </c>
      <c r="F529" s="13" t="n">
        <v>0</v>
      </c>
      <c r="G529" s="13" t="n">
        <v>0</v>
      </c>
      <c r="H529" s="13" t="n">
        <v>0</v>
      </c>
      <c r="I529" s="13" t="n">
        <f aca="false">H529-G529</f>
        <v>0</v>
      </c>
      <c r="J529" s="13" t="n">
        <f aca="false">H529-F529</f>
        <v>0</v>
      </c>
    </row>
    <row r="530" customFormat="false" ht="15" hidden="false" customHeight="false" outlineLevel="0" collapsed="false">
      <c r="A530" s="13" t="s">
        <v>95</v>
      </c>
      <c r="B530" s="13" t="s">
        <v>96</v>
      </c>
      <c r="C530" s="13" t="n">
        <v>44</v>
      </c>
      <c r="D530" s="13" t="s">
        <v>155</v>
      </c>
      <c r="E530" s="13" t="s">
        <v>46</v>
      </c>
      <c r="F530" s="13" t="n">
        <v>0</v>
      </c>
      <c r="G530" s="13" t="n">
        <v>0</v>
      </c>
      <c r="H530" s="13" t="n">
        <v>0</v>
      </c>
      <c r="I530" s="13" t="n">
        <f aca="false">H530-G530</f>
        <v>0</v>
      </c>
      <c r="J530" s="13" t="n">
        <f aca="false">H530-F530</f>
        <v>0</v>
      </c>
    </row>
    <row r="531" customFormat="false" ht="15" hidden="false" customHeight="false" outlineLevel="0" collapsed="false">
      <c r="A531" s="13" t="s">
        <v>97</v>
      </c>
      <c r="B531" s="13" t="s">
        <v>98</v>
      </c>
      <c r="C531" s="13" t="n">
        <v>44</v>
      </c>
      <c r="D531" s="13" t="s">
        <v>23</v>
      </c>
      <c r="E531" s="13" t="s">
        <v>22</v>
      </c>
      <c r="F531" s="13" t="n">
        <v>39</v>
      </c>
      <c r="G531" s="13" t="n">
        <v>39</v>
      </c>
      <c r="H531" s="13" t="n">
        <v>39</v>
      </c>
      <c r="I531" s="13" t="n">
        <f aca="false">H531-G531</f>
        <v>0</v>
      </c>
      <c r="J531" s="13" t="n">
        <f aca="false">H531-F531</f>
        <v>0</v>
      </c>
    </row>
    <row r="532" customFormat="false" ht="15" hidden="false" customHeight="false" outlineLevel="0" collapsed="false">
      <c r="A532" s="13" t="s">
        <v>97</v>
      </c>
      <c r="B532" s="13" t="s">
        <v>98</v>
      </c>
      <c r="C532" s="13" t="n">
        <v>44</v>
      </c>
      <c r="D532" s="13" t="s">
        <v>23</v>
      </c>
      <c r="E532" s="13" t="s">
        <v>24</v>
      </c>
      <c r="F532" s="13" t="n">
        <v>44</v>
      </c>
      <c r="G532" s="13" t="n">
        <v>44</v>
      </c>
      <c r="H532" s="13" t="n">
        <v>44</v>
      </c>
      <c r="I532" s="13" t="n">
        <f aca="false">H532-G532</f>
        <v>0</v>
      </c>
      <c r="J532" s="13" t="n">
        <f aca="false">H532-F532</f>
        <v>0</v>
      </c>
    </row>
    <row r="533" customFormat="false" ht="15" hidden="false" customHeight="false" outlineLevel="0" collapsed="false">
      <c r="A533" s="13" t="s">
        <v>97</v>
      </c>
      <c r="B533" s="13" t="s">
        <v>98</v>
      </c>
      <c r="C533" s="13" t="n">
        <v>44</v>
      </c>
      <c r="D533" s="13" t="s">
        <v>23</v>
      </c>
      <c r="E533" s="13" t="s">
        <v>25</v>
      </c>
      <c r="F533" s="13" t="n">
        <v>43</v>
      </c>
      <c r="G533" s="13" t="n">
        <v>43</v>
      </c>
      <c r="H533" s="13" t="n">
        <v>43</v>
      </c>
      <c r="I533" s="13" t="n">
        <f aca="false">H533-G533</f>
        <v>0</v>
      </c>
      <c r="J533" s="13" t="n">
        <f aca="false">H533-F533</f>
        <v>0</v>
      </c>
    </row>
    <row r="534" customFormat="false" ht="15" hidden="false" customHeight="false" outlineLevel="0" collapsed="false">
      <c r="A534" s="13" t="s">
        <v>97</v>
      </c>
      <c r="B534" s="13" t="s">
        <v>98</v>
      </c>
      <c r="C534" s="13" t="n">
        <v>44</v>
      </c>
      <c r="D534" s="13" t="s">
        <v>23</v>
      </c>
      <c r="E534" s="13" t="s">
        <v>26</v>
      </c>
      <c r="F534" s="13" t="n">
        <v>35</v>
      </c>
      <c r="G534" s="13" t="n">
        <v>32</v>
      </c>
      <c r="H534" s="13" t="n">
        <v>32</v>
      </c>
      <c r="I534" s="13" t="n">
        <f aca="false">H534-G534</f>
        <v>0</v>
      </c>
      <c r="J534" s="13" t="n">
        <f aca="false">H534-F534</f>
        <v>-3</v>
      </c>
    </row>
    <row r="535" customFormat="false" ht="15" hidden="false" customHeight="false" outlineLevel="0" collapsed="false">
      <c r="A535" s="13" t="s">
        <v>97</v>
      </c>
      <c r="B535" s="13" t="s">
        <v>98</v>
      </c>
      <c r="C535" s="13" t="n">
        <v>44</v>
      </c>
      <c r="D535" s="13" t="s">
        <v>23</v>
      </c>
      <c r="E535" s="13" t="s">
        <v>27</v>
      </c>
      <c r="F535" s="13" t="n">
        <v>40</v>
      </c>
      <c r="G535" s="13" t="n">
        <v>36</v>
      </c>
      <c r="H535" s="13" t="n">
        <v>36</v>
      </c>
      <c r="I535" s="13" t="n">
        <f aca="false">H535-G535</f>
        <v>0</v>
      </c>
      <c r="J535" s="13" t="n">
        <f aca="false">H535-F535</f>
        <v>-4</v>
      </c>
    </row>
    <row r="536" customFormat="false" ht="15" hidden="false" customHeight="false" outlineLevel="0" collapsed="false">
      <c r="A536" s="13" t="s">
        <v>97</v>
      </c>
      <c r="B536" s="13" t="s">
        <v>98</v>
      </c>
      <c r="C536" s="13" t="n">
        <v>44</v>
      </c>
      <c r="D536" s="13" t="s">
        <v>23</v>
      </c>
      <c r="E536" s="13" t="s">
        <v>28</v>
      </c>
      <c r="F536" s="13" t="n">
        <v>41</v>
      </c>
      <c r="G536" s="13" t="n">
        <v>36</v>
      </c>
      <c r="H536" s="13" t="n">
        <v>36</v>
      </c>
      <c r="I536" s="13" t="n">
        <f aca="false">H536-G536</f>
        <v>0</v>
      </c>
      <c r="J536" s="13" t="n">
        <f aca="false">H536-F536</f>
        <v>-5</v>
      </c>
    </row>
    <row r="537" customFormat="false" ht="15" hidden="false" customHeight="false" outlineLevel="0" collapsed="false">
      <c r="A537" s="13" t="s">
        <v>97</v>
      </c>
      <c r="B537" s="13" t="s">
        <v>98</v>
      </c>
      <c r="C537" s="13" t="n">
        <v>44</v>
      </c>
      <c r="D537" s="13" t="s">
        <v>23</v>
      </c>
      <c r="E537" s="13" t="s">
        <v>29</v>
      </c>
      <c r="F537" s="13" t="n">
        <v>0</v>
      </c>
      <c r="G537" s="13" t="n">
        <v>0</v>
      </c>
      <c r="H537" s="13" t="n">
        <v>0</v>
      </c>
      <c r="I537" s="13" t="n">
        <f aca="false">H537-G537</f>
        <v>0</v>
      </c>
      <c r="J537" s="13" t="n">
        <f aca="false">H537-F537</f>
        <v>0</v>
      </c>
    </row>
    <row r="538" customFormat="false" ht="15" hidden="false" customHeight="false" outlineLevel="0" collapsed="false">
      <c r="A538" s="13" t="s">
        <v>97</v>
      </c>
      <c r="B538" s="13" t="s">
        <v>98</v>
      </c>
      <c r="C538" s="13" t="n">
        <v>44</v>
      </c>
      <c r="D538" s="13" t="s">
        <v>23</v>
      </c>
      <c r="E538" s="13" t="s">
        <v>30</v>
      </c>
      <c r="F538" s="13" t="n">
        <v>44</v>
      </c>
      <c r="G538" s="13" t="n">
        <v>44</v>
      </c>
      <c r="H538" s="13" t="n">
        <v>44</v>
      </c>
      <c r="I538" s="13" t="n">
        <f aca="false">H538-G538</f>
        <v>0</v>
      </c>
      <c r="J538" s="13" t="n">
        <f aca="false">H538-F538</f>
        <v>0</v>
      </c>
    </row>
    <row r="539" customFormat="false" ht="15" hidden="false" customHeight="false" outlineLevel="0" collapsed="false">
      <c r="A539" s="13" t="s">
        <v>97</v>
      </c>
      <c r="B539" s="13" t="s">
        <v>98</v>
      </c>
      <c r="C539" s="13" t="n">
        <v>44</v>
      </c>
      <c r="D539" s="13" t="s">
        <v>23</v>
      </c>
      <c r="E539" s="13" t="s">
        <v>31</v>
      </c>
      <c r="F539" s="13" t="n">
        <v>0</v>
      </c>
      <c r="G539" s="13" t="n">
        <v>0</v>
      </c>
      <c r="H539" s="13" t="n">
        <v>0</v>
      </c>
      <c r="I539" s="13" t="n">
        <f aca="false">H539-G539</f>
        <v>0</v>
      </c>
      <c r="J539" s="13" t="n">
        <f aca="false">H539-F539</f>
        <v>0</v>
      </c>
    </row>
    <row r="540" customFormat="false" ht="15" hidden="false" customHeight="false" outlineLevel="0" collapsed="false">
      <c r="A540" s="13" t="s">
        <v>97</v>
      </c>
      <c r="B540" s="13" t="s">
        <v>98</v>
      </c>
      <c r="C540" s="13" t="n">
        <v>44</v>
      </c>
      <c r="D540" s="13" t="s">
        <v>23</v>
      </c>
      <c r="E540" s="13" t="s">
        <v>32</v>
      </c>
      <c r="F540" s="13" t="n">
        <v>37</v>
      </c>
      <c r="G540" s="13" t="n">
        <v>37</v>
      </c>
      <c r="H540" s="13" t="n">
        <v>37</v>
      </c>
      <c r="I540" s="13" t="n">
        <f aca="false">H540-G540</f>
        <v>0</v>
      </c>
      <c r="J540" s="13" t="n">
        <f aca="false">H540-F540</f>
        <v>0</v>
      </c>
    </row>
    <row r="541" customFormat="false" ht="15" hidden="false" customHeight="false" outlineLevel="0" collapsed="false">
      <c r="A541" s="13" t="s">
        <v>97</v>
      </c>
      <c r="B541" s="13" t="s">
        <v>98</v>
      </c>
      <c r="C541" s="13" t="n">
        <v>44</v>
      </c>
      <c r="D541" s="13" t="s">
        <v>23</v>
      </c>
      <c r="E541" s="13" t="s">
        <v>33</v>
      </c>
      <c r="F541" s="13" t="n">
        <v>0</v>
      </c>
      <c r="G541" s="13" t="n">
        <v>0</v>
      </c>
      <c r="H541" s="13" t="n">
        <v>0</v>
      </c>
      <c r="I541" s="13" t="n">
        <f aca="false">H541-G541</f>
        <v>0</v>
      </c>
      <c r="J541" s="13" t="n">
        <f aca="false">H541-F541</f>
        <v>0</v>
      </c>
    </row>
    <row r="542" customFormat="false" ht="15" hidden="false" customHeight="false" outlineLevel="0" collapsed="false">
      <c r="A542" s="13" t="s">
        <v>97</v>
      </c>
      <c r="B542" s="13" t="s">
        <v>98</v>
      </c>
      <c r="C542" s="13" t="n">
        <v>44</v>
      </c>
      <c r="D542" s="13" t="s">
        <v>23</v>
      </c>
      <c r="E542" s="13" t="s">
        <v>34</v>
      </c>
      <c r="F542" s="13" t="n">
        <v>44</v>
      </c>
      <c r="G542" s="13" t="n">
        <v>44</v>
      </c>
      <c r="H542" s="13" t="n">
        <v>44</v>
      </c>
      <c r="I542" s="13" t="n">
        <f aca="false">H542-G542</f>
        <v>0</v>
      </c>
      <c r="J542" s="13" t="n">
        <f aca="false">H542-F542</f>
        <v>0</v>
      </c>
    </row>
    <row r="543" customFormat="false" ht="15" hidden="false" customHeight="false" outlineLevel="0" collapsed="false">
      <c r="A543" s="13" t="s">
        <v>97</v>
      </c>
      <c r="B543" s="13" t="s">
        <v>98</v>
      </c>
      <c r="C543" s="13" t="n">
        <v>44</v>
      </c>
      <c r="D543" s="13" t="s">
        <v>23</v>
      </c>
      <c r="E543" s="13" t="s">
        <v>35</v>
      </c>
      <c r="F543" s="13" t="n">
        <v>0</v>
      </c>
      <c r="G543" s="13" t="n">
        <v>0</v>
      </c>
      <c r="H543" s="13" t="n">
        <v>0</v>
      </c>
      <c r="I543" s="13" t="n">
        <f aca="false">H543-G543</f>
        <v>0</v>
      </c>
      <c r="J543" s="13" t="n">
        <f aca="false">H543-F543</f>
        <v>0</v>
      </c>
    </row>
    <row r="544" customFormat="false" ht="15" hidden="false" customHeight="false" outlineLevel="0" collapsed="false">
      <c r="A544" s="13" t="s">
        <v>97</v>
      </c>
      <c r="B544" s="13" t="s">
        <v>98</v>
      </c>
      <c r="C544" s="13" t="n">
        <v>44</v>
      </c>
      <c r="D544" s="13" t="s">
        <v>23</v>
      </c>
      <c r="E544" s="13" t="s">
        <v>36</v>
      </c>
      <c r="F544" s="13" t="n">
        <v>0</v>
      </c>
      <c r="G544" s="13" t="n">
        <v>0</v>
      </c>
      <c r="H544" s="13" t="n">
        <v>0</v>
      </c>
      <c r="I544" s="13" t="n">
        <f aca="false">H544-G544</f>
        <v>0</v>
      </c>
      <c r="J544" s="13" t="n">
        <f aca="false">H544-F544</f>
        <v>0</v>
      </c>
    </row>
    <row r="545" customFormat="false" ht="15" hidden="false" customHeight="false" outlineLevel="0" collapsed="false">
      <c r="A545" s="13" t="s">
        <v>97</v>
      </c>
      <c r="B545" s="13" t="s">
        <v>98</v>
      </c>
      <c r="C545" s="13" t="n">
        <v>44</v>
      </c>
      <c r="D545" s="13" t="s">
        <v>155</v>
      </c>
      <c r="E545" s="13" t="s">
        <v>37</v>
      </c>
      <c r="F545" s="13" t="n">
        <v>1</v>
      </c>
      <c r="G545" s="13" t="n">
        <v>1</v>
      </c>
      <c r="H545" s="13" t="n">
        <v>1</v>
      </c>
      <c r="I545" s="13" t="n">
        <f aca="false">H545-G545</f>
        <v>0</v>
      </c>
      <c r="J545" s="13" t="n">
        <f aca="false">H545-F545</f>
        <v>0</v>
      </c>
    </row>
    <row r="546" customFormat="false" ht="15" hidden="false" customHeight="false" outlineLevel="0" collapsed="false">
      <c r="A546" s="13" t="s">
        <v>97</v>
      </c>
      <c r="B546" s="13" t="s">
        <v>98</v>
      </c>
      <c r="C546" s="13" t="n">
        <v>44</v>
      </c>
      <c r="D546" s="13" t="s">
        <v>155</v>
      </c>
      <c r="E546" s="13" t="s">
        <v>39</v>
      </c>
      <c r="F546" s="13" t="n">
        <v>0</v>
      </c>
      <c r="G546" s="13" t="n">
        <v>0</v>
      </c>
      <c r="H546" s="13" t="n">
        <v>0</v>
      </c>
      <c r="I546" s="13" t="n">
        <f aca="false">H546-G546</f>
        <v>0</v>
      </c>
      <c r="J546" s="13" t="n">
        <f aca="false">H546-F546</f>
        <v>0</v>
      </c>
    </row>
    <row r="547" customFormat="false" ht="15" hidden="false" customHeight="false" outlineLevel="0" collapsed="false">
      <c r="A547" s="13" t="s">
        <v>97</v>
      </c>
      <c r="B547" s="13" t="s">
        <v>98</v>
      </c>
      <c r="C547" s="13" t="n">
        <v>44</v>
      </c>
      <c r="D547" s="13" t="s">
        <v>155</v>
      </c>
      <c r="E547" s="13" t="s">
        <v>40</v>
      </c>
      <c r="F547" s="13" t="n">
        <v>1</v>
      </c>
      <c r="G547" s="13" t="n">
        <v>1</v>
      </c>
      <c r="H547" s="13" t="n">
        <v>1</v>
      </c>
      <c r="I547" s="13" t="n">
        <f aca="false">H547-G547</f>
        <v>0</v>
      </c>
      <c r="J547" s="13" t="n">
        <f aca="false">H547-F547</f>
        <v>0</v>
      </c>
    </row>
    <row r="548" customFormat="false" ht="15" hidden="false" customHeight="false" outlineLevel="0" collapsed="false">
      <c r="A548" s="13" t="s">
        <v>97</v>
      </c>
      <c r="B548" s="13" t="s">
        <v>98</v>
      </c>
      <c r="C548" s="13" t="n">
        <v>44</v>
      </c>
      <c r="D548" s="13" t="s">
        <v>155</v>
      </c>
      <c r="E548" s="13" t="s">
        <v>41</v>
      </c>
      <c r="F548" s="13" t="n">
        <v>0</v>
      </c>
      <c r="G548" s="13" t="n">
        <v>0</v>
      </c>
      <c r="H548" s="13" t="n">
        <v>0</v>
      </c>
      <c r="I548" s="13" t="n">
        <f aca="false">H548-G548</f>
        <v>0</v>
      </c>
      <c r="J548" s="13" t="n">
        <f aca="false">H548-F548</f>
        <v>0</v>
      </c>
    </row>
    <row r="549" customFormat="false" ht="15" hidden="false" customHeight="false" outlineLevel="0" collapsed="false">
      <c r="A549" s="13" t="s">
        <v>97</v>
      </c>
      <c r="B549" s="13" t="s">
        <v>98</v>
      </c>
      <c r="C549" s="13" t="n">
        <v>44</v>
      </c>
      <c r="D549" s="13" t="s">
        <v>155</v>
      </c>
      <c r="E549" s="13" t="s">
        <v>42</v>
      </c>
      <c r="F549" s="13" t="n">
        <v>1</v>
      </c>
      <c r="G549" s="13" t="n">
        <v>1</v>
      </c>
      <c r="H549" s="13" t="n">
        <v>1</v>
      </c>
      <c r="I549" s="13" t="n">
        <f aca="false">H549-G549</f>
        <v>0</v>
      </c>
      <c r="J549" s="13" t="n">
        <f aca="false">H549-F549</f>
        <v>0</v>
      </c>
    </row>
    <row r="550" customFormat="false" ht="15" hidden="false" customHeight="false" outlineLevel="0" collapsed="false">
      <c r="A550" s="13" t="s">
        <v>97</v>
      </c>
      <c r="B550" s="13" t="s">
        <v>98</v>
      </c>
      <c r="C550" s="13" t="n">
        <v>44</v>
      </c>
      <c r="D550" s="13" t="s">
        <v>155</v>
      </c>
      <c r="E550" s="13" t="s">
        <v>43</v>
      </c>
      <c r="F550" s="13" t="n">
        <v>0</v>
      </c>
      <c r="G550" s="13" t="n">
        <v>0</v>
      </c>
      <c r="H550" s="13" t="n">
        <v>0</v>
      </c>
      <c r="I550" s="13" t="n">
        <f aca="false">H550-G550</f>
        <v>0</v>
      </c>
      <c r="J550" s="13" t="n">
        <f aca="false">H550-F550</f>
        <v>0</v>
      </c>
    </row>
    <row r="551" customFormat="false" ht="15" hidden="false" customHeight="false" outlineLevel="0" collapsed="false">
      <c r="A551" s="13" t="s">
        <v>97</v>
      </c>
      <c r="B551" s="13" t="s">
        <v>98</v>
      </c>
      <c r="C551" s="13" t="n">
        <v>44</v>
      </c>
      <c r="D551" s="13" t="s">
        <v>155</v>
      </c>
      <c r="E551" s="13" t="s">
        <v>44</v>
      </c>
      <c r="F551" s="13" t="n">
        <v>1</v>
      </c>
      <c r="G551" s="13" t="n">
        <v>1</v>
      </c>
      <c r="H551" s="13" t="n">
        <v>1</v>
      </c>
      <c r="I551" s="13" t="n">
        <f aca="false">H551-G551</f>
        <v>0</v>
      </c>
      <c r="J551" s="13" t="n">
        <f aca="false">H551-F551</f>
        <v>0</v>
      </c>
    </row>
    <row r="552" customFormat="false" ht="15" hidden="false" customHeight="false" outlineLevel="0" collapsed="false">
      <c r="A552" s="13" t="s">
        <v>97</v>
      </c>
      <c r="B552" s="13" t="s">
        <v>98</v>
      </c>
      <c r="C552" s="13" t="n">
        <v>44</v>
      </c>
      <c r="D552" s="13" t="s">
        <v>155</v>
      </c>
      <c r="E552" s="13" t="s">
        <v>45</v>
      </c>
      <c r="F552" s="13" t="n">
        <v>0</v>
      </c>
      <c r="G552" s="13" t="n">
        <v>1</v>
      </c>
      <c r="H552" s="13" t="n">
        <v>1</v>
      </c>
      <c r="I552" s="13" t="n">
        <f aca="false">H552-G552</f>
        <v>0</v>
      </c>
      <c r="J552" s="13" t="n">
        <f aca="false">H552-F552</f>
        <v>1</v>
      </c>
    </row>
    <row r="553" customFormat="false" ht="15" hidden="false" customHeight="false" outlineLevel="0" collapsed="false">
      <c r="A553" s="13" t="s">
        <v>97</v>
      </c>
      <c r="B553" s="13" t="s">
        <v>98</v>
      </c>
      <c r="C553" s="13" t="n">
        <v>44</v>
      </c>
      <c r="D553" s="13" t="s">
        <v>155</v>
      </c>
      <c r="E553" s="13" t="s">
        <v>46</v>
      </c>
      <c r="F553" s="13" t="n">
        <v>0</v>
      </c>
      <c r="G553" s="13" t="n">
        <v>0</v>
      </c>
      <c r="H553" s="13" t="n">
        <v>0</v>
      </c>
      <c r="I553" s="13" t="n">
        <f aca="false">H553-G553</f>
        <v>0</v>
      </c>
      <c r="J553" s="13" t="n">
        <f aca="false">H553-F553</f>
        <v>0</v>
      </c>
    </row>
    <row r="554" customFormat="false" ht="15" hidden="false" customHeight="false" outlineLevel="0" collapsed="false">
      <c r="A554" s="13" t="s">
        <v>99</v>
      </c>
      <c r="B554" s="13" t="s">
        <v>100</v>
      </c>
      <c r="C554" s="13" t="n">
        <v>44</v>
      </c>
      <c r="D554" s="13" t="s">
        <v>23</v>
      </c>
      <c r="E554" s="13" t="s">
        <v>22</v>
      </c>
      <c r="F554" s="13" t="n">
        <v>32</v>
      </c>
      <c r="G554" s="13" t="n">
        <v>32</v>
      </c>
      <c r="H554" s="13" t="n">
        <v>32</v>
      </c>
      <c r="I554" s="13" t="n">
        <f aca="false">H554-G554</f>
        <v>0</v>
      </c>
      <c r="J554" s="13" t="n">
        <f aca="false">H554-F554</f>
        <v>0</v>
      </c>
    </row>
    <row r="555" customFormat="false" ht="15" hidden="false" customHeight="false" outlineLevel="0" collapsed="false">
      <c r="A555" s="13" t="s">
        <v>99</v>
      </c>
      <c r="B555" s="13" t="s">
        <v>100</v>
      </c>
      <c r="C555" s="13" t="n">
        <v>44</v>
      </c>
      <c r="D555" s="13" t="s">
        <v>23</v>
      </c>
      <c r="E555" s="13" t="s">
        <v>24</v>
      </c>
      <c r="F555" s="13" t="n">
        <v>44</v>
      </c>
      <c r="G555" s="13" t="n">
        <v>44</v>
      </c>
      <c r="H555" s="13" t="n">
        <v>44</v>
      </c>
      <c r="I555" s="13" t="n">
        <f aca="false">H555-G555</f>
        <v>0</v>
      </c>
      <c r="J555" s="13" t="n">
        <f aca="false">H555-F555</f>
        <v>0</v>
      </c>
    </row>
    <row r="556" customFormat="false" ht="15" hidden="false" customHeight="false" outlineLevel="0" collapsed="false">
      <c r="A556" s="13" t="s">
        <v>99</v>
      </c>
      <c r="B556" s="13" t="s">
        <v>100</v>
      </c>
      <c r="C556" s="13" t="n">
        <v>44</v>
      </c>
      <c r="D556" s="13" t="s">
        <v>23</v>
      </c>
      <c r="E556" s="13" t="s">
        <v>25</v>
      </c>
      <c r="F556" s="13" t="n">
        <v>44</v>
      </c>
      <c r="G556" s="13" t="n">
        <v>44</v>
      </c>
      <c r="H556" s="13" t="n">
        <v>44</v>
      </c>
      <c r="I556" s="13" t="n">
        <f aca="false">H556-G556</f>
        <v>0</v>
      </c>
      <c r="J556" s="13" t="n">
        <f aca="false">H556-F556</f>
        <v>0</v>
      </c>
    </row>
    <row r="557" customFormat="false" ht="15" hidden="false" customHeight="false" outlineLevel="0" collapsed="false">
      <c r="A557" s="13" t="s">
        <v>99</v>
      </c>
      <c r="B557" s="13" t="s">
        <v>100</v>
      </c>
      <c r="C557" s="13" t="n">
        <v>44</v>
      </c>
      <c r="D557" s="13" t="s">
        <v>23</v>
      </c>
      <c r="E557" s="13" t="s">
        <v>26</v>
      </c>
      <c r="F557" s="13" t="n">
        <v>38</v>
      </c>
      <c r="G557" s="13" t="n">
        <v>31</v>
      </c>
      <c r="H557" s="13" t="n">
        <v>31</v>
      </c>
      <c r="I557" s="13" t="n">
        <f aca="false">H557-G557</f>
        <v>0</v>
      </c>
      <c r="J557" s="13" t="n">
        <f aca="false">H557-F557</f>
        <v>-7</v>
      </c>
    </row>
    <row r="558" customFormat="false" ht="15" hidden="false" customHeight="false" outlineLevel="0" collapsed="false">
      <c r="A558" s="13" t="s">
        <v>99</v>
      </c>
      <c r="B558" s="13" t="s">
        <v>100</v>
      </c>
      <c r="C558" s="13" t="n">
        <v>44</v>
      </c>
      <c r="D558" s="13" t="s">
        <v>23</v>
      </c>
      <c r="E558" s="13" t="s">
        <v>27</v>
      </c>
      <c r="F558" s="13" t="n">
        <v>39</v>
      </c>
      <c r="G558" s="13" t="n">
        <v>32</v>
      </c>
      <c r="H558" s="13" t="n">
        <v>32</v>
      </c>
      <c r="I558" s="13" t="n">
        <f aca="false">H558-G558</f>
        <v>0</v>
      </c>
      <c r="J558" s="13" t="n">
        <f aca="false">H558-F558</f>
        <v>-7</v>
      </c>
    </row>
    <row r="559" customFormat="false" ht="15" hidden="false" customHeight="false" outlineLevel="0" collapsed="false">
      <c r="A559" s="13" t="s">
        <v>99</v>
      </c>
      <c r="B559" s="13" t="s">
        <v>100</v>
      </c>
      <c r="C559" s="13" t="n">
        <v>44</v>
      </c>
      <c r="D559" s="13" t="s">
        <v>23</v>
      </c>
      <c r="E559" s="13" t="s">
        <v>28</v>
      </c>
      <c r="F559" s="13" t="n">
        <v>34</v>
      </c>
      <c r="G559" s="13" t="n">
        <v>33</v>
      </c>
      <c r="H559" s="13" t="n">
        <v>33</v>
      </c>
      <c r="I559" s="13" t="n">
        <f aca="false">H559-G559</f>
        <v>0</v>
      </c>
      <c r="J559" s="13" t="n">
        <f aca="false">H559-F559</f>
        <v>-1</v>
      </c>
    </row>
    <row r="560" customFormat="false" ht="15" hidden="false" customHeight="false" outlineLevel="0" collapsed="false">
      <c r="A560" s="13" t="s">
        <v>99</v>
      </c>
      <c r="B560" s="13" t="s">
        <v>100</v>
      </c>
      <c r="C560" s="13" t="n">
        <v>44</v>
      </c>
      <c r="D560" s="13" t="s">
        <v>23</v>
      </c>
      <c r="E560" s="13" t="s">
        <v>29</v>
      </c>
      <c r="F560" s="13" t="n">
        <v>0</v>
      </c>
      <c r="G560" s="13" t="n">
        <v>0</v>
      </c>
      <c r="H560" s="13" t="n">
        <v>0</v>
      </c>
      <c r="I560" s="13" t="n">
        <f aca="false">H560-G560</f>
        <v>0</v>
      </c>
      <c r="J560" s="13" t="n">
        <f aca="false">H560-F560</f>
        <v>0</v>
      </c>
    </row>
    <row r="561" customFormat="false" ht="15" hidden="false" customHeight="false" outlineLevel="0" collapsed="false">
      <c r="A561" s="13" t="s">
        <v>99</v>
      </c>
      <c r="B561" s="13" t="s">
        <v>100</v>
      </c>
      <c r="C561" s="13" t="n">
        <v>44</v>
      </c>
      <c r="D561" s="13" t="s">
        <v>23</v>
      </c>
      <c r="E561" s="13" t="s">
        <v>30</v>
      </c>
      <c r="F561" s="13" t="n">
        <v>44</v>
      </c>
      <c r="G561" s="13" t="n">
        <v>44</v>
      </c>
      <c r="H561" s="13" t="n">
        <v>44</v>
      </c>
      <c r="I561" s="13" t="n">
        <f aca="false">H561-G561</f>
        <v>0</v>
      </c>
      <c r="J561" s="13" t="n">
        <f aca="false">H561-F561</f>
        <v>0</v>
      </c>
    </row>
    <row r="562" customFormat="false" ht="15" hidden="false" customHeight="false" outlineLevel="0" collapsed="false">
      <c r="A562" s="13" t="s">
        <v>99</v>
      </c>
      <c r="B562" s="13" t="s">
        <v>100</v>
      </c>
      <c r="C562" s="13" t="n">
        <v>44</v>
      </c>
      <c r="D562" s="13" t="s">
        <v>23</v>
      </c>
      <c r="E562" s="13" t="s">
        <v>31</v>
      </c>
      <c r="F562" s="13" t="n">
        <v>25</v>
      </c>
      <c r="G562" s="13" t="n">
        <v>26</v>
      </c>
      <c r="H562" s="13" t="n">
        <v>26</v>
      </c>
      <c r="I562" s="13" t="n">
        <f aca="false">H562-G562</f>
        <v>0</v>
      </c>
      <c r="J562" s="13" t="n">
        <f aca="false">H562-F562</f>
        <v>1</v>
      </c>
    </row>
    <row r="563" customFormat="false" ht="15" hidden="false" customHeight="false" outlineLevel="0" collapsed="false">
      <c r="A563" s="13" t="s">
        <v>99</v>
      </c>
      <c r="B563" s="13" t="s">
        <v>100</v>
      </c>
      <c r="C563" s="13" t="n">
        <v>44</v>
      </c>
      <c r="D563" s="13" t="s">
        <v>23</v>
      </c>
      <c r="E563" s="13" t="s">
        <v>32</v>
      </c>
      <c r="F563" s="13" t="n">
        <v>30</v>
      </c>
      <c r="G563" s="13" t="n">
        <v>30</v>
      </c>
      <c r="H563" s="13" t="n">
        <v>30</v>
      </c>
      <c r="I563" s="13" t="n">
        <f aca="false">H563-G563</f>
        <v>0</v>
      </c>
      <c r="J563" s="13" t="n">
        <f aca="false">H563-F563</f>
        <v>0</v>
      </c>
    </row>
    <row r="564" customFormat="false" ht="15" hidden="false" customHeight="false" outlineLevel="0" collapsed="false">
      <c r="A564" s="13" t="s">
        <v>99</v>
      </c>
      <c r="B564" s="13" t="s">
        <v>100</v>
      </c>
      <c r="C564" s="13" t="n">
        <v>44</v>
      </c>
      <c r="D564" s="13" t="s">
        <v>23</v>
      </c>
      <c r="E564" s="13" t="s">
        <v>33</v>
      </c>
      <c r="F564" s="13" t="n">
        <v>0</v>
      </c>
      <c r="G564" s="13" t="n">
        <v>0</v>
      </c>
      <c r="H564" s="13" t="n">
        <v>0</v>
      </c>
      <c r="I564" s="13" t="n">
        <f aca="false">H564-G564</f>
        <v>0</v>
      </c>
      <c r="J564" s="13" t="n">
        <f aca="false">H564-F564</f>
        <v>0</v>
      </c>
    </row>
    <row r="565" customFormat="false" ht="15" hidden="false" customHeight="false" outlineLevel="0" collapsed="false">
      <c r="A565" s="13" t="s">
        <v>99</v>
      </c>
      <c r="B565" s="13" t="s">
        <v>100</v>
      </c>
      <c r="C565" s="13" t="n">
        <v>44</v>
      </c>
      <c r="D565" s="13" t="s">
        <v>23</v>
      </c>
      <c r="E565" s="13" t="s">
        <v>34</v>
      </c>
      <c r="F565" s="13" t="n">
        <v>43</v>
      </c>
      <c r="G565" s="13" t="n">
        <v>43</v>
      </c>
      <c r="H565" s="13" t="n">
        <v>43</v>
      </c>
      <c r="I565" s="13" t="n">
        <f aca="false">H565-G565</f>
        <v>0</v>
      </c>
      <c r="J565" s="13" t="n">
        <f aca="false">H565-F565</f>
        <v>0</v>
      </c>
    </row>
    <row r="566" customFormat="false" ht="15" hidden="false" customHeight="false" outlineLevel="0" collapsed="false">
      <c r="A566" s="13" t="s">
        <v>99</v>
      </c>
      <c r="B566" s="13" t="s">
        <v>100</v>
      </c>
      <c r="C566" s="13" t="n">
        <v>44</v>
      </c>
      <c r="D566" s="13" t="s">
        <v>23</v>
      </c>
      <c r="E566" s="13" t="s">
        <v>35</v>
      </c>
      <c r="F566" s="13" t="n">
        <v>0</v>
      </c>
      <c r="G566" s="13" t="n">
        <v>0</v>
      </c>
      <c r="H566" s="13" t="n">
        <v>0</v>
      </c>
      <c r="I566" s="13" t="n">
        <f aca="false">H566-G566</f>
        <v>0</v>
      </c>
      <c r="J566" s="13" t="n">
        <f aca="false">H566-F566</f>
        <v>0</v>
      </c>
    </row>
    <row r="567" customFormat="false" ht="15" hidden="false" customHeight="false" outlineLevel="0" collapsed="false">
      <c r="A567" s="13" t="s">
        <v>99</v>
      </c>
      <c r="B567" s="13" t="s">
        <v>100</v>
      </c>
      <c r="C567" s="13" t="n">
        <v>44</v>
      </c>
      <c r="D567" s="13" t="s">
        <v>23</v>
      </c>
      <c r="E567" s="13" t="s">
        <v>36</v>
      </c>
      <c r="F567" s="13" t="n">
        <v>0</v>
      </c>
      <c r="G567" s="13" t="n">
        <v>0</v>
      </c>
      <c r="H567" s="13" t="n">
        <v>0</v>
      </c>
      <c r="I567" s="13" t="n">
        <f aca="false">H567-G567</f>
        <v>0</v>
      </c>
      <c r="J567" s="13" t="n">
        <f aca="false">H567-F567</f>
        <v>0</v>
      </c>
    </row>
    <row r="568" customFormat="false" ht="15" hidden="false" customHeight="false" outlineLevel="0" collapsed="false">
      <c r="A568" s="13" t="s">
        <v>99</v>
      </c>
      <c r="B568" s="13" t="s">
        <v>100</v>
      </c>
      <c r="C568" s="13" t="n">
        <v>44</v>
      </c>
      <c r="D568" s="13" t="s">
        <v>155</v>
      </c>
      <c r="E568" s="13" t="s">
        <v>37</v>
      </c>
      <c r="F568" s="13" t="n">
        <v>1</v>
      </c>
      <c r="G568" s="13" t="n">
        <v>1</v>
      </c>
      <c r="H568" s="13" t="n">
        <v>1</v>
      </c>
      <c r="I568" s="13" t="n">
        <f aca="false">H568-G568</f>
        <v>0</v>
      </c>
      <c r="J568" s="13" t="n">
        <f aca="false">H568-F568</f>
        <v>0</v>
      </c>
    </row>
    <row r="569" customFormat="false" ht="15" hidden="false" customHeight="false" outlineLevel="0" collapsed="false">
      <c r="A569" s="13" t="s">
        <v>99</v>
      </c>
      <c r="B569" s="13" t="s">
        <v>100</v>
      </c>
      <c r="C569" s="13" t="n">
        <v>44</v>
      </c>
      <c r="D569" s="13" t="s">
        <v>155</v>
      </c>
      <c r="E569" s="13" t="s">
        <v>39</v>
      </c>
      <c r="F569" s="13" t="n">
        <v>1</v>
      </c>
      <c r="G569" s="13" t="n">
        <v>1</v>
      </c>
      <c r="H569" s="13" t="n">
        <v>1</v>
      </c>
      <c r="I569" s="13" t="n">
        <f aca="false">H569-G569</f>
        <v>0</v>
      </c>
      <c r="J569" s="13" t="n">
        <f aca="false">H569-F569</f>
        <v>0</v>
      </c>
    </row>
    <row r="570" customFormat="false" ht="15" hidden="false" customHeight="false" outlineLevel="0" collapsed="false">
      <c r="A570" s="13" t="s">
        <v>99</v>
      </c>
      <c r="B570" s="13" t="s">
        <v>100</v>
      </c>
      <c r="C570" s="13" t="n">
        <v>44</v>
      </c>
      <c r="D570" s="13" t="s">
        <v>155</v>
      </c>
      <c r="E570" s="13" t="s">
        <v>40</v>
      </c>
      <c r="F570" s="13" t="n">
        <v>1</v>
      </c>
      <c r="G570" s="13" t="n">
        <v>1</v>
      </c>
      <c r="H570" s="13" t="n">
        <v>1</v>
      </c>
      <c r="I570" s="13" t="n">
        <f aca="false">H570-G570</f>
        <v>0</v>
      </c>
      <c r="J570" s="13" t="n">
        <f aca="false">H570-F570</f>
        <v>0</v>
      </c>
    </row>
    <row r="571" customFormat="false" ht="15" hidden="false" customHeight="false" outlineLevel="0" collapsed="false">
      <c r="A571" s="13" t="s">
        <v>99</v>
      </c>
      <c r="B571" s="13" t="s">
        <v>100</v>
      </c>
      <c r="C571" s="13" t="n">
        <v>44</v>
      </c>
      <c r="D571" s="13" t="s">
        <v>155</v>
      </c>
      <c r="E571" s="13" t="s">
        <v>41</v>
      </c>
      <c r="F571" s="13" t="n">
        <v>0</v>
      </c>
      <c r="G571" s="13" t="n">
        <v>0</v>
      </c>
      <c r="H571" s="13" t="n">
        <v>0</v>
      </c>
      <c r="I571" s="13" t="n">
        <f aca="false">H571-G571</f>
        <v>0</v>
      </c>
      <c r="J571" s="13" t="n">
        <f aca="false">H571-F571</f>
        <v>0</v>
      </c>
    </row>
    <row r="572" customFormat="false" ht="15" hidden="false" customHeight="false" outlineLevel="0" collapsed="false">
      <c r="A572" s="13" t="s">
        <v>99</v>
      </c>
      <c r="B572" s="13" t="s">
        <v>100</v>
      </c>
      <c r="C572" s="13" t="n">
        <v>44</v>
      </c>
      <c r="D572" s="13" t="s">
        <v>155</v>
      </c>
      <c r="E572" s="13" t="s">
        <v>42</v>
      </c>
      <c r="F572" s="13" t="n">
        <v>1</v>
      </c>
      <c r="G572" s="13" t="n">
        <v>1</v>
      </c>
      <c r="H572" s="13" t="n">
        <v>1</v>
      </c>
      <c r="I572" s="13" t="n">
        <f aca="false">H572-G572</f>
        <v>0</v>
      </c>
      <c r="J572" s="13" t="n">
        <f aca="false">H572-F572</f>
        <v>0</v>
      </c>
    </row>
    <row r="573" customFormat="false" ht="15" hidden="false" customHeight="false" outlineLevel="0" collapsed="false">
      <c r="A573" s="13" t="s">
        <v>99</v>
      </c>
      <c r="B573" s="13" t="s">
        <v>100</v>
      </c>
      <c r="C573" s="13" t="n">
        <v>44</v>
      </c>
      <c r="D573" s="13" t="s">
        <v>155</v>
      </c>
      <c r="E573" s="13" t="s">
        <v>43</v>
      </c>
      <c r="F573" s="13" t="n">
        <v>1</v>
      </c>
      <c r="G573" s="13" t="n">
        <v>1</v>
      </c>
      <c r="H573" s="13" t="n">
        <v>1</v>
      </c>
      <c r="I573" s="13" t="n">
        <f aca="false">H573-G573</f>
        <v>0</v>
      </c>
      <c r="J573" s="13" t="n">
        <f aca="false">H573-F573</f>
        <v>0</v>
      </c>
    </row>
    <row r="574" customFormat="false" ht="15" hidden="false" customHeight="false" outlineLevel="0" collapsed="false">
      <c r="A574" s="13" t="s">
        <v>99</v>
      </c>
      <c r="B574" s="13" t="s">
        <v>100</v>
      </c>
      <c r="C574" s="13" t="n">
        <v>44</v>
      </c>
      <c r="D574" s="13" t="s">
        <v>155</v>
      </c>
      <c r="E574" s="13" t="s">
        <v>44</v>
      </c>
      <c r="F574" s="13" t="n">
        <v>1</v>
      </c>
      <c r="G574" s="13" t="n">
        <v>1</v>
      </c>
      <c r="H574" s="13" t="n">
        <v>1</v>
      </c>
      <c r="I574" s="13" t="n">
        <f aca="false">H574-G574</f>
        <v>0</v>
      </c>
      <c r="J574" s="13" t="n">
        <f aca="false">H574-F574</f>
        <v>0</v>
      </c>
    </row>
    <row r="575" customFormat="false" ht="15" hidden="false" customHeight="false" outlineLevel="0" collapsed="false">
      <c r="A575" s="13" t="s">
        <v>99</v>
      </c>
      <c r="B575" s="13" t="s">
        <v>100</v>
      </c>
      <c r="C575" s="13" t="n">
        <v>44</v>
      </c>
      <c r="D575" s="13" t="s">
        <v>155</v>
      </c>
      <c r="E575" s="13" t="s">
        <v>45</v>
      </c>
      <c r="F575" s="13" t="n">
        <v>0</v>
      </c>
      <c r="G575" s="13" t="n">
        <v>0</v>
      </c>
      <c r="H575" s="13" t="n">
        <v>0</v>
      </c>
      <c r="I575" s="13" t="n">
        <f aca="false">H575-G575</f>
        <v>0</v>
      </c>
      <c r="J575" s="13" t="n">
        <f aca="false">H575-F575</f>
        <v>0</v>
      </c>
    </row>
    <row r="576" customFormat="false" ht="15" hidden="false" customHeight="false" outlineLevel="0" collapsed="false">
      <c r="A576" s="13" t="s">
        <v>99</v>
      </c>
      <c r="B576" s="13" t="s">
        <v>100</v>
      </c>
      <c r="C576" s="13" t="n">
        <v>44</v>
      </c>
      <c r="D576" s="13" t="s">
        <v>155</v>
      </c>
      <c r="E576" s="13" t="s">
        <v>46</v>
      </c>
      <c r="F576" s="13" t="n">
        <v>0</v>
      </c>
      <c r="G576" s="13" t="n">
        <v>0</v>
      </c>
      <c r="H576" s="13" t="n">
        <v>0</v>
      </c>
      <c r="I576" s="13" t="n">
        <f aca="false">H576-G576</f>
        <v>0</v>
      </c>
      <c r="J576" s="13" t="n">
        <f aca="false">H576-F576</f>
        <v>0</v>
      </c>
    </row>
    <row r="577" customFormat="false" ht="15" hidden="false" customHeight="false" outlineLevel="0" collapsed="false">
      <c r="A577" s="13" t="s">
        <v>101</v>
      </c>
      <c r="B577" s="13" t="s">
        <v>102</v>
      </c>
      <c r="C577" s="13" t="n">
        <v>42</v>
      </c>
      <c r="D577" s="13" t="s">
        <v>23</v>
      </c>
      <c r="E577" s="13" t="s">
        <v>22</v>
      </c>
      <c r="F577" s="13" t="n">
        <v>3</v>
      </c>
      <c r="G577" s="13" t="n">
        <v>42</v>
      </c>
      <c r="H577" s="13" t="n">
        <v>42</v>
      </c>
      <c r="I577" s="13" t="n">
        <f aca="false">H577-G577</f>
        <v>0</v>
      </c>
      <c r="J577" s="13" t="n">
        <f aca="false">H577-F577</f>
        <v>39</v>
      </c>
    </row>
    <row r="578" customFormat="false" ht="15" hidden="false" customHeight="false" outlineLevel="0" collapsed="false">
      <c r="A578" s="13" t="s">
        <v>101</v>
      </c>
      <c r="B578" s="13" t="s">
        <v>102</v>
      </c>
      <c r="C578" s="13" t="n">
        <v>42</v>
      </c>
      <c r="D578" s="13" t="s">
        <v>23</v>
      </c>
      <c r="E578" s="13" t="s">
        <v>24</v>
      </c>
      <c r="F578" s="13" t="n">
        <v>3</v>
      </c>
      <c r="G578" s="13" t="n">
        <v>42</v>
      </c>
      <c r="H578" s="13" t="n">
        <v>42</v>
      </c>
      <c r="I578" s="13" t="n">
        <f aca="false">H578-G578</f>
        <v>0</v>
      </c>
      <c r="J578" s="13" t="n">
        <f aca="false">H578-F578</f>
        <v>39</v>
      </c>
    </row>
    <row r="579" customFormat="false" ht="15" hidden="false" customHeight="false" outlineLevel="0" collapsed="false">
      <c r="A579" s="13" t="s">
        <v>101</v>
      </c>
      <c r="B579" s="13" t="s">
        <v>102</v>
      </c>
      <c r="C579" s="13" t="n">
        <v>42</v>
      </c>
      <c r="D579" s="13" t="s">
        <v>23</v>
      </c>
      <c r="E579" s="13" t="s">
        <v>25</v>
      </c>
      <c r="F579" s="13" t="n">
        <v>3</v>
      </c>
      <c r="G579" s="13" t="n">
        <v>42</v>
      </c>
      <c r="H579" s="13" t="n">
        <v>42</v>
      </c>
      <c r="I579" s="13" t="n">
        <f aca="false">H579-G579</f>
        <v>0</v>
      </c>
      <c r="J579" s="13" t="n">
        <f aca="false">H579-F579</f>
        <v>39</v>
      </c>
    </row>
    <row r="580" customFormat="false" ht="15" hidden="false" customHeight="false" outlineLevel="0" collapsed="false">
      <c r="A580" s="13" t="s">
        <v>101</v>
      </c>
      <c r="B580" s="13" t="s">
        <v>102</v>
      </c>
      <c r="C580" s="13" t="n">
        <v>42</v>
      </c>
      <c r="D580" s="13" t="s">
        <v>23</v>
      </c>
      <c r="E580" s="13" t="s">
        <v>26</v>
      </c>
      <c r="F580" s="13" t="n">
        <v>3</v>
      </c>
      <c r="G580" s="13" t="n">
        <v>42</v>
      </c>
      <c r="H580" s="13" t="n">
        <v>42</v>
      </c>
      <c r="I580" s="13" t="n">
        <f aca="false">H580-G580</f>
        <v>0</v>
      </c>
      <c r="J580" s="13" t="n">
        <f aca="false">H580-F580</f>
        <v>39</v>
      </c>
    </row>
    <row r="581" customFormat="false" ht="15" hidden="false" customHeight="false" outlineLevel="0" collapsed="false">
      <c r="A581" s="13" t="s">
        <v>101</v>
      </c>
      <c r="B581" s="13" t="s">
        <v>102</v>
      </c>
      <c r="C581" s="13" t="n">
        <v>42</v>
      </c>
      <c r="D581" s="13" t="s">
        <v>23</v>
      </c>
      <c r="E581" s="13" t="s">
        <v>27</v>
      </c>
      <c r="F581" s="13" t="n">
        <v>3</v>
      </c>
      <c r="G581" s="13" t="n">
        <v>39</v>
      </c>
      <c r="H581" s="13" t="n">
        <v>39</v>
      </c>
      <c r="I581" s="13" t="n">
        <f aca="false">H581-G581</f>
        <v>0</v>
      </c>
      <c r="J581" s="13" t="n">
        <f aca="false">H581-F581</f>
        <v>36</v>
      </c>
    </row>
    <row r="582" customFormat="false" ht="15" hidden="false" customHeight="false" outlineLevel="0" collapsed="false">
      <c r="A582" s="13" t="s">
        <v>101</v>
      </c>
      <c r="B582" s="13" t="s">
        <v>102</v>
      </c>
      <c r="C582" s="13" t="n">
        <v>42</v>
      </c>
      <c r="D582" s="13" t="s">
        <v>23</v>
      </c>
      <c r="E582" s="13" t="s">
        <v>28</v>
      </c>
      <c r="F582" s="13" t="n">
        <v>0</v>
      </c>
      <c r="G582" s="13" t="n">
        <v>32</v>
      </c>
      <c r="H582" s="13" t="n">
        <v>32</v>
      </c>
      <c r="I582" s="13" t="n">
        <f aca="false">H582-G582</f>
        <v>0</v>
      </c>
      <c r="J582" s="13" t="n">
        <f aca="false">H582-F582</f>
        <v>32</v>
      </c>
    </row>
    <row r="583" customFormat="false" ht="15" hidden="false" customHeight="false" outlineLevel="0" collapsed="false">
      <c r="A583" s="13" t="s">
        <v>101</v>
      </c>
      <c r="B583" s="13" t="s">
        <v>102</v>
      </c>
      <c r="C583" s="13" t="n">
        <v>42</v>
      </c>
      <c r="D583" s="13" t="s">
        <v>23</v>
      </c>
      <c r="E583" s="13" t="s">
        <v>29</v>
      </c>
      <c r="F583" s="13" t="n">
        <v>0</v>
      </c>
      <c r="G583" s="13" t="n">
        <v>32</v>
      </c>
      <c r="H583" s="13" t="n">
        <v>32</v>
      </c>
      <c r="I583" s="13" t="n">
        <f aca="false">H583-G583</f>
        <v>0</v>
      </c>
      <c r="J583" s="13" t="n">
        <f aca="false">H583-F583</f>
        <v>32</v>
      </c>
    </row>
    <row r="584" customFormat="false" ht="15" hidden="false" customHeight="false" outlineLevel="0" collapsed="false">
      <c r="A584" s="13" t="s">
        <v>101</v>
      </c>
      <c r="B584" s="13" t="s">
        <v>102</v>
      </c>
      <c r="C584" s="13" t="n">
        <v>42</v>
      </c>
      <c r="D584" s="13" t="s">
        <v>23</v>
      </c>
      <c r="E584" s="13" t="s">
        <v>30</v>
      </c>
      <c r="F584" s="13" t="n">
        <v>3</v>
      </c>
      <c r="G584" s="13" t="n">
        <v>42</v>
      </c>
      <c r="H584" s="13" t="n">
        <v>42</v>
      </c>
      <c r="I584" s="13" t="n">
        <f aca="false">H584-G584</f>
        <v>0</v>
      </c>
      <c r="J584" s="13" t="n">
        <f aca="false">H584-F584</f>
        <v>39</v>
      </c>
    </row>
    <row r="585" customFormat="false" ht="15" hidden="false" customHeight="false" outlineLevel="0" collapsed="false">
      <c r="A585" s="13" t="s">
        <v>101</v>
      </c>
      <c r="B585" s="13" t="s">
        <v>102</v>
      </c>
      <c r="C585" s="13" t="n">
        <v>42</v>
      </c>
      <c r="D585" s="13" t="s">
        <v>23</v>
      </c>
      <c r="E585" s="13" t="s">
        <v>31</v>
      </c>
      <c r="F585" s="13" t="n">
        <v>0</v>
      </c>
      <c r="G585" s="13" t="n">
        <v>0</v>
      </c>
      <c r="H585" s="13" t="n">
        <v>0</v>
      </c>
      <c r="I585" s="13" t="n">
        <f aca="false">H585-G585</f>
        <v>0</v>
      </c>
      <c r="J585" s="13" t="n">
        <f aca="false">H585-F585</f>
        <v>0</v>
      </c>
    </row>
    <row r="586" customFormat="false" ht="15" hidden="false" customHeight="false" outlineLevel="0" collapsed="false">
      <c r="A586" s="13" t="s">
        <v>101</v>
      </c>
      <c r="B586" s="13" t="s">
        <v>102</v>
      </c>
      <c r="C586" s="13" t="n">
        <v>42</v>
      </c>
      <c r="D586" s="13" t="s">
        <v>23</v>
      </c>
      <c r="E586" s="13" t="s">
        <v>32</v>
      </c>
      <c r="F586" s="13" t="n">
        <v>3</v>
      </c>
      <c r="G586" s="13" t="n">
        <v>42</v>
      </c>
      <c r="H586" s="13" t="n">
        <v>42</v>
      </c>
      <c r="I586" s="13" t="n">
        <f aca="false">H586-G586</f>
        <v>0</v>
      </c>
      <c r="J586" s="13" t="n">
        <f aca="false">H586-F586</f>
        <v>39</v>
      </c>
    </row>
    <row r="587" customFormat="false" ht="15" hidden="false" customHeight="false" outlineLevel="0" collapsed="false">
      <c r="A587" s="13" t="s">
        <v>101</v>
      </c>
      <c r="B587" s="13" t="s">
        <v>102</v>
      </c>
      <c r="C587" s="13" t="n">
        <v>42</v>
      </c>
      <c r="D587" s="13" t="s">
        <v>23</v>
      </c>
      <c r="E587" s="13" t="s">
        <v>33</v>
      </c>
      <c r="F587" s="13" t="n">
        <v>0</v>
      </c>
      <c r="G587" s="13" t="n">
        <v>0</v>
      </c>
      <c r="H587" s="13" t="n">
        <v>0</v>
      </c>
      <c r="I587" s="13" t="n">
        <f aca="false">H587-G587</f>
        <v>0</v>
      </c>
      <c r="J587" s="13" t="n">
        <f aca="false">H587-F587</f>
        <v>0</v>
      </c>
    </row>
    <row r="588" customFormat="false" ht="15" hidden="false" customHeight="false" outlineLevel="0" collapsed="false">
      <c r="A588" s="13" t="s">
        <v>101</v>
      </c>
      <c r="B588" s="13" t="s">
        <v>102</v>
      </c>
      <c r="C588" s="13" t="n">
        <v>42</v>
      </c>
      <c r="D588" s="13" t="s">
        <v>23</v>
      </c>
      <c r="E588" s="13" t="s">
        <v>34</v>
      </c>
      <c r="F588" s="13" t="n">
        <v>0</v>
      </c>
      <c r="G588" s="13" t="n">
        <v>4</v>
      </c>
      <c r="H588" s="13" t="n">
        <v>4</v>
      </c>
      <c r="I588" s="13" t="n">
        <f aca="false">H588-G588</f>
        <v>0</v>
      </c>
      <c r="J588" s="13" t="n">
        <f aca="false">H588-F588</f>
        <v>4</v>
      </c>
    </row>
    <row r="589" customFormat="false" ht="15" hidden="false" customHeight="false" outlineLevel="0" collapsed="false">
      <c r="A589" s="13" t="s">
        <v>101</v>
      </c>
      <c r="B589" s="13" t="s">
        <v>102</v>
      </c>
      <c r="C589" s="13" t="n">
        <v>42</v>
      </c>
      <c r="D589" s="13" t="s">
        <v>23</v>
      </c>
      <c r="E589" s="13" t="s">
        <v>35</v>
      </c>
      <c r="F589" s="13" t="n">
        <v>0</v>
      </c>
      <c r="G589" s="13" t="n">
        <v>0</v>
      </c>
      <c r="H589" s="13" t="n">
        <v>0</v>
      </c>
      <c r="I589" s="13" t="n">
        <f aca="false">H589-G589</f>
        <v>0</v>
      </c>
      <c r="J589" s="13" t="n">
        <f aca="false">H589-F589</f>
        <v>0</v>
      </c>
    </row>
    <row r="590" customFormat="false" ht="15" hidden="false" customHeight="false" outlineLevel="0" collapsed="false">
      <c r="A590" s="13" t="s">
        <v>101</v>
      </c>
      <c r="B590" s="13" t="s">
        <v>102</v>
      </c>
      <c r="C590" s="13" t="n">
        <v>42</v>
      </c>
      <c r="D590" s="13" t="s">
        <v>23</v>
      </c>
      <c r="E590" s="13" t="s">
        <v>36</v>
      </c>
      <c r="F590" s="13" t="n">
        <v>0</v>
      </c>
      <c r="G590" s="13" t="n">
        <v>0</v>
      </c>
      <c r="H590" s="13" t="n">
        <v>0</v>
      </c>
      <c r="I590" s="13" t="n">
        <f aca="false">H590-G590</f>
        <v>0</v>
      </c>
      <c r="J590" s="13" t="n">
        <f aca="false">H590-F590</f>
        <v>0</v>
      </c>
    </row>
    <row r="591" customFormat="false" ht="15" hidden="false" customHeight="false" outlineLevel="0" collapsed="false">
      <c r="A591" s="13" t="s">
        <v>101</v>
      </c>
      <c r="B591" s="13" t="s">
        <v>102</v>
      </c>
      <c r="C591" s="13" t="n">
        <v>42</v>
      </c>
      <c r="D591" s="13" t="s">
        <v>155</v>
      </c>
      <c r="E591" s="13" t="s">
        <v>37</v>
      </c>
      <c r="F591" s="13" t="n">
        <v>1</v>
      </c>
      <c r="G591" s="13" t="n">
        <v>1</v>
      </c>
      <c r="H591" s="13" t="n">
        <v>1</v>
      </c>
      <c r="I591" s="13" t="n">
        <f aca="false">H591-G591</f>
        <v>0</v>
      </c>
      <c r="J591" s="13" t="n">
        <f aca="false">H591-F591</f>
        <v>0</v>
      </c>
    </row>
    <row r="592" customFormat="false" ht="15" hidden="false" customHeight="false" outlineLevel="0" collapsed="false">
      <c r="A592" s="13" t="s">
        <v>101</v>
      </c>
      <c r="B592" s="13" t="s">
        <v>102</v>
      </c>
      <c r="C592" s="13" t="n">
        <v>42</v>
      </c>
      <c r="D592" s="13" t="s">
        <v>155</v>
      </c>
      <c r="E592" s="13" t="s">
        <v>39</v>
      </c>
      <c r="F592" s="13" t="n">
        <v>0</v>
      </c>
      <c r="G592" s="13" t="n">
        <v>0</v>
      </c>
      <c r="H592" s="13" t="n">
        <v>0</v>
      </c>
      <c r="I592" s="13" t="n">
        <f aca="false">H592-G592</f>
        <v>0</v>
      </c>
      <c r="J592" s="13" t="n">
        <f aca="false">H592-F592</f>
        <v>0</v>
      </c>
    </row>
    <row r="593" customFormat="false" ht="15" hidden="false" customHeight="false" outlineLevel="0" collapsed="false">
      <c r="A593" s="13" t="s">
        <v>101</v>
      </c>
      <c r="B593" s="13" t="s">
        <v>102</v>
      </c>
      <c r="C593" s="13" t="n">
        <v>42</v>
      </c>
      <c r="D593" s="13" t="s">
        <v>155</v>
      </c>
      <c r="E593" s="13" t="s">
        <v>40</v>
      </c>
      <c r="F593" s="13" t="n">
        <v>0</v>
      </c>
      <c r="G593" s="13" t="n">
        <v>1</v>
      </c>
      <c r="H593" s="13" t="n">
        <v>1</v>
      </c>
      <c r="I593" s="13" t="n">
        <f aca="false">H593-G593</f>
        <v>0</v>
      </c>
      <c r="J593" s="13" t="n">
        <f aca="false">H593-F593</f>
        <v>1</v>
      </c>
    </row>
    <row r="594" customFormat="false" ht="15" hidden="false" customHeight="false" outlineLevel="0" collapsed="false">
      <c r="A594" s="13" t="s">
        <v>101</v>
      </c>
      <c r="B594" s="13" t="s">
        <v>102</v>
      </c>
      <c r="C594" s="13" t="n">
        <v>42</v>
      </c>
      <c r="D594" s="13" t="s">
        <v>155</v>
      </c>
      <c r="E594" s="13" t="s">
        <v>41</v>
      </c>
      <c r="F594" s="13" t="n">
        <v>0</v>
      </c>
      <c r="G594" s="13" t="n">
        <v>0</v>
      </c>
      <c r="H594" s="13" t="n">
        <v>0</v>
      </c>
      <c r="I594" s="13" t="n">
        <f aca="false">H594-G594</f>
        <v>0</v>
      </c>
      <c r="J594" s="13" t="n">
        <f aca="false">H594-F594</f>
        <v>0</v>
      </c>
    </row>
    <row r="595" customFormat="false" ht="15" hidden="false" customHeight="false" outlineLevel="0" collapsed="false">
      <c r="A595" s="13" t="s">
        <v>101</v>
      </c>
      <c r="B595" s="13" t="s">
        <v>102</v>
      </c>
      <c r="C595" s="13" t="n">
        <v>42</v>
      </c>
      <c r="D595" s="13" t="s">
        <v>155</v>
      </c>
      <c r="E595" s="13" t="s">
        <v>42</v>
      </c>
      <c r="F595" s="13" t="n">
        <v>1</v>
      </c>
      <c r="G595" s="13" t="n">
        <v>1</v>
      </c>
      <c r="H595" s="13" t="n">
        <v>1</v>
      </c>
      <c r="I595" s="13" t="n">
        <f aca="false">H595-G595</f>
        <v>0</v>
      </c>
      <c r="J595" s="13" t="n">
        <f aca="false">H595-F595</f>
        <v>0</v>
      </c>
    </row>
    <row r="596" customFormat="false" ht="15" hidden="false" customHeight="false" outlineLevel="0" collapsed="false">
      <c r="A596" s="13" t="s">
        <v>101</v>
      </c>
      <c r="B596" s="13" t="s">
        <v>102</v>
      </c>
      <c r="C596" s="13" t="n">
        <v>42</v>
      </c>
      <c r="D596" s="13" t="s">
        <v>155</v>
      </c>
      <c r="E596" s="13" t="s">
        <v>43</v>
      </c>
      <c r="F596" s="13" t="n">
        <v>1</v>
      </c>
      <c r="G596" s="13" t="n">
        <v>1</v>
      </c>
      <c r="H596" s="13" t="n">
        <v>1</v>
      </c>
      <c r="I596" s="13" t="n">
        <f aca="false">H596-G596</f>
        <v>0</v>
      </c>
      <c r="J596" s="13" t="n">
        <f aca="false">H596-F596</f>
        <v>0</v>
      </c>
    </row>
    <row r="597" customFormat="false" ht="15" hidden="false" customHeight="false" outlineLevel="0" collapsed="false">
      <c r="A597" s="13" t="s">
        <v>101</v>
      </c>
      <c r="B597" s="13" t="s">
        <v>102</v>
      </c>
      <c r="C597" s="13" t="n">
        <v>42</v>
      </c>
      <c r="D597" s="13" t="s">
        <v>155</v>
      </c>
      <c r="E597" s="13" t="s">
        <v>44</v>
      </c>
      <c r="F597" s="13" t="n">
        <v>1</v>
      </c>
      <c r="G597" s="13" t="n">
        <v>1</v>
      </c>
      <c r="H597" s="13" t="n">
        <v>1</v>
      </c>
      <c r="I597" s="13" t="n">
        <f aca="false">H597-G597</f>
        <v>0</v>
      </c>
      <c r="J597" s="13" t="n">
        <f aca="false">H597-F597</f>
        <v>0</v>
      </c>
    </row>
    <row r="598" customFormat="false" ht="15" hidden="false" customHeight="false" outlineLevel="0" collapsed="false">
      <c r="A598" s="13" t="s">
        <v>101</v>
      </c>
      <c r="B598" s="13" t="s">
        <v>102</v>
      </c>
      <c r="C598" s="13" t="n">
        <v>42</v>
      </c>
      <c r="D598" s="13" t="s">
        <v>155</v>
      </c>
      <c r="E598" s="13" t="s">
        <v>45</v>
      </c>
      <c r="F598" s="13" t="n">
        <v>0</v>
      </c>
      <c r="G598" s="13" t="n">
        <v>0</v>
      </c>
      <c r="H598" s="13" t="n">
        <v>0</v>
      </c>
      <c r="I598" s="13" t="n">
        <f aca="false">H598-G598</f>
        <v>0</v>
      </c>
      <c r="J598" s="13" t="n">
        <f aca="false">H598-F598</f>
        <v>0</v>
      </c>
    </row>
    <row r="599" customFormat="false" ht="15" hidden="false" customHeight="false" outlineLevel="0" collapsed="false">
      <c r="A599" s="13" t="s">
        <v>101</v>
      </c>
      <c r="B599" s="13" t="s">
        <v>102</v>
      </c>
      <c r="C599" s="13" t="n">
        <v>42</v>
      </c>
      <c r="D599" s="13" t="s">
        <v>155</v>
      </c>
      <c r="E599" s="13" t="s">
        <v>46</v>
      </c>
      <c r="F599" s="13" t="n">
        <v>0</v>
      </c>
      <c r="G599" s="13" t="n">
        <v>0</v>
      </c>
      <c r="H599" s="13" t="n">
        <v>0</v>
      </c>
      <c r="I599" s="13" t="n">
        <f aca="false">H599-G599</f>
        <v>0</v>
      </c>
      <c r="J599" s="13" t="n">
        <f aca="false">H599-F599</f>
        <v>0</v>
      </c>
    </row>
    <row r="600" customFormat="false" ht="15" hidden="false" customHeight="false" outlineLevel="0" collapsed="false">
      <c r="A600" s="13" t="s">
        <v>103</v>
      </c>
      <c r="B600" s="13" t="s">
        <v>104</v>
      </c>
      <c r="C600" s="13" t="n">
        <v>41</v>
      </c>
      <c r="D600" s="13" t="s">
        <v>23</v>
      </c>
      <c r="E600" s="13" t="s">
        <v>22</v>
      </c>
      <c r="F600" s="13" t="n">
        <v>3</v>
      </c>
      <c r="G600" s="13" t="n">
        <v>41</v>
      </c>
      <c r="H600" s="13" t="n">
        <v>41</v>
      </c>
      <c r="I600" s="13" t="n">
        <f aca="false">H600-G600</f>
        <v>0</v>
      </c>
      <c r="J600" s="13" t="n">
        <f aca="false">H600-F600</f>
        <v>38</v>
      </c>
    </row>
    <row r="601" customFormat="false" ht="15" hidden="false" customHeight="false" outlineLevel="0" collapsed="false">
      <c r="A601" s="13" t="s">
        <v>103</v>
      </c>
      <c r="B601" s="13" t="s">
        <v>104</v>
      </c>
      <c r="C601" s="13" t="n">
        <v>41</v>
      </c>
      <c r="D601" s="13" t="s">
        <v>23</v>
      </c>
      <c r="E601" s="13" t="s">
        <v>24</v>
      </c>
      <c r="F601" s="13" t="n">
        <v>3</v>
      </c>
      <c r="G601" s="13" t="n">
        <v>41</v>
      </c>
      <c r="H601" s="13" t="n">
        <v>41</v>
      </c>
      <c r="I601" s="13" t="n">
        <f aca="false">H601-G601</f>
        <v>0</v>
      </c>
      <c r="J601" s="13" t="n">
        <f aca="false">H601-F601</f>
        <v>38</v>
      </c>
    </row>
    <row r="602" customFormat="false" ht="15" hidden="false" customHeight="false" outlineLevel="0" collapsed="false">
      <c r="A602" s="13" t="s">
        <v>103</v>
      </c>
      <c r="B602" s="13" t="s">
        <v>104</v>
      </c>
      <c r="C602" s="13" t="n">
        <v>41</v>
      </c>
      <c r="D602" s="13" t="s">
        <v>23</v>
      </c>
      <c r="E602" s="13" t="s">
        <v>25</v>
      </c>
      <c r="F602" s="13" t="n">
        <v>3</v>
      </c>
      <c r="G602" s="13" t="n">
        <v>41</v>
      </c>
      <c r="H602" s="13" t="n">
        <v>41</v>
      </c>
      <c r="I602" s="13" t="n">
        <f aca="false">H602-G602</f>
        <v>0</v>
      </c>
      <c r="J602" s="13" t="n">
        <f aca="false">H602-F602</f>
        <v>38</v>
      </c>
    </row>
    <row r="603" customFormat="false" ht="15" hidden="false" customHeight="false" outlineLevel="0" collapsed="false">
      <c r="A603" s="13" t="s">
        <v>103</v>
      </c>
      <c r="B603" s="13" t="s">
        <v>104</v>
      </c>
      <c r="C603" s="13" t="n">
        <v>41</v>
      </c>
      <c r="D603" s="13" t="s">
        <v>23</v>
      </c>
      <c r="E603" s="13" t="s">
        <v>26</v>
      </c>
      <c r="F603" s="13" t="n">
        <v>0</v>
      </c>
      <c r="G603" s="13" t="n">
        <v>4</v>
      </c>
      <c r="H603" s="13" t="n">
        <v>4</v>
      </c>
      <c r="I603" s="13" t="n">
        <f aca="false">H603-G603</f>
        <v>0</v>
      </c>
      <c r="J603" s="13" t="n">
        <f aca="false">H603-F603</f>
        <v>4</v>
      </c>
    </row>
    <row r="604" customFormat="false" ht="15" hidden="false" customHeight="false" outlineLevel="0" collapsed="false">
      <c r="A604" s="13" t="s">
        <v>103</v>
      </c>
      <c r="B604" s="13" t="s">
        <v>104</v>
      </c>
      <c r="C604" s="13" t="n">
        <v>41</v>
      </c>
      <c r="D604" s="13" t="s">
        <v>23</v>
      </c>
      <c r="E604" s="13" t="s">
        <v>27</v>
      </c>
      <c r="F604" s="13" t="n">
        <v>3</v>
      </c>
      <c r="G604" s="13" t="n">
        <v>41</v>
      </c>
      <c r="H604" s="13" t="n">
        <v>41</v>
      </c>
      <c r="I604" s="13" t="n">
        <f aca="false">H604-G604</f>
        <v>0</v>
      </c>
      <c r="J604" s="13" t="n">
        <f aca="false">H604-F604</f>
        <v>38</v>
      </c>
    </row>
    <row r="605" customFormat="false" ht="15" hidden="false" customHeight="false" outlineLevel="0" collapsed="false">
      <c r="A605" s="13" t="s">
        <v>103</v>
      </c>
      <c r="B605" s="13" t="s">
        <v>104</v>
      </c>
      <c r="C605" s="13" t="n">
        <v>41</v>
      </c>
      <c r="D605" s="13" t="s">
        <v>23</v>
      </c>
      <c r="E605" s="13" t="s">
        <v>28</v>
      </c>
      <c r="F605" s="13" t="n">
        <v>3</v>
      </c>
      <c r="G605" s="13" t="n">
        <v>41</v>
      </c>
      <c r="H605" s="13" t="n">
        <v>41</v>
      </c>
      <c r="I605" s="13" t="n">
        <f aca="false">H605-G605</f>
        <v>0</v>
      </c>
      <c r="J605" s="13" t="n">
        <f aca="false">H605-F605</f>
        <v>38</v>
      </c>
    </row>
    <row r="606" customFormat="false" ht="15" hidden="false" customHeight="false" outlineLevel="0" collapsed="false">
      <c r="A606" s="13" t="s">
        <v>103</v>
      </c>
      <c r="B606" s="13" t="s">
        <v>104</v>
      </c>
      <c r="C606" s="13" t="n">
        <v>41</v>
      </c>
      <c r="D606" s="13" t="s">
        <v>23</v>
      </c>
      <c r="E606" s="13" t="s">
        <v>29</v>
      </c>
      <c r="F606" s="13" t="n">
        <v>0</v>
      </c>
      <c r="G606" s="13" t="n">
        <v>0</v>
      </c>
      <c r="H606" s="13" t="n">
        <v>0</v>
      </c>
      <c r="I606" s="13" t="n">
        <f aca="false">H606-G606</f>
        <v>0</v>
      </c>
      <c r="J606" s="13" t="n">
        <f aca="false">H606-F606</f>
        <v>0</v>
      </c>
    </row>
    <row r="607" customFormat="false" ht="15" hidden="false" customHeight="false" outlineLevel="0" collapsed="false">
      <c r="A607" s="13" t="s">
        <v>103</v>
      </c>
      <c r="B607" s="13" t="s">
        <v>104</v>
      </c>
      <c r="C607" s="13" t="n">
        <v>41</v>
      </c>
      <c r="D607" s="13" t="s">
        <v>23</v>
      </c>
      <c r="E607" s="13" t="s">
        <v>30</v>
      </c>
      <c r="F607" s="13" t="n">
        <v>3</v>
      </c>
      <c r="G607" s="13" t="n">
        <v>41</v>
      </c>
      <c r="H607" s="13" t="n">
        <v>41</v>
      </c>
      <c r="I607" s="13" t="n">
        <f aca="false">H607-G607</f>
        <v>0</v>
      </c>
      <c r="J607" s="13" t="n">
        <f aca="false">H607-F607</f>
        <v>38</v>
      </c>
    </row>
    <row r="608" customFormat="false" ht="15" hidden="false" customHeight="false" outlineLevel="0" collapsed="false">
      <c r="A608" s="13" t="s">
        <v>103</v>
      </c>
      <c r="B608" s="13" t="s">
        <v>104</v>
      </c>
      <c r="C608" s="13" t="n">
        <v>41</v>
      </c>
      <c r="D608" s="13" t="s">
        <v>23</v>
      </c>
      <c r="E608" s="13" t="s">
        <v>31</v>
      </c>
      <c r="F608" s="13" t="n">
        <v>0</v>
      </c>
      <c r="G608" s="13" t="n">
        <v>10</v>
      </c>
      <c r="H608" s="13" t="n">
        <v>10</v>
      </c>
      <c r="I608" s="13" t="n">
        <f aca="false">H608-G608</f>
        <v>0</v>
      </c>
      <c r="J608" s="13" t="n">
        <f aca="false">H608-F608</f>
        <v>10</v>
      </c>
    </row>
    <row r="609" customFormat="false" ht="15" hidden="false" customHeight="false" outlineLevel="0" collapsed="false">
      <c r="A609" s="13" t="s">
        <v>103</v>
      </c>
      <c r="B609" s="13" t="s">
        <v>104</v>
      </c>
      <c r="C609" s="13" t="n">
        <v>41</v>
      </c>
      <c r="D609" s="13" t="s">
        <v>23</v>
      </c>
      <c r="E609" s="13" t="s">
        <v>32</v>
      </c>
      <c r="F609" s="13" t="n">
        <v>3</v>
      </c>
      <c r="G609" s="13" t="n">
        <v>34</v>
      </c>
      <c r="H609" s="13" t="n">
        <v>34</v>
      </c>
      <c r="I609" s="13" t="n">
        <f aca="false">H609-G609</f>
        <v>0</v>
      </c>
      <c r="J609" s="13" t="n">
        <f aca="false">H609-F609</f>
        <v>31</v>
      </c>
    </row>
    <row r="610" customFormat="false" ht="15" hidden="false" customHeight="false" outlineLevel="0" collapsed="false">
      <c r="A610" s="13" t="s">
        <v>103</v>
      </c>
      <c r="B610" s="13" t="s">
        <v>104</v>
      </c>
      <c r="C610" s="13" t="n">
        <v>41</v>
      </c>
      <c r="D610" s="13" t="s">
        <v>23</v>
      </c>
      <c r="E610" s="13" t="s">
        <v>33</v>
      </c>
      <c r="F610" s="13" t="n">
        <v>0</v>
      </c>
      <c r="G610" s="13" t="n">
        <v>0</v>
      </c>
      <c r="H610" s="13" t="n">
        <v>0</v>
      </c>
      <c r="I610" s="13" t="n">
        <f aca="false">H610-G610</f>
        <v>0</v>
      </c>
      <c r="J610" s="13" t="n">
        <f aca="false">H610-F610</f>
        <v>0</v>
      </c>
    </row>
    <row r="611" customFormat="false" ht="15" hidden="false" customHeight="false" outlineLevel="0" collapsed="false">
      <c r="A611" s="13" t="s">
        <v>103</v>
      </c>
      <c r="B611" s="13" t="s">
        <v>104</v>
      </c>
      <c r="C611" s="13" t="n">
        <v>41</v>
      </c>
      <c r="D611" s="13" t="s">
        <v>23</v>
      </c>
      <c r="E611" s="13" t="s">
        <v>34</v>
      </c>
      <c r="F611" s="13" t="n">
        <v>0</v>
      </c>
      <c r="G611" s="13" t="n">
        <v>0</v>
      </c>
      <c r="H611" s="13" t="n">
        <v>0</v>
      </c>
      <c r="I611" s="13" t="n">
        <f aca="false">H611-G611</f>
        <v>0</v>
      </c>
      <c r="J611" s="13" t="n">
        <f aca="false">H611-F611</f>
        <v>0</v>
      </c>
    </row>
    <row r="612" customFormat="false" ht="15" hidden="false" customHeight="false" outlineLevel="0" collapsed="false">
      <c r="A612" s="13" t="s">
        <v>103</v>
      </c>
      <c r="B612" s="13" t="s">
        <v>104</v>
      </c>
      <c r="C612" s="13" t="n">
        <v>41</v>
      </c>
      <c r="D612" s="13" t="s">
        <v>23</v>
      </c>
      <c r="E612" s="13" t="s">
        <v>35</v>
      </c>
      <c r="F612" s="13" t="n">
        <v>0</v>
      </c>
      <c r="G612" s="13" t="n">
        <v>0</v>
      </c>
      <c r="H612" s="13" t="n">
        <v>0</v>
      </c>
      <c r="I612" s="13" t="n">
        <f aca="false">H612-G612</f>
        <v>0</v>
      </c>
      <c r="J612" s="13" t="n">
        <f aca="false">H612-F612</f>
        <v>0</v>
      </c>
    </row>
    <row r="613" customFormat="false" ht="15" hidden="false" customHeight="false" outlineLevel="0" collapsed="false">
      <c r="A613" s="13" t="s">
        <v>103</v>
      </c>
      <c r="B613" s="13" t="s">
        <v>104</v>
      </c>
      <c r="C613" s="13" t="n">
        <v>41</v>
      </c>
      <c r="D613" s="13" t="s">
        <v>23</v>
      </c>
      <c r="E613" s="13" t="s">
        <v>36</v>
      </c>
      <c r="F613" s="13" t="n">
        <v>0</v>
      </c>
      <c r="G613" s="13" t="n">
        <v>0</v>
      </c>
      <c r="H613" s="13" t="n">
        <v>0</v>
      </c>
      <c r="I613" s="13" t="n">
        <f aca="false">H613-G613</f>
        <v>0</v>
      </c>
      <c r="J613" s="13" t="n">
        <f aca="false">H613-F613</f>
        <v>0</v>
      </c>
    </row>
    <row r="614" customFormat="false" ht="15" hidden="false" customHeight="false" outlineLevel="0" collapsed="false">
      <c r="A614" s="13" t="s">
        <v>103</v>
      </c>
      <c r="B614" s="13" t="s">
        <v>104</v>
      </c>
      <c r="C614" s="13" t="n">
        <v>41</v>
      </c>
      <c r="D614" s="13" t="s">
        <v>155</v>
      </c>
      <c r="E614" s="13" t="s">
        <v>37</v>
      </c>
      <c r="F614" s="13" t="n">
        <v>1</v>
      </c>
      <c r="G614" s="13" t="n">
        <v>1</v>
      </c>
      <c r="H614" s="13" t="n">
        <v>1</v>
      </c>
      <c r="I614" s="13" t="n">
        <f aca="false">H614-G614</f>
        <v>0</v>
      </c>
      <c r="J614" s="13" t="n">
        <f aca="false">H614-F614</f>
        <v>0</v>
      </c>
    </row>
    <row r="615" customFormat="false" ht="15" hidden="false" customHeight="false" outlineLevel="0" collapsed="false">
      <c r="A615" s="13" t="s">
        <v>103</v>
      </c>
      <c r="B615" s="13" t="s">
        <v>104</v>
      </c>
      <c r="C615" s="13" t="n">
        <v>41</v>
      </c>
      <c r="D615" s="13" t="s">
        <v>155</v>
      </c>
      <c r="E615" s="13" t="s">
        <v>39</v>
      </c>
      <c r="F615" s="13" t="n">
        <v>1</v>
      </c>
      <c r="G615" s="13" t="n">
        <v>1</v>
      </c>
      <c r="H615" s="13" t="n">
        <v>1</v>
      </c>
      <c r="I615" s="13" t="n">
        <f aca="false">H615-G615</f>
        <v>0</v>
      </c>
      <c r="J615" s="13" t="n">
        <f aca="false">H615-F615</f>
        <v>0</v>
      </c>
    </row>
    <row r="616" customFormat="false" ht="15" hidden="false" customHeight="false" outlineLevel="0" collapsed="false">
      <c r="A616" s="13" t="s">
        <v>103</v>
      </c>
      <c r="B616" s="13" t="s">
        <v>104</v>
      </c>
      <c r="C616" s="13" t="n">
        <v>41</v>
      </c>
      <c r="D616" s="13" t="s">
        <v>155</v>
      </c>
      <c r="E616" s="13" t="s">
        <v>40</v>
      </c>
      <c r="F616" s="13" t="n">
        <v>1</v>
      </c>
      <c r="G616" s="13" t="n">
        <v>1</v>
      </c>
      <c r="H616" s="13" t="n">
        <v>1</v>
      </c>
      <c r="I616" s="13" t="n">
        <f aca="false">H616-G616</f>
        <v>0</v>
      </c>
      <c r="J616" s="13" t="n">
        <f aca="false">H616-F616</f>
        <v>0</v>
      </c>
    </row>
    <row r="617" customFormat="false" ht="15" hidden="false" customHeight="false" outlineLevel="0" collapsed="false">
      <c r="A617" s="13" t="s">
        <v>103</v>
      </c>
      <c r="B617" s="13" t="s">
        <v>104</v>
      </c>
      <c r="C617" s="13" t="n">
        <v>41</v>
      </c>
      <c r="D617" s="13" t="s">
        <v>155</v>
      </c>
      <c r="E617" s="13" t="s">
        <v>41</v>
      </c>
      <c r="F617" s="13" t="n">
        <v>0</v>
      </c>
      <c r="G617" s="13" t="n">
        <v>0</v>
      </c>
      <c r="H617" s="13" t="n">
        <v>0</v>
      </c>
      <c r="I617" s="13" t="n">
        <f aca="false">H617-G617</f>
        <v>0</v>
      </c>
      <c r="J617" s="13" t="n">
        <f aca="false">H617-F617</f>
        <v>0</v>
      </c>
    </row>
    <row r="618" customFormat="false" ht="15" hidden="false" customHeight="false" outlineLevel="0" collapsed="false">
      <c r="A618" s="13" t="s">
        <v>103</v>
      </c>
      <c r="B618" s="13" t="s">
        <v>104</v>
      </c>
      <c r="C618" s="13" t="n">
        <v>41</v>
      </c>
      <c r="D618" s="13" t="s">
        <v>155</v>
      </c>
      <c r="E618" s="13" t="s">
        <v>42</v>
      </c>
      <c r="F618" s="13" t="n">
        <v>1</v>
      </c>
      <c r="G618" s="13" t="n">
        <v>1</v>
      </c>
      <c r="H618" s="13" t="n">
        <v>1</v>
      </c>
      <c r="I618" s="13" t="n">
        <f aca="false">H618-G618</f>
        <v>0</v>
      </c>
      <c r="J618" s="13" t="n">
        <f aca="false">H618-F618</f>
        <v>0</v>
      </c>
    </row>
    <row r="619" customFormat="false" ht="15" hidden="false" customHeight="false" outlineLevel="0" collapsed="false">
      <c r="A619" s="13" t="s">
        <v>103</v>
      </c>
      <c r="B619" s="13" t="s">
        <v>104</v>
      </c>
      <c r="C619" s="13" t="n">
        <v>41</v>
      </c>
      <c r="D619" s="13" t="s">
        <v>155</v>
      </c>
      <c r="E619" s="13" t="s">
        <v>43</v>
      </c>
      <c r="F619" s="13" t="n">
        <v>1</v>
      </c>
      <c r="G619" s="13" t="n">
        <v>1</v>
      </c>
      <c r="H619" s="13" t="n">
        <v>1</v>
      </c>
      <c r="I619" s="13" t="n">
        <f aca="false">H619-G619</f>
        <v>0</v>
      </c>
      <c r="J619" s="13" t="n">
        <f aca="false">H619-F619</f>
        <v>0</v>
      </c>
    </row>
    <row r="620" customFormat="false" ht="15" hidden="false" customHeight="false" outlineLevel="0" collapsed="false">
      <c r="A620" s="13" t="s">
        <v>103</v>
      </c>
      <c r="B620" s="13" t="s">
        <v>104</v>
      </c>
      <c r="C620" s="13" t="n">
        <v>41</v>
      </c>
      <c r="D620" s="13" t="s">
        <v>155</v>
      </c>
      <c r="E620" s="13" t="s">
        <v>44</v>
      </c>
      <c r="F620" s="13" t="n">
        <v>1</v>
      </c>
      <c r="G620" s="13" t="n">
        <v>1</v>
      </c>
      <c r="H620" s="13" t="n">
        <v>1</v>
      </c>
      <c r="I620" s="13" t="n">
        <f aca="false">H620-G620</f>
        <v>0</v>
      </c>
      <c r="J620" s="13" t="n">
        <f aca="false">H620-F620</f>
        <v>0</v>
      </c>
    </row>
    <row r="621" customFormat="false" ht="15" hidden="false" customHeight="false" outlineLevel="0" collapsed="false">
      <c r="A621" s="13" t="s">
        <v>103</v>
      </c>
      <c r="B621" s="13" t="s">
        <v>104</v>
      </c>
      <c r="C621" s="13" t="n">
        <v>41</v>
      </c>
      <c r="D621" s="13" t="s">
        <v>155</v>
      </c>
      <c r="E621" s="13" t="s">
        <v>45</v>
      </c>
      <c r="F621" s="13" t="n">
        <v>0</v>
      </c>
      <c r="G621" s="13" t="n">
        <v>0</v>
      </c>
      <c r="H621" s="13" t="n">
        <v>0</v>
      </c>
      <c r="I621" s="13" t="n">
        <f aca="false">H621-G621</f>
        <v>0</v>
      </c>
      <c r="J621" s="13" t="n">
        <f aca="false">H621-F621</f>
        <v>0</v>
      </c>
    </row>
    <row r="622" customFormat="false" ht="15" hidden="false" customHeight="false" outlineLevel="0" collapsed="false">
      <c r="A622" s="13" t="s">
        <v>103</v>
      </c>
      <c r="B622" s="13" t="s">
        <v>104</v>
      </c>
      <c r="C622" s="13" t="n">
        <v>41</v>
      </c>
      <c r="D622" s="13" t="s">
        <v>155</v>
      </c>
      <c r="E622" s="13" t="s">
        <v>46</v>
      </c>
      <c r="F622" s="13" t="n">
        <v>0</v>
      </c>
      <c r="G622" s="13" t="n">
        <v>0</v>
      </c>
      <c r="H622" s="13" t="n">
        <v>0</v>
      </c>
      <c r="I622" s="13" t="n">
        <f aca="false">H622-G622</f>
        <v>0</v>
      </c>
      <c r="J622" s="13" t="n">
        <f aca="false">H622-F622</f>
        <v>0</v>
      </c>
    </row>
    <row r="623" customFormat="false" ht="15" hidden="false" customHeight="false" outlineLevel="0" collapsed="false">
      <c r="A623" s="13" t="s">
        <v>105</v>
      </c>
      <c r="B623" s="13" t="s">
        <v>106</v>
      </c>
      <c r="C623" s="13" t="n">
        <v>40</v>
      </c>
      <c r="D623" s="13" t="s">
        <v>23</v>
      </c>
      <c r="E623" s="13" t="s">
        <v>22</v>
      </c>
      <c r="F623" s="13" t="n">
        <v>2</v>
      </c>
      <c r="G623" s="13" t="n">
        <v>11</v>
      </c>
      <c r="H623" s="13" t="n">
        <v>11</v>
      </c>
      <c r="I623" s="13" t="n">
        <f aca="false">H623-G623</f>
        <v>0</v>
      </c>
      <c r="J623" s="13" t="n">
        <f aca="false">H623-F623</f>
        <v>9</v>
      </c>
    </row>
    <row r="624" customFormat="false" ht="15" hidden="false" customHeight="false" outlineLevel="0" collapsed="false">
      <c r="A624" s="13" t="s">
        <v>105</v>
      </c>
      <c r="B624" s="13" t="s">
        <v>106</v>
      </c>
      <c r="C624" s="13" t="n">
        <v>40</v>
      </c>
      <c r="D624" s="13" t="s">
        <v>23</v>
      </c>
      <c r="E624" s="13" t="s">
        <v>24</v>
      </c>
      <c r="F624" s="13" t="n">
        <v>39</v>
      </c>
      <c r="G624" s="13" t="n">
        <v>40</v>
      </c>
      <c r="H624" s="13" t="n">
        <v>40</v>
      </c>
      <c r="I624" s="13" t="n">
        <f aca="false">H624-G624</f>
        <v>0</v>
      </c>
      <c r="J624" s="13" t="n">
        <f aca="false">H624-F624</f>
        <v>1</v>
      </c>
    </row>
    <row r="625" customFormat="false" ht="15" hidden="false" customHeight="false" outlineLevel="0" collapsed="false">
      <c r="A625" s="13" t="s">
        <v>105</v>
      </c>
      <c r="B625" s="13" t="s">
        <v>106</v>
      </c>
      <c r="C625" s="13" t="n">
        <v>40</v>
      </c>
      <c r="D625" s="13" t="s">
        <v>23</v>
      </c>
      <c r="E625" s="13" t="s">
        <v>25</v>
      </c>
      <c r="F625" s="13" t="n">
        <v>271</v>
      </c>
      <c r="G625" s="13" t="n">
        <v>40</v>
      </c>
      <c r="H625" s="13" t="n">
        <v>40</v>
      </c>
      <c r="I625" s="13" t="n">
        <f aca="false">H625-G625</f>
        <v>0</v>
      </c>
      <c r="J625" s="13" t="n">
        <f aca="false">H625-F625</f>
        <v>-231</v>
      </c>
    </row>
    <row r="626" customFormat="false" ht="15" hidden="false" customHeight="false" outlineLevel="0" collapsed="false">
      <c r="A626" s="13" t="s">
        <v>105</v>
      </c>
      <c r="B626" s="13" t="s">
        <v>106</v>
      </c>
      <c r="C626" s="13" t="n">
        <v>40</v>
      </c>
      <c r="D626" s="13" t="s">
        <v>23</v>
      </c>
      <c r="E626" s="13" t="s">
        <v>26</v>
      </c>
      <c r="F626" s="13" t="n">
        <v>1</v>
      </c>
      <c r="G626" s="13" t="n">
        <v>9</v>
      </c>
      <c r="H626" s="13" t="n">
        <v>9</v>
      </c>
      <c r="I626" s="13" t="n">
        <f aca="false">H626-G626</f>
        <v>0</v>
      </c>
      <c r="J626" s="13" t="n">
        <f aca="false">H626-F626</f>
        <v>8</v>
      </c>
    </row>
    <row r="627" customFormat="false" ht="15" hidden="false" customHeight="false" outlineLevel="0" collapsed="false">
      <c r="A627" s="13" t="s">
        <v>105</v>
      </c>
      <c r="B627" s="13" t="s">
        <v>106</v>
      </c>
      <c r="C627" s="13" t="n">
        <v>40</v>
      </c>
      <c r="D627" s="13" t="s">
        <v>23</v>
      </c>
      <c r="E627" s="13" t="s">
        <v>27</v>
      </c>
      <c r="F627" s="13" t="n">
        <v>7</v>
      </c>
      <c r="G627" s="13" t="n">
        <v>9</v>
      </c>
      <c r="H627" s="13" t="n">
        <v>9</v>
      </c>
      <c r="I627" s="13" t="n">
        <f aca="false">H627-G627</f>
        <v>0</v>
      </c>
      <c r="J627" s="13" t="n">
        <f aca="false">H627-F627</f>
        <v>2</v>
      </c>
    </row>
    <row r="628" customFormat="false" ht="15" hidden="false" customHeight="false" outlineLevel="0" collapsed="false">
      <c r="A628" s="13" t="s">
        <v>105</v>
      </c>
      <c r="B628" s="13" t="s">
        <v>106</v>
      </c>
      <c r="C628" s="13" t="n">
        <v>40</v>
      </c>
      <c r="D628" s="13" t="s">
        <v>23</v>
      </c>
      <c r="E628" s="13" t="s">
        <v>28</v>
      </c>
      <c r="F628" s="13" t="n">
        <v>20</v>
      </c>
      <c r="G628" s="13" t="n">
        <v>8</v>
      </c>
      <c r="H628" s="13" t="n">
        <v>8</v>
      </c>
      <c r="I628" s="13" t="n">
        <f aca="false">H628-G628</f>
        <v>0</v>
      </c>
      <c r="J628" s="13" t="n">
        <f aca="false">H628-F628</f>
        <v>-12</v>
      </c>
    </row>
    <row r="629" customFormat="false" ht="15" hidden="false" customHeight="false" outlineLevel="0" collapsed="false">
      <c r="A629" s="13" t="s">
        <v>105</v>
      </c>
      <c r="B629" s="13" t="s">
        <v>106</v>
      </c>
      <c r="C629" s="13" t="n">
        <v>40</v>
      </c>
      <c r="D629" s="13" t="s">
        <v>23</v>
      </c>
      <c r="E629" s="13" t="s">
        <v>29</v>
      </c>
      <c r="F629" s="13" t="n">
        <v>0</v>
      </c>
      <c r="G629" s="13" t="n">
        <v>0</v>
      </c>
      <c r="H629" s="13" t="n">
        <v>0</v>
      </c>
      <c r="I629" s="13" t="n">
        <f aca="false">H629-G629</f>
        <v>0</v>
      </c>
      <c r="J629" s="13" t="n">
        <f aca="false">H629-F629</f>
        <v>0</v>
      </c>
    </row>
    <row r="630" customFormat="false" ht="15" hidden="false" customHeight="false" outlineLevel="0" collapsed="false">
      <c r="A630" s="13" t="s">
        <v>105</v>
      </c>
      <c r="B630" s="13" t="s">
        <v>106</v>
      </c>
      <c r="C630" s="13" t="n">
        <v>40</v>
      </c>
      <c r="D630" s="13" t="s">
        <v>23</v>
      </c>
      <c r="E630" s="13" t="s">
        <v>30</v>
      </c>
      <c r="F630" s="13" t="n">
        <v>276</v>
      </c>
      <c r="G630" s="13" t="n">
        <v>40</v>
      </c>
      <c r="H630" s="13" t="n">
        <v>40</v>
      </c>
      <c r="I630" s="13" t="n">
        <f aca="false">H630-G630</f>
        <v>0</v>
      </c>
      <c r="J630" s="13" t="n">
        <f aca="false">H630-F630</f>
        <v>-236</v>
      </c>
    </row>
    <row r="631" customFormat="false" ht="15" hidden="false" customHeight="false" outlineLevel="0" collapsed="false">
      <c r="A631" s="13" t="s">
        <v>105</v>
      </c>
      <c r="B631" s="13" t="s">
        <v>106</v>
      </c>
      <c r="C631" s="13" t="n">
        <v>40</v>
      </c>
      <c r="D631" s="13" t="s">
        <v>23</v>
      </c>
      <c r="E631" s="13" t="s">
        <v>31</v>
      </c>
      <c r="F631" s="13" t="n">
        <v>0</v>
      </c>
      <c r="G631" s="13" t="n">
        <v>0</v>
      </c>
      <c r="H631" s="13" t="n">
        <v>0</v>
      </c>
      <c r="I631" s="13" t="n">
        <f aca="false">H631-G631</f>
        <v>0</v>
      </c>
      <c r="J631" s="13" t="n">
        <f aca="false">H631-F631</f>
        <v>0</v>
      </c>
    </row>
    <row r="632" customFormat="false" ht="15" hidden="false" customHeight="false" outlineLevel="0" collapsed="false">
      <c r="A632" s="13" t="s">
        <v>105</v>
      </c>
      <c r="B632" s="13" t="s">
        <v>106</v>
      </c>
      <c r="C632" s="13" t="n">
        <v>40</v>
      </c>
      <c r="D632" s="13" t="s">
        <v>23</v>
      </c>
      <c r="E632" s="13" t="s">
        <v>32</v>
      </c>
      <c r="F632" s="13" t="n">
        <v>0</v>
      </c>
      <c r="G632" s="13" t="n">
        <v>11</v>
      </c>
      <c r="H632" s="13" t="n">
        <v>11</v>
      </c>
      <c r="I632" s="13" t="n">
        <f aca="false">H632-G632</f>
        <v>0</v>
      </c>
      <c r="J632" s="13" t="n">
        <f aca="false">H632-F632</f>
        <v>11</v>
      </c>
    </row>
    <row r="633" customFormat="false" ht="15" hidden="false" customHeight="false" outlineLevel="0" collapsed="false">
      <c r="A633" s="13" t="s">
        <v>105</v>
      </c>
      <c r="B633" s="13" t="s">
        <v>106</v>
      </c>
      <c r="C633" s="13" t="n">
        <v>40</v>
      </c>
      <c r="D633" s="13" t="s">
        <v>23</v>
      </c>
      <c r="E633" s="13" t="s">
        <v>33</v>
      </c>
      <c r="F633" s="13" t="n">
        <v>0</v>
      </c>
      <c r="G633" s="13" t="n">
        <v>0</v>
      </c>
      <c r="H633" s="13" t="n">
        <v>0</v>
      </c>
      <c r="I633" s="13" t="n">
        <f aca="false">H633-G633</f>
        <v>0</v>
      </c>
      <c r="J633" s="13" t="n">
        <f aca="false">H633-F633</f>
        <v>0</v>
      </c>
    </row>
    <row r="634" customFormat="false" ht="15" hidden="false" customHeight="false" outlineLevel="0" collapsed="false">
      <c r="A634" s="13" t="s">
        <v>105</v>
      </c>
      <c r="B634" s="13" t="s">
        <v>106</v>
      </c>
      <c r="C634" s="13" t="n">
        <v>40</v>
      </c>
      <c r="D634" s="13" t="s">
        <v>23</v>
      </c>
      <c r="E634" s="13" t="s">
        <v>34</v>
      </c>
      <c r="F634" s="13" t="n">
        <v>0</v>
      </c>
      <c r="G634" s="13" t="n">
        <v>30</v>
      </c>
      <c r="H634" s="13" t="n">
        <v>30</v>
      </c>
      <c r="I634" s="13" t="n">
        <f aca="false">H634-G634</f>
        <v>0</v>
      </c>
      <c r="J634" s="13" t="n">
        <f aca="false">H634-F634</f>
        <v>30</v>
      </c>
    </row>
    <row r="635" customFormat="false" ht="15" hidden="false" customHeight="false" outlineLevel="0" collapsed="false">
      <c r="A635" s="13" t="s">
        <v>105</v>
      </c>
      <c r="B635" s="13" t="s">
        <v>106</v>
      </c>
      <c r="C635" s="13" t="n">
        <v>40</v>
      </c>
      <c r="D635" s="13" t="s">
        <v>23</v>
      </c>
      <c r="E635" s="13" t="s">
        <v>35</v>
      </c>
      <c r="F635" s="13" t="n">
        <v>0</v>
      </c>
      <c r="G635" s="13" t="n">
        <v>0</v>
      </c>
      <c r="H635" s="13" t="n">
        <v>0</v>
      </c>
      <c r="I635" s="13" t="n">
        <f aca="false">H635-G635</f>
        <v>0</v>
      </c>
      <c r="J635" s="13" t="n">
        <f aca="false">H635-F635</f>
        <v>0</v>
      </c>
    </row>
    <row r="636" customFormat="false" ht="15" hidden="false" customHeight="false" outlineLevel="0" collapsed="false">
      <c r="A636" s="13" t="s">
        <v>105</v>
      </c>
      <c r="B636" s="13" t="s">
        <v>106</v>
      </c>
      <c r="C636" s="13" t="n">
        <v>40</v>
      </c>
      <c r="D636" s="13" t="s">
        <v>23</v>
      </c>
      <c r="E636" s="13" t="s">
        <v>36</v>
      </c>
      <c r="F636" s="13" t="n">
        <v>0</v>
      </c>
      <c r="G636" s="13" t="n">
        <v>0</v>
      </c>
      <c r="H636" s="13" t="n">
        <v>0</v>
      </c>
      <c r="I636" s="13" t="n">
        <f aca="false">H636-G636</f>
        <v>0</v>
      </c>
      <c r="J636" s="13" t="n">
        <f aca="false">H636-F636</f>
        <v>0</v>
      </c>
    </row>
    <row r="637" customFormat="false" ht="15" hidden="false" customHeight="false" outlineLevel="0" collapsed="false">
      <c r="A637" s="13" t="s">
        <v>105</v>
      </c>
      <c r="B637" s="13" t="s">
        <v>106</v>
      </c>
      <c r="C637" s="13" t="n">
        <v>40</v>
      </c>
      <c r="D637" s="13" t="s">
        <v>155</v>
      </c>
      <c r="E637" s="13" t="s">
        <v>37</v>
      </c>
      <c r="F637" s="13" t="n">
        <v>1</v>
      </c>
      <c r="G637" s="13" t="n">
        <v>1</v>
      </c>
      <c r="H637" s="13" t="n">
        <v>1</v>
      </c>
      <c r="I637" s="13" t="n">
        <f aca="false">H637-G637</f>
        <v>0</v>
      </c>
      <c r="J637" s="13" t="n">
        <f aca="false">H637-F637</f>
        <v>0</v>
      </c>
    </row>
    <row r="638" customFormat="false" ht="15" hidden="false" customHeight="false" outlineLevel="0" collapsed="false">
      <c r="A638" s="13" t="s">
        <v>105</v>
      </c>
      <c r="B638" s="13" t="s">
        <v>106</v>
      </c>
      <c r="C638" s="13" t="n">
        <v>40</v>
      </c>
      <c r="D638" s="13" t="s">
        <v>155</v>
      </c>
      <c r="E638" s="13" t="s">
        <v>39</v>
      </c>
      <c r="F638" s="13" t="n">
        <v>0</v>
      </c>
      <c r="G638" s="13" t="n">
        <v>0</v>
      </c>
      <c r="H638" s="13" t="n">
        <v>0</v>
      </c>
      <c r="I638" s="13" t="n">
        <f aca="false">H638-G638</f>
        <v>0</v>
      </c>
      <c r="J638" s="13" t="n">
        <f aca="false">H638-F638</f>
        <v>0</v>
      </c>
    </row>
    <row r="639" customFormat="false" ht="15" hidden="false" customHeight="false" outlineLevel="0" collapsed="false">
      <c r="A639" s="13" t="s">
        <v>105</v>
      </c>
      <c r="B639" s="13" t="s">
        <v>106</v>
      </c>
      <c r="C639" s="13" t="n">
        <v>40</v>
      </c>
      <c r="D639" s="13" t="s">
        <v>155</v>
      </c>
      <c r="E639" s="13" t="s">
        <v>40</v>
      </c>
      <c r="F639" s="13" t="n">
        <v>1</v>
      </c>
      <c r="G639" s="13" t="n">
        <v>1</v>
      </c>
      <c r="H639" s="13" t="n">
        <v>1</v>
      </c>
      <c r="I639" s="13" t="n">
        <f aca="false">H639-G639</f>
        <v>0</v>
      </c>
      <c r="J639" s="13" t="n">
        <f aca="false">H639-F639</f>
        <v>0</v>
      </c>
    </row>
    <row r="640" customFormat="false" ht="15" hidden="false" customHeight="false" outlineLevel="0" collapsed="false">
      <c r="A640" s="13" t="s">
        <v>105</v>
      </c>
      <c r="B640" s="13" t="s">
        <v>106</v>
      </c>
      <c r="C640" s="13" t="n">
        <v>40</v>
      </c>
      <c r="D640" s="13" t="s">
        <v>155</v>
      </c>
      <c r="E640" s="13" t="s">
        <v>41</v>
      </c>
      <c r="F640" s="13" t="n">
        <v>0</v>
      </c>
      <c r="G640" s="13" t="n">
        <v>0</v>
      </c>
      <c r="H640" s="13" t="n">
        <v>0</v>
      </c>
      <c r="I640" s="13" t="n">
        <f aca="false">H640-G640</f>
        <v>0</v>
      </c>
      <c r="J640" s="13" t="n">
        <f aca="false">H640-F640</f>
        <v>0</v>
      </c>
    </row>
    <row r="641" customFormat="false" ht="15" hidden="false" customHeight="false" outlineLevel="0" collapsed="false">
      <c r="A641" s="13" t="s">
        <v>105</v>
      </c>
      <c r="B641" s="13" t="s">
        <v>106</v>
      </c>
      <c r="C641" s="13" t="n">
        <v>40</v>
      </c>
      <c r="D641" s="13" t="s">
        <v>155</v>
      </c>
      <c r="E641" s="13" t="s">
        <v>42</v>
      </c>
      <c r="F641" s="13" t="n">
        <v>1</v>
      </c>
      <c r="G641" s="13" t="n">
        <v>1</v>
      </c>
      <c r="H641" s="13" t="n">
        <v>1</v>
      </c>
      <c r="I641" s="13" t="n">
        <f aca="false">H641-G641</f>
        <v>0</v>
      </c>
      <c r="J641" s="13" t="n">
        <f aca="false">H641-F641</f>
        <v>0</v>
      </c>
    </row>
    <row r="642" customFormat="false" ht="15" hidden="false" customHeight="false" outlineLevel="0" collapsed="false">
      <c r="A642" s="13" t="s">
        <v>105</v>
      </c>
      <c r="B642" s="13" t="s">
        <v>106</v>
      </c>
      <c r="C642" s="13" t="n">
        <v>40</v>
      </c>
      <c r="D642" s="13" t="s">
        <v>155</v>
      </c>
      <c r="E642" s="13" t="s">
        <v>43</v>
      </c>
      <c r="F642" s="13" t="n">
        <v>0</v>
      </c>
      <c r="G642" s="13" t="n">
        <v>0</v>
      </c>
      <c r="H642" s="13" t="n">
        <v>0</v>
      </c>
      <c r="I642" s="13" t="n">
        <f aca="false">H642-G642</f>
        <v>0</v>
      </c>
      <c r="J642" s="13" t="n">
        <f aca="false">H642-F642</f>
        <v>0</v>
      </c>
    </row>
    <row r="643" customFormat="false" ht="15" hidden="false" customHeight="false" outlineLevel="0" collapsed="false">
      <c r="A643" s="13" t="s">
        <v>105</v>
      </c>
      <c r="B643" s="13" t="s">
        <v>106</v>
      </c>
      <c r="C643" s="13" t="n">
        <v>40</v>
      </c>
      <c r="D643" s="13" t="s">
        <v>155</v>
      </c>
      <c r="E643" s="13" t="s">
        <v>44</v>
      </c>
      <c r="F643" s="13" t="n">
        <v>0</v>
      </c>
      <c r="G643" s="13" t="n">
        <v>0</v>
      </c>
      <c r="H643" s="13" t="n">
        <v>0</v>
      </c>
      <c r="I643" s="13" t="n">
        <f aca="false">H643-G643</f>
        <v>0</v>
      </c>
      <c r="J643" s="13" t="n">
        <f aca="false">H643-F643</f>
        <v>0</v>
      </c>
    </row>
    <row r="644" customFormat="false" ht="15" hidden="false" customHeight="false" outlineLevel="0" collapsed="false">
      <c r="A644" s="13" t="s">
        <v>105</v>
      </c>
      <c r="B644" s="13" t="s">
        <v>106</v>
      </c>
      <c r="C644" s="13" t="n">
        <v>40</v>
      </c>
      <c r="D644" s="13" t="s">
        <v>155</v>
      </c>
      <c r="E644" s="13" t="s">
        <v>45</v>
      </c>
      <c r="F644" s="13" t="n">
        <v>0</v>
      </c>
      <c r="G644" s="13" t="n">
        <v>0</v>
      </c>
      <c r="H644" s="13" t="n">
        <v>0</v>
      </c>
      <c r="I644" s="13" t="n">
        <f aca="false">H644-G644</f>
        <v>0</v>
      </c>
      <c r="J644" s="13" t="n">
        <f aca="false">H644-F644</f>
        <v>0</v>
      </c>
    </row>
    <row r="645" customFormat="false" ht="15" hidden="false" customHeight="false" outlineLevel="0" collapsed="false">
      <c r="A645" s="13" t="s">
        <v>105</v>
      </c>
      <c r="B645" s="13" t="s">
        <v>106</v>
      </c>
      <c r="C645" s="13" t="n">
        <v>40</v>
      </c>
      <c r="D645" s="13" t="s">
        <v>155</v>
      </c>
      <c r="E645" s="13" t="s">
        <v>46</v>
      </c>
      <c r="F645" s="13" t="n">
        <v>0</v>
      </c>
      <c r="G645" s="13" t="n">
        <v>0</v>
      </c>
      <c r="H645" s="13" t="n">
        <v>0</v>
      </c>
      <c r="I645" s="13" t="n">
        <f aca="false">H645-G645</f>
        <v>0</v>
      </c>
      <c r="J645" s="13" t="n">
        <f aca="false">H645-F645</f>
        <v>0</v>
      </c>
    </row>
    <row r="646" customFormat="false" ht="15" hidden="false" customHeight="false" outlineLevel="0" collapsed="false">
      <c r="A646" s="13" t="s">
        <v>107</v>
      </c>
      <c r="B646" s="13" t="s">
        <v>108</v>
      </c>
      <c r="C646" s="13" t="n">
        <v>38</v>
      </c>
      <c r="D646" s="13" t="s">
        <v>23</v>
      </c>
      <c r="E646" s="13" t="s">
        <v>22</v>
      </c>
      <c r="F646" s="13" t="n">
        <v>33</v>
      </c>
      <c r="G646" s="13" t="n">
        <v>33</v>
      </c>
      <c r="H646" s="13" t="n">
        <v>33</v>
      </c>
      <c r="I646" s="13" t="n">
        <f aca="false">H646-G646</f>
        <v>0</v>
      </c>
      <c r="J646" s="13" t="n">
        <f aca="false">H646-F646</f>
        <v>0</v>
      </c>
    </row>
    <row r="647" customFormat="false" ht="15" hidden="false" customHeight="false" outlineLevel="0" collapsed="false">
      <c r="A647" s="13" t="s">
        <v>107</v>
      </c>
      <c r="B647" s="13" t="s">
        <v>108</v>
      </c>
      <c r="C647" s="13" t="n">
        <v>38</v>
      </c>
      <c r="D647" s="13" t="s">
        <v>23</v>
      </c>
      <c r="E647" s="13" t="s">
        <v>24</v>
      </c>
      <c r="F647" s="13" t="n">
        <v>38</v>
      </c>
      <c r="G647" s="13" t="n">
        <v>38</v>
      </c>
      <c r="H647" s="13" t="n">
        <v>38</v>
      </c>
      <c r="I647" s="13" t="n">
        <f aca="false">H647-G647</f>
        <v>0</v>
      </c>
      <c r="J647" s="13" t="n">
        <f aca="false">H647-F647</f>
        <v>0</v>
      </c>
    </row>
    <row r="648" customFormat="false" ht="15" hidden="false" customHeight="false" outlineLevel="0" collapsed="false">
      <c r="A648" s="13" t="s">
        <v>107</v>
      </c>
      <c r="B648" s="13" t="s">
        <v>108</v>
      </c>
      <c r="C648" s="13" t="n">
        <v>38</v>
      </c>
      <c r="D648" s="13" t="s">
        <v>23</v>
      </c>
      <c r="E648" s="13" t="s">
        <v>25</v>
      </c>
      <c r="F648" s="13" t="n">
        <v>38</v>
      </c>
      <c r="G648" s="13" t="n">
        <v>38</v>
      </c>
      <c r="H648" s="13" t="n">
        <v>38</v>
      </c>
      <c r="I648" s="13" t="n">
        <f aca="false">H648-G648</f>
        <v>0</v>
      </c>
      <c r="J648" s="13" t="n">
        <f aca="false">H648-F648</f>
        <v>0</v>
      </c>
    </row>
    <row r="649" customFormat="false" ht="15" hidden="false" customHeight="false" outlineLevel="0" collapsed="false">
      <c r="A649" s="13" t="s">
        <v>107</v>
      </c>
      <c r="B649" s="13" t="s">
        <v>108</v>
      </c>
      <c r="C649" s="13" t="n">
        <v>38</v>
      </c>
      <c r="D649" s="13" t="s">
        <v>23</v>
      </c>
      <c r="E649" s="13" t="s">
        <v>26</v>
      </c>
      <c r="F649" s="13" t="n">
        <v>0</v>
      </c>
      <c r="G649" s="13" t="n">
        <v>0</v>
      </c>
      <c r="H649" s="13" t="n">
        <v>0</v>
      </c>
      <c r="I649" s="13" t="n">
        <f aca="false">H649-G649</f>
        <v>0</v>
      </c>
      <c r="J649" s="13" t="n">
        <f aca="false">H649-F649</f>
        <v>0</v>
      </c>
    </row>
    <row r="650" customFormat="false" ht="15" hidden="false" customHeight="false" outlineLevel="0" collapsed="false">
      <c r="A650" s="13" t="s">
        <v>107</v>
      </c>
      <c r="B650" s="13" t="s">
        <v>108</v>
      </c>
      <c r="C650" s="13" t="n">
        <v>38</v>
      </c>
      <c r="D650" s="13" t="s">
        <v>23</v>
      </c>
      <c r="E650" s="13" t="s">
        <v>27</v>
      </c>
      <c r="F650" s="13" t="n">
        <v>9</v>
      </c>
      <c r="G650" s="13" t="n">
        <v>8</v>
      </c>
      <c r="H650" s="13" t="n">
        <v>8</v>
      </c>
      <c r="I650" s="13" t="n">
        <f aca="false">H650-G650</f>
        <v>0</v>
      </c>
      <c r="J650" s="13" t="n">
        <f aca="false">H650-F650</f>
        <v>-1</v>
      </c>
    </row>
    <row r="651" customFormat="false" ht="15" hidden="false" customHeight="false" outlineLevel="0" collapsed="false">
      <c r="A651" s="13" t="s">
        <v>107</v>
      </c>
      <c r="B651" s="13" t="s">
        <v>108</v>
      </c>
      <c r="C651" s="13" t="n">
        <v>38</v>
      </c>
      <c r="D651" s="13" t="s">
        <v>23</v>
      </c>
      <c r="E651" s="13" t="s">
        <v>28</v>
      </c>
      <c r="F651" s="13" t="n">
        <v>11</v>
      </c>
      <c r="G651" s="13" t="n">
        <v>11</v>
      </c>
      <c r="H651" s="13" t="n">
        <v>11</v>
      </c>
      <c r="I651" s="13" t="n">
        <f aca="false">H651-G651</f>
        <v>0</v>
      </c>
      <c r="J651" s="13" t="n">
        <f aca="false">H651-F651</f>
        <v>0</v>
      </c>
    </row>
    <row r="652" customFormat="false" ht="15" hidden="false" customHeight="false" outlineLevel="0" collapsed="false">
      <c r="A652" s="13" t="s">
        <v>107</v>
      </c>
      <c r="B652" s="13" t="s">
        <v>108</v>
      </c>
      <c r="C652" s="13" t="n">
        <v>38</v>
      </c>
      <c r="D652" s="13" t="s">
        <v>23</v>
      </c>
      <c r="E652" s="13" t="s">
        <v>29</v>
      </c>
      <c r="F652" s="13" t="n">
        <v>11</v>
      </c>
      <c r="G652" s="13" t="n">
        <v>11</v>
      </c>
      <c r="H652" s="13" t="n">
        <v>11</v>
      </c>
      <c r="I652" s="13" t="n">
        <f aca="false">H652-G652</f>
        <v>0</v>
      </c>
      <c r="J652" s="13" t="n">
        <f aca="false">H652-F652</f>
        <v>0</v>
      </c>
    </row>
    <row r="653" customFormat="false" ht="15" hidden="false" customHeight="false" outlineLevel="0" collapsed="false">
      <c r="A653" s="13" t="s">
        <v>107</v>
      </c>
      <c r="B653" s="13" t="s">
        <v>108</v>
      </c>
      <c r="C653" s="13" t="n">
        <v>38</v>
      </c>
      <c r="D653" s="13" t="s">
        <v>23</v>
      </c>
      <c r="E653" s="13" t="s">
        <v>30</v>
      </c>
      <c r="F653" s="13" t="n">
        <v>38</v>
      </c>
      <c r="G653" s="13" t="n">
        <v>38</v>
      </c>
      <c r="H653" s="13" t="n">
        <v>38</v>
      </c>
      <c r="I653" s="13" t="n">
        <f aca="false">H653-G653</f>
        <v>0</v>
      </c>
      <c r="J653" s="13" t="n">
        <f aca="false">H653-F653</f>
        <v>0</v>
      </c>
    </row>
    <row r="654" customFormat="false" ht="15" hidden="false" customHeight="false" outlineLevel="0" collapsed="false">
      <c r="A654" s="13" t="s">
        <v>107</v>
      </c>
      <c r="B654" s="13" t="s">
        <v>108</v>
      </c>
      <c r="C654" s="13" t="n">
        <v>38</v>
      </c>
      <c r="D654" s="13" t="s">
        <v>23</v>
      </c>
      <c r="E654" s="13" t="s">
        <v>31</v>
      </c>
      <c r="F654" s="13" t="n">
        <v>0</v>
      </c>
      <c r="G654" s="13" t="n">
        <v>0</v>
      </c>
      <c r="H654" s="13" t="n">
        <v>0</v>
      </c>
      <c r="I654" s="13" t="n">
        <f aca="false">H654-G654</f>
        <v>0</v>
      </c>
      <c r="J654" s="13" t="n">
        <f aca="false">H654-F654</f>
        <v>0</v>
      </c>
    </row>
    <row r="655" customFormat="false" ht="15" hidden="false" customHeight="false" outlineLevel="0" collapsed="false">
      <c r="A655" s="13" t="s">
        <v>107</v>
      </c>
      <c r="B655" s="13" t="s">
        <v>108</v>
      </c>
      <c r="C655" s="13" t="n">
        <v>38</v>
      </c>
      <c r="D655" s="13" t="s">
        <v>23</v>
      </c>
      <c r="E655" s="13" t="s">
        <v>32</v>
      </c>
      <c r="F655" s="13" t="n">
        <v>14</v>
      </c>
      <c r="G655" s="13" t="n">
        <v>16</v>
      </c>
      <c r="H655" s="13" t="n">
        <v>16</v>
      </c>
      <c r="I655" s="13" t="n">
        <f aca="false">H655-G655</f>
        <v>0</v>
      </c>
      <c r="J655" s="13" t="n">
        <f aca="false">H655-F655</f>
        <v>2</v>
      </c>
    </row>
    <row r="656" customFormat="false" ht="15" hidden="false" customHeight="false" outlineLevel="0" collapsed="false">
      <c r="A656" s="13" t="s">
        <v>107</v>
      </c>
      <c r="B656" s="13" t="s">
        <v>108</v>
      </c>
      <c r="C656" s="13" t="n">
        <v>38</v>
      </c>
      <c r="D656" s="13" t="s">
        <v>23</v>
      </c>
      <c r="E656" s="13" t="s">
        <v>33</v>
      </c>
      <c r="F656" s="13" t="n">
        <v>0</v>
      </c>
      <c r="G656" s="13" t="n">
        <v>0</v>
      </c>
      <c r="H656" s="13" t="n">
        <v>0</v>
      </c>
      <c r="I656" s="13" t="n">
        <f aca="false">H656-G656</f>
        <v>0</v>
      </c>
      <c r="J656" s="13" t="n">
        <f aca="false">H656-F656</f>
        <v>0</v>
      </c>
    </row>
    <row r="657" customFormat="false" ht="15" hidden="false" customHeight="false" outlineLevel="0" collapsed="false">
      <c r="A657" s="13" t="s">
        <v>107</v>
      </c>
      <c r="B657" s="13" t="s">
        <v>108</v>
      </c>
      <c r="C657" s="13" t="n">
        <v>38</v>
      </c>
      <c r="D657" s="13" t="s">
        <v>23</v>
      </c>
      <c r="E657" s="13" t="s">
        <v>34</v>
      </c>
      <c r="F657" s="13" t="n">
        <v>38</v>
      </c>
      <c r="G657" s="13" t="n">
        <v>38</v>
      </c>
      <c r="H657" s="13" t="n">
        <v>38</v>
      </c>
      <c r="I657" s="13" t="n">
        <f aca="false">H657-G657</f>
        <v>0</v>
      </c>
      <c r="J657" s="13" t="n">
        <f aca="false">H657-F657</f>
        <v>0</v>
      </c>
    </row>
    <row r="658" customFormat="false" ht="15" hidden="false" customHeight="false" outlineLevel="0" collapsed="false">
      <c r="A658" s="13" t="s">
        <v>107</v>
      </c>
      <c r="B658" s="13" t="s">
        <v>108</v>
      </c>
      <c r="C658" s="13" t="n">
        <v>38</v>
      </c>
      <c r="D658" s="13" t="s">
        <v>23</v>
      </c>
      <c r="E658" s="13" t="s">
        <v>35</v>
      </c>
      <c r="F658" s="13" t="n">
        <v>0</v>
      </c>
      <c r="G658" s="13" t="n">
        <v>0</v>
      </c>
      <c r="H658" s="13" t="n">
        <v>0</v>
      </c>
      <c r="I658" s="13" t="n">
        <f aca="false">H658-G658</f>
        <v>0</v>
      </c>
      <c r="J658" s="13" t="n">
        <f aca="false">H658-F658</f>
        <v>0</v>
      </c>
    </row>
    <row r="659" customFormat="false" ht="15" hidden="false" customHeight="false" outlineLevel="0" collapsed="false">
      <c r="A659" s="13" t="s">
        <v>107</v>
      </c>
      <c r="B659" s="13" t="s">
        <v>108</v>
      </c>
      <c r="C659" s="13" t="n">
        <v>38</v>
      </c>
      <c r="D659" s="13" t="s">
        <v>23</v>
      </c>
      <c r="E659" s="13" t="s">
        <v>36</v>
      </c>
      <c r="F659" s="13" t="n">
        <v>0</v>
      </c>
      <c r="G659" s="13" t="n">
        <v>0</v>
      </c>
      <c r="H659" s="13" t="n">
        <v>0</v>
      </c>
      <c r="I659" s="13" t="n">
        <f aca="false">H659-G659</f>
        <v>0</v>
      </c>
      <c r="J659" s="13" t="n">
        <f aca="false">H659-F659</f>
        <v>0</v>
      </c>
    </row>
    <row r="660" customFormat="false" ht="15" hidden="false" customHeight="false" outlineLevel="0" collapsed="false">
      <c r="A660" s="13" t="s">
        <v>107</v>
      </c>
      <c r="B660" s="13" t="s">
        <v>108</v>
      </c>
      <c r="C660" s="13" t="n">
        <v>38</v>
      </c>
      <c r="D660" s="13" t="s">
        <v>155</v>
      </c>
      <c r="E660" s="13" t="s">
        <v>37</v>
      </c>
      <c r="F660" s="13" t="n">
        <v>1</v>
      </c>
      <c r="G660" s="13" t="n">
        <v>1</v>
      </c>
      <c r="H660" s="13" t="n">
        <v>1</v>
      </c>
      <c r="I660" s="13" t="n">
        <f aca="false">H660-G660</f>
        <v>0</v>
      </c>
      <c r="J660" s="13" t="n">
        <f aca="false">H660-F660</f>
        <v>0</v>
      </c>
    </row>
    <row r="661" customFormat="false" ht="15" hidden="false" customHeight="false" outlineLevel="0" collapsed="false">
      <c r="A661" s="13" t="s">
        <v>107</v>
      </c>
      <c r="B661" s="13" t="s">
        <v>108</v>
      </c>
      <c r="C661" s="13" t="n">
        <v>38</v>
      </c>
      <c r="D661" s="13" t="s">
        <v>155</v>
      </c>
      <c r="E661" s="13" t="s">
        <v>39</v>
      </c>
      <c r="F661" s="13" t="n">
        <v>1</v>
      </c>
      <c r="G661" s="13" t="n">
        <v>1</v>
      </c>
      <c r="H661" s="13" t="n">
        <v>1</v>
      </c>
      <c r="I661" s="13" t="n">
        <f aca="false">H661-G661</f>
        <v>0</v>
      </c>
      <c r="J661" s="13" t="n">
        <f aca="false">H661-F661</f>
        <v>0</v>
      </c>
    </row>
    <row r="662" customFormat="false" ht="15" hidden="false" customHeight="false" outlineLevel="0" collapsed="false">
      <c r="A662" s="13" t="s">
        <v>107</v>
      </c>
      <c r="B662" s="13" t="s">
        <v>108</v>
      </c>
      <c r="C662" s="13" t="n">
        <v>38</v>
      </c>
      <c r="D662" s="13" t="s">
        <v>155</v>
      </c>
      <c r="E662" s="13" t="s">
        <v>40</v>
      </c>
      <c r="F662" s="13" t="n">
        <v>1</v>
      </c>
      <c r="G662" s="13" t="n">
        <v>1</v>
      </c>
      <c r="H662" s="13" t="n">
        <v>1</v>
      </c>
      <c r="I662" s="13" t="n">
        <f aca="false">H662-G662</f>
        <v>0</v>
      </c>
      <c r="J662" s="13" t="n">
        <f aca="false">H662-F662</f>
        <v>0</v>
      </c>
    </row>
    <row r="663" customFormat="false" ht="15" hidden="false" customHeight="false" outlineLevel="0" collapsed="false">
      <c r="A663" s="13" t="s">
        <v>107</v>
      </c>
      <c r="B663" s="13" t="s">
        <v>108</v>
      </c>
      <c r="C663" s="13" t="n">
        <v>38</v>
      </c>
      <c r="D663" s="13" t="s">
        <v>155</v>
      </c>
      <c r="E663" s="13" t="s">
        <v>41</v>
      </c>
      <c r="F663" s="13" t="n">
        <v>0</v>
      </c>
      <c r="G663" s="13" t="n">
        <v>0</v>
      </c>
      <c r="H663" s="13" t="n">
        <v>0</v>
      </c>
      <c r="I663" s="13" t="n">
        <f aca="false">H663-G663</f>
        <v>0</v>
      </c>
      <c r="J663" s="13" t="n">
        <f aca="false">H663-F663</f>
        <v>0</v>
      </c>
    </row>
    <row r="664" customFormat="false" ht="15" hidden="false" customHeight="false" outlineLevel="0" collapsed="false">
      <c r="A664" s="13" t="s">
        <v>107</v>
      </c>
      <c r="B664" s="13" t="s">
        <v>108</v>
      </c>
      <c r="C664" s="13" t="n">
        <v>38</v>
      </c>
      <c r="D664" s="13" t="s">
        <v>155</v>
      </c>
      <c r="E664" s="13" t="s">
        <v>42</v>
      </c>
      <c r="F664" s="13" t="n">
        <v>1</v>
      </c>
      <c r="G664" s="13" t="n">
        <v>1</v>
      </c>
      <c r="H664" s="13" t="n">
        <v>1</v>
      </c>
      <c r="I664" s="13" t="n">
        <f aca="false">H664-G664</f>
        <v>0</v>
      </c>
      <c r="J664" s="13" t="n">
        <f aca="false">H664-F664</f>
        <v>0</v>
      </c>
    </row>
    <row r="665" customFormat="false" ht="15" hidden="false" customHeight="false" outlineLevel="0" collapsed="false">
      <c r="A665" s="13" t="s">
        <v>107</v>
      </c>
      <c r="B665" s="13" t="s">
        <v>108</v>
      </c>
      <c r="C665" s="13" t="n">
        <v>38</v>
      </c>
      <c r="D665" s="13" t="s">
        <v>155</v>
      </c>
      <c r="E665" s="13" t="s">
        <v>43</v>
      </c>
      <c r="F665" s="13" t="n">
        <v>1</v>
      </c>
      <c r="G665" s="13" t="n">
        <v>1</v>
      </c>
      <c r="H665" s="13" t="n">
        <v>1</v>
      </c>
      <c r="I665" s="13" t="n">
        <f aca="false">H665-G665</f>
        <v>0</v>
      </c>
      <c r="J665" s="13" t="n">
        <f aca="false">H665-F665</f>
        <v>0</v>
      </c>
    </row>
    <row r="666" customFormat="false" ht="15" hidden="false" customHeight="false" outlineLevel="0" collapsed="false">
      <c r="A666" s="13" t="s">
        <v>107</v>
      </c>
      <c r="B666" s="13" t="s">
        <v>108</v>
      </c>
      <c r="C666" s="13" t="n">
        <v>38</v>
      </c>
      <c r="D666" s="13" t="s">
        <v>155</v>
      </c>
      <c r="E666" s="13" t="s">
        <v>44</v>
      </c>
      <c r="F666" s="13" t="n">
        <v>0</v>
      </c>
      <c r="G666" s="13" t="n">
        <v>0</v>
      </c>
      <c r="H666" s="13" t="n">
        <v>0</v>
      </c>
      <c r="I666" s="13" t="n">
        <f aca="false">H666-G666</f>
        <v>0</v>
      </c>
      <c r="J666" s="13" t="n">
        <f aca="false">H666-F666</f>
        <v>0</v>
      </c>
    </row>
    <row r="667" customFormat="false" ht="15" hidden="false" customHeight="false" outlineLevel="0" collapsed="false">
      <c r="A667" s="13" t="s">
        <v>107</v>
      </c>
      <c r="B667" s="13" t="s">
        <v>108</v>
      </c>
      <c r="C667" s="13" t="n">
        <v>38</v>
      </c>
      <c r="D667" s="13" t="s">
        <v>155</v>
      </c>
      <c r="E667" s="13" t="s">
        <v>45</v>
      </c>
      <c r="F667" s="13" t="n">
        <v>0</v>
      </c>
      <c r="G667" s="13" t="n">
        <v>0</v>
      </c>
      <c r="H667" s="13" t="n">
        <v>0</v>
      </c>
      <c r="I667" s="13" t="n">
        <f aca="false">H667-G667</f>
        <v>0</v>
      </c>
      <c r="J667" s="13" t="n">
        <f aca="false">H667-F667</f>
        <v>0</v>
      </c>
    </row>
    <row r="668" customFormat="false" ht="15" hidden="false" customHeight="false" outlineLevel="0" collapsed="false">
      <c r="A668" s="13" t="s">
        <v>107</v>
      </c>
      <c r="B668" s="13" t="s">
        <v>108</v>
      </c>
      <c r="C668" s="13" t="n">
        <v>38</v>
      </c>
      <c r="D668" s="13" t="s">
        <v>155</v>
      </c>
      <c r="E668" s="13" t="s">
        <v>46</v>
      </c>
      <c r="F668" s="13" t="n">
        <v>0</v>
      </c>
      <c r="G668" s="13" t="n">
        <v>0</v>
      </c>
      <c r="H668" s="13" t="n">
        <v>0</v>
      </c>
      <c r="I668" s="13" t="n">
        <f aca="false">H668-G668</f>
        <v>0</v>
      </c>
      <c r="J668" s="13" t="n">
        <f aca="false">H668-F668</f>
        <v>0</v>
      </c>
    </row>
    <row r="669" customFormat="false" ht="15" hidden="false" customHeight="false" outlineLevel="0" collapsed="false">
      <c r="A669" s="13" t="s">
        <v>109</v>
      </c>
      <c r="B669" s="13" t="s">
        <v>110</v>
      </c>
      <c r="C669" s="13" t="n">
        <v>37</v>
      </c>
      <c r="D669" s="13" t="s">
        <v>23</v>
      </c>
      <c r="E669" s="13" t="s">
        <v>22</v>
      </c>
      <c r="F669" s="13" t="n">
        <v>16</v>
      </c>
      <c r="G669" s="13" t="n">
        <v>16</v>
      </c>
      <c r="H669" s="13" t="n">
        <v>16</v>
      </c>
      <c r="I669" s="13" t="n">
        <f aca="false">H669-G669</f>
        <v>0</v>
      </c>
      <c r="J669" s="13" t="n">
        <f aca="false">H669-F669</f>
        <v>0</v>
      </c>
    </row>
    <row r="670" customFormat="false" ht="15" hidden="false" customHeight="false" outlineLevel="0" collapsed="false">
      <c r="A670" s="13" t="s">
        <v>109</v>
      </c>
      <c r="B670" s="13" t="s">
        <v>110</v>
      </c>
      <c r="C670" s="13" t="n">
        <v>37</v>
      </c>
      <c r="D670" s="13" t="s">
        <v>23</v>
      </c>
      <c r="E670" s="13" t="s">
        <v>24</v>
      </c>
      <c r="F670" s="13" t="n">
        <v>37</v>
      </c>
      <c r="G670" s="13" t="n">
        <v>37</v>
      </c>
      <c r="H670" s="13" t="n">
        <v>37</v>
      </c>
      <c r="I670" s="13" t="n">
        <f aca="false">H670-G670</f>
        <v>0</v>
      </c>
      <c r="J670" s="13" t="n">
        <f aca="false">H670-F670</f>
        <v>0</v>
      </c>
    </row>
    <row r="671" customFormat="false" ht="15" hidden="false" customHeight="false" outlineLevel="0" collapsed="false">
      <c r="A671" s="13" t="s">
        <v>109</v>
      </c>
      <c r="B671" s="13" t="s">
        <v>110</v>
      </c>
      <c r="C671" s="13" t="n">
        <v>37</v>
      </c>
      <c r="D671" s="13" t="s">
        <v>23</v>
      </c>
      <c r="E671" s="13" t="s">
        <v>25</v>
      </c>
      <c r="F671" s="13" t="n">
        <v>35</v>
      </c>
      <c r="G671" s="13" t="n">
        <v>36</v>
      </c>
      <c r="H671" s="13" t="n">
        <v>36</v>
      </c>
      <c r="I671" s="13" t="n">
        <f aca="false">H671-G671</f>
        <v>0</v>
      </c>
      <c r="J671" s="13" t="n">
        <f aca="false">H671-F671</f>
        <v>1</v>
      </c>
    </row>
    <row r="672" customFormat="false" ht="15" hidden="false" customHeight="false" outlineLevel="0" collapsed="false">
      <c r="A672" s="13" t="s">
        <v>109</v>
      </c>
      <c r="B672" s="13" t="s">
        <v>110</v>
      </c>
      <c r="C672" s="13" t="n">
        <v>37</v>
      </c>
      <c r="D672" s="13" t="s">
        <v>23</v>
      </c>
      <c r="E672" s="13" t="s">
        <v>26</v>
      </c>
      <c r="F672" s="13" t="n">
        <v>5</v>
      </c>
      <c r="G672" s="13" t="n">
        <v>5</v>
      </c>
      <c r="H672" s="13" t="n">
        <v>5</v>
      </c>
      <c r="I672" s="13" t="n">
        <f aca="false">H672-G672</f>
        <v>0</v>
      </c>
      <c r="J672" s="13" t="n">
        <f aca="false">H672-F672</f>
        <v>0</v>
      </c>
    </row>
    <row r="673" customFormat="false" ht="15" hidden="false" customHeight="false" outlineLevel="0" collapsed="false">
      <c r="A673" s="13" t="s">
        <v>109</v>
      </c>
      <c r="B673" s="13" t="s">
        <v>110</v>
      </c>
      <c r="C673" s="13" t="n">
        <v>37</v>
      </c>
      <c r="D673" s="13" t="s">
        <v>23</v>
      </c>
      <c r="E673" s="13" t="s">
        <v>27</v>
      </c>
      <c r="F673" s="13" t="n">
        <v>15</v>
      </c>
      <c r="G673" s="13" t="n">
        <v>10</v>
      </c>
      <c r="H673" s="13" t="n">
        <v>10</v>
      </c>
      <c r="I673" s="13" t="n">
        <f aca="false">H673-G673</f>
        <v>0</v>
      </c>
      <c r="J673" s="13" t="n">
        <f aca="false">H673-F673</f>
        <v>-5</v>
      </c>
    </row>
    <row r="674" customFormat="false" ht="15" hidden="false" customHeight="false" outlineLevel="0" collapsed="false">
      <c r="A674" s="13" t="s">
        <v>109</v>
      </c>
      <c r="B674" s="13" t="s">
        <v>110</v>
      </c>
      <c r="C674" s="13" t="n">
        <v>37</v>
      </c>
      <c r="D674" s="13" t="s">
        <v>23</v>
      </c>
      <c r="E674" s="13" t="s">
        <v>28</v>
      </c>
      <c r="F674" s="13" t="n">
        <v>9</v>
      </c>
      <c r="G674" s="13" t="n">
        <v>8</v>
      </c>
      <c r="H674" s="13" t="n">
        <v>8</v>
      </c>
      <c r="I674" s="13" t="n">
        <f aca="false">H674-G674</f>
        <v>0</v>
      </c>
      <c r="J674" s="13" t="n">
        <f aca="false">H674-F674</f>
        <v>-1</v>
      </c>
    </row>
    <row r="675" customFormat="false" ht="15" hidden="false" customHeight="false" outlineLevel="0" collapsed="false">
      <c r="A675" s="13" t="s">
        <v>109</v>
      </c>
      <c r="B675" s="13" t="s">
        <v>110</v>
      </c>
      <c r="C675" s="13" t="n">
        <v>37</v>
      </c>
      <c r="D675" s="13" t="s">
        <v>23</v>
      </c>
      <c r="E675" s="13" t="s">
        <v>29</v>
      </c>
      <c r="F675" s="13" t="n">
        <v>0</v>
      </c>
      <c r="G675" s="13" t="n">
        <v>0</v>
      </c>
      <c r="H675" s="13" t="n">
        <v>0</v>
      </c>
      <c r="I675" s="13" t="n">
        <f aca="false">H675-G675</f>
        <v>0</v>
      </c>
      <c r="J675" s="13" t="n">
        <f aca="false">H675-F675</f>
        <v>0</v>
      </c>
    </row>
    <row r="676" customFormat="false" ht="15" hidden="false" customHeight="false" outlineLevel="0" collapsed="false">
      <c r="A676" s="13" t="s">
        <v>109</v>
      </c>
      <c r="B676" s="13" t="s">
        <v>110</v>
      </c>
      <c r="C676" s="13" t="n">
        <v>37</v>
      </c>
      <c r="D676" s="13" t="s">
        <v>23</v>
      </c>
      <c r="E676" s="13" t="s">
        <v>30</v>
      </c>
      <c r="F676" s="13" t="n">
        <v>37</v>
      </c>
      <c r="G676" s="13" t="n">
        <v>37</v>
      </c>
      <c r="H676" s="13" t="n">
        <v>37</v>
      </c>
      <c r="I676" s="13" t="n">
        <f aca="false">H676-G676</f>
        <v>0</v>
      </c>
      <c r="J676" s="13" t="n">
        <f aca="false">H676-F676</f>
        <v>0</v>
      </c>
    </row>
    <row r="677" customFormat="false" ht="15" hidden="false" customHeight="false" outlineLevel="0" collapsed="false">
      <c r="A677" s="13" t="s">
        <v>109</v>
      </c>
      <c r="B677" s="13" t="s">
        <v>110</v>
      </c>
      <c r="C677" s="13" t="n">
        <v>37</v>
      </c>
      <c r="D677" s="13" t="s">
        <v>23</v>
      </c>
      <c r="E677" s="13" t="s">
        <v>31</v>
      </c>
      <c r="F677" s="13" t="n">
        <v>0</v>
      </c>
      <c r="G677" s="13" t="n">
        <v>0</v>
      </c>
      <c r="H677" s="13" t="n">
        <v>0</v>
      </c>
      <c r="I677" s="13" t="n">
        <f aca="false">H677-G677</f>
        <v>0</v>
      </c>
      <c r="J677" s="13" t="n">
        <f aca="false">H677-F677</f>
        <v>0</v>
      </c>
    </row>
    <row r="678" customFormat="false" ht="15" hidden="false" customHeight="false" outlineLevel="0" collapsed="false">
      <c r="A678" s="13" t="s">
        <v>109</v>
      </c>
      <c r="B678" s="13" t="s">
        <v>110</v>
      </c>
      <c r="C678" s="13" t="n">
        <v>37</v>
      </c>
      <c r="D678" s="13" t="s">
        <v>23</v>
      </c>
      <c r="E678" s="13" t="s">
        <v>32</v>
      </c>
      <c r="F678" s="13" t="n">
        <v>10</v>
      </c>
      <c r="G678" s="13" t="n">
        <v>10</v>
      </c>
      <c r="H678" s="13" t="n">
        <v>10</v>
      </c>
      <c r="I678" s="13" t="n">
        <f aca="false">H678-G678</f>
        <v>0</v>
      </c>
      <c r="J678" s="13" t="n">
        <f aca="false">H678-F678</f>
        <v>0</v>
      </c>
    </row>
    <row r="679" customFormat="false" ht="15" hidden="false" customHeight="false" outlineLevel="0" collapsed="false">
      <c r="A679" s="13" t="s">
        <v>109</v>
      </c>
      <c r="B679" s="13" t="s">
        <v>110</v>
      </c>
      <c r="C679" s="13" t="n">
        <v>37</v>
      </c>
      <c r="D679" s="13" t="s">
        <v>23</v>
      </c>
      <c r="E679" s="13" t="s">
        <v>33</v>
      </c>
      <c r="F679" s="13" t="n">
        <v>0</v>
      </c>
      <c r="G679" s="13" t="n">
        <v>0</v>
      </c>
      <c r="H679" s="13" t="n">
        <v>0</v>
      </c>
      <c r="I679" s="13" t="n">
        <f aca="false">H679-G679</f>
        <v>0</v>
      </c>
      <c r="J679" s="13" t="n">
        <f aca="false">H679-F679</f>
        <v>0</v>
      </c>
    </row>
    <row r="680" customFormat="false" ht="15" hidden="false" customHeight="false" outlineLevel="0" collapsed="false">
      <c r="A680" s="13" t="s">
        <v>109</v>
      </c>
      <c r="B680" s="13" t="s">
        <v>110</v>
      </c>
      <c r="C680" s="13" t="n">
        <v>37</v>
      </c>
      <c r="D680" s="13" t="s">
        <v>23</v>
      </c>
      <c r="E680" s="13" t="s">
        <v>34</v>
      </c>
      <c r="F680" s="13" t="n">
        <v>37</v>
      </c>
      <c r="G680" s="13" t="n">
        <v>37</v>
      </c>
      <c r="H680" s="13" t="n">
        <v>37</v>
      </c>
      <c r="I680" s="13" t="n">
        <f aca="false">H680-G680</f>
        <v>0</v>
      </c>
      <c r="J680" s="13" t="n">
        <f aca="false">H680-F680</f>
        <v>0</v>
      </c>
    </row>
    <row r="681" customFormat="false" ht="15" hidden="false" customHeight="false" outlineLevel="0" collapsed="false">
      <c r="A681" s="13" t="s">
        <v>109</v>
      </c>
      <c r="B681" s="13" t="s">
        <v>110</v>
      </c>
      <c r="C681" s="13" t="n">
        <v>37</v>
      </c>
      <c r="D681" s="13" t="s">
        <v>23</v>
      </c>
      <c r="E681" s="13" t="s">
        <v>35</v>
      </c>
      <c r="F681" s="13" t="n">
        <v>0</v>
      </c>
      <c r="G681" s="13" t="n">
        <v>0</v>
      </c>
      <c r="H681" s="13" t="n">
        <v>0</v>
      </c>
      <c r="I681" s="13" t="n">
        <f aca="false">H681-G681</f>
        <v>0</v>
      </c>
      <c r="J681" s="13" t="n">
        <f aca="false">H681-F681</f>
        <v>0</v>
      </c>
    </row>
    <row r="682" customFormat="false" ht="15" hidden="false" customHeight="false" outlineLevel="0" collapsed="false">
      <c r="A682" s="13" t="s">
        <v>109</v>
      </c>
      <c r="B682" s="13" t="s">
        <v>110</v>
      </c>
      <c r="C682" s="13" t="n">
        <v>37</v>
      </c>
      <c r="D682" s="13" t="s">
        <v>23</v>
      </c>
      <c r="E682" s="13" t="s">
        <v>36</v>
      </c>
      <c r="F682" s="13" t="n">
        <v>0</v>
      </c>
      <c r="G682" s="13" t="n">
        <v>0</v>
      </c>
      <c r="H682" s="13" t="n">
        <v>0</v>
      </c>
      <c r="I682" s="13" t="n">
        <f aca="false">H682-G682</f>
        <v>0</v>
      </c>
      <c r="J682" s="13" t="n">
        <f aca="false">H682-F682</f>
        <v>0</v>
      </c>
    </row>
    <row r="683" customFormat="false" ht="15" hidden="false" customHeight="false" outlineLevel="0" collapsed="false">
      <c r="A683" s="13" t="s">
        <v>109</v>
      </c>
      <c r="B683" s="13" t="s">
        <v>110</v>
      </c>
      <c r="C683" s="13" t="n">
        <v>37</v>
      </c>
      <c r="D683" s="13" t="s">
        <v>155</v>
      </c>
      <c r="E683" s="13" t="s">
        <v>37</v>
      </c>
      <c r="F683" s="13" t="n">
        <v>1</v>
      </c>
      <c r="G683" s="13" t="n">
        <v>1</v>
      </c>
      <c r="H683" s="13" t="n">
        <v>1</v>
      </c>
      <c r="I683" s="13" t="n">
        <f aca="false">H683-G683</f>
        <v>0</v>
      </c>
      <c r="J683" s="13" t="n">
        <f aca="false">H683-F683</f>
        <v>0</v>
      </c>
    </row>
    <row r="684" customFormat="false" ht="15" hidden="false" customHeight="false" outlineLevel="0" collapsed="false">
      <c r="A684" s="13" t="s">
        <v>109</v>
      </c>
      <c r="B684" s="13" t="s">
        <v>110</v>
      </c>
      <c r="C684" s="13" t="n">
        <v>37</v>
      </c>
      <c r="D684" s="13" t="s">
        <v>155</v>
      </c>
      <c r="E684" s="13" t="s">
        <v>39</v>
      </c>
      <c r="F684" s="13" t="n">
        <v>1</v>
      </c>
      <c r="G684" s="13" t="n">
        <v>1</v>
      </c>
      <c r="H684" s="13" t="n">
        <v>1</v>
      </c>
      <c r="I684" s="13" t="n">
        <f aca="false">H684-G684</f>
        <v>0</v>
      </c>
      <c r="J684" s="13" t="n">
        <f aca="false">H684-F684</f>
        <v>0</v>
      </c>
    </row>
    <row r="685" customFormat="false" ht="15" hidden="false" customHeight="false" outlineLevel="0" collapsed="false">
      <c r="A685" s="13" t="s">
        <v>109</v>
      </c>
      <c r="B685" s="13" t="s">
        <v>110</v>
      </c>
      <c r="C685" s="13" t="n">
        <v>37</v>
      </c>
      <c r="D685" s="13" t="s">
        <v>155</v>
      </c>
      <c r="E685" s="13" t="s">
        <v>40</v>
      </c>
      <c r="F685" s="13" t="n">
        <v>1</v>
      </c>
      <c r="G685" s="13" t="n">
        <v>1</v>
      </c>
      <c r="H685" s="13" t="n">
        <v>1</v>
      </c>
      <c r="I685" s="13" t="n">
        <f aca="false">H685-G685</f>
        <v>0</v>
      </c>
      <c r="J685" s="13" t="n">
        <f aca="false">H685-F685</f>
        <v>0</v>
      </c>
    </row>
    <row r="686" customFormat="false" ht="15" hidden="false" customHeight="false" outlineLevel="0" collapsed="false">
      <c r="A686" s="13" t="s">
        <v>109</v>
      </c>
      <c r="B686" s="13" t="s">
        <v>110</v>
      </c>
      <c r="C686" s="13" t="n">
        <v>37</v>
      </c>
      <c r="D686" s="13" t="s">
        <v>155</v>
      </c>
      <c r="E686" s="13" t="s">
        <v>41</v>
      </c>
      <c r="F686" s="13" t="n">
        <v>0</v>
      </c>
      <c r="G686" s="13" t="n">
        <v>0</v>
      </c>
      <c r="H686" s="13" t="n">
        <v>0</v>
      </c>
      <c r="I686" s="13" t="n">
        <f aca="false">H686-G686</f>
        <v>0</v>
      </c>
      <c r="J686" s="13" t="n">
        <f aca="false">H686-F686</f>
        <v>0</v>
      </c>
    </row>
    <row r="687" customFormat="false" ht="15" hidden="false" customHeight="false" outlineLevel="0" collapsed="false">
      <c r="A687" s="13" t="s">
        <v>109</v>
      </c>
      <c r="B687" s="13" t="s">
        <v>110</v>
      </c>
      <c r="C687" s="13" t="n">
        <v>37</v>
      </c>
      <c r="D687" s="13" t="s">
        <v>155</v>
      </c>
      <c r="E687" s="13" t="s">
        <v>42</v>
      </c>
      <c r="F687" s="13" t="n">
        <v>1</v>
      </c>
      <c r="G687" s="13" t="n">
        <v>1</v>
      </c>
      <c r="H687" s="13" t="n">
        <v>1</v>
      </c>
      <c r="I687" s="13" t="n">
        <f aca="false">H687-G687</f>
        <v>0</v>
      </c>
      <c r="J687" s="13" t="n">
        <f aca="false">H687-F687</f>
        <v>0</v>
      </c>
    </row>
    <row r="688" customFormat="false" ht="15" hidden="false" customHeight="false" outlineLevel="0" collapsed="false">
      <c r="A688" s="13" t="s">
        <v>109</v>
      </c>
      <c r="B688" s="13" t="s">
        <v>110</v>
      </c>
      <c r="C688" s="13" t="n">
        <v>37</v>
      </c>
      <c r="D688" s="13" t="s">
        <v>155</v>
      </c>
      <c r="E688" s="13" t="s">
        <v>43</v>
      </c>
      <c r="F688" s="13" t="n">
        <v>1</v>
      </c>
      <c r="G688" s="13" t="n">
        <v>1</v>
      </c>
      <c r="H688" s="13" t="n">
        <v>1</v>
      </c>
      <c r="I688" s="13" t="n">
        <f aca="false">H688-G688</f>
        <v>0</v>
      </c>
      <c r="J688" s="13" t="n">
        <f aca="false">H688-F688</f>
        <v>0</v>
      </c>
    </row>
    <row r="689" customFormat="false" ht="15" hidden="false" customHeight="false" outlineLevel="0" collapsed="false">
      <c r="A689" s="13" t="s">
        <v>109</v>
      </c>
      <c r="B689" s="13" t="s">
        <v>110</v>
      </c>
      <c r="C689" s="13" t="n">
        <v>37</v>
      </c>
      <c r="D689" s="13" t="s">
        <v>155</v>
      </c>
      <c r="E689" s="13" t="s">
        <v>44</v>
      </c>
      <c r="F689" s="13" t="n">
        <v>1</v>
      </c>
      <c r="G689" s="13" t="n">
        <v>1</v>
      </c>
      <c r="H689" s="13" t="n">
        <v>1</v>
      </c>
      <c r="I689" s="13" t="n">
        <f aca="false">H689-G689</f>
        <v>0</v>
      </c>
      <c r="J689" s="13" t="n">
        <f aca="false">H689-F689</f>
        <v>0</v>
      </c>
    </row>
    <row r="690" customFormat="false" ht="15" hidden="false" customHeight="false" outlineLevel="0" collapsed="false">
      <c r="A690" s="13" t="s">
        <v>109</v>
      </c>
      <c r="B690" s="13" t="s">
        <v>110</v>
      </c>
      <c r="C690" s="13" t="n">
        <v>37</v>
      </c>
      <c r="D690" s="13" t="s">
        <v>155</v>
      </c>
      <c r="E690" s="13" t="s">
        <v>45</v>
      </c>
      <c r="F690" s="13" t="n">
        <v>1</v>
      </c>
      <c r="G690" s="13" t="n">
        <v>1</v>
      </c>
      <c r="H690" s="13" t="n">
        <v>1</v>
      </c>
      <c r="I690" s="13" t="n">
        <f aca="false">H690-G690</f>
        <v>0</v>
      </c>
      <c r="J690" s="13" t="n">
        <f aca="false">H690-F690</f>
        <v>0</v>
      </c>
    </row>
    <row r="691" customFormat="false" ht="15" hidden="false" customHeight="false" outlineLevel="0" collapsed="false">
      <c r="A691" s="13" t="s">
        <v>109</v>
      </c>
      <c r="B691" s="13" t="s">
        <v>110</v>
      </c>
      <c r="C691" s="13" t="n">
        <v>37</v>
      </c>
      <c r="D691" s="13" t="s">
        <v>155</v>
      </c>
      <c r="E691" s="13" t="s">
        <v>46</v>
      </c>
      <c r="F691" s="13" t="n">
        <v>0</v>
      </c>
      <c r="G691" s="13" t="n">
        <v>0</v>
      </c>
      <c r="H691" s="13" t="n">
        <v>0</v>
      </c>
      <c r="I691" s="13" t="n">
        <f aca="false">H691-G691</f>
        <v>0</v>
      </c>
      <c r="J691" s="13" t="n">
        <f aca="false">H691-F691</f>
        <v>0</v>
      </c>
    </row>
    <row r="692" customFormat="false" ht="15" hidden="false" customHeight="false" outlineLevel="0" collapsed="false">
      <c r="A692" s="13" t="s">
        <v>111</v>
      </c>
      <c r="B692" s="13" t="s">
        <v>112</v>
      </c>
      <c r="C692" s="13" t="n">
        <v>31</v>
      </c>
      <c r="D692" s="13" t="s">
        <v>23</v>
      </c>
      <c r="E692" s="13" t="s">
        <v>22</v>
      </c>
      <c r="F692" s="13" t="n">
        <v>17</v>
      </c>
      <c r="G692" s="13" t="n">
        <v>18</v>
      </c>
      <c r="H692" s="13" t="n">
        <v>18</v>
      </c>
      <c r="I692" s="13" t="n">
        <f aca="false">H692-G692</f>
        <v>0</v>
      </c>
      <c r="J692" s="13" t="n">
        <f aca="false">H692-F692</f>
        <v>1</v>
      </c>
    </row>
    <row r="693" customFormat="false" ht="15" hidden="false" customHeight="false" outlineLevel="0" collapsed="false">
      <c r="A693" s="13" t="s">
        <v>111</v>
      </c>
      <c r="B693" s="13" t="s">
        <v>112</v>
      </c>
      <c r="C693" s="13" t="n">
        <v>31</v>
      </c>
      <c r="D693" s="13" t="s">
        <v>23</v>
      </c>
      <c r="E693" s="13" t="s">
        <v>24</v>
      </c>
      <c r="F693" s="13" t="n">
        <v>31</v>
      </c>
      <c r="G693" s="13" t="n">
        <v>31</v>
      </c>
      <c r="H693" s="13" t="n">
        <v>31</v>
      </c>
      <c r="I693" s="13" t="n">
        <f aca="false">H693-G693</f>
        <v>0</v>
      </c>
      <c r="J693" s="13" t="n">
        <f aca="false">H693-F693</f>
        <v>0</v>
      </c>
    </row>
    <row r="694" customFormat="false" ht="15" hidden="false" customHeight="false" outlineLevel="0" collapsed="false">
      <c r="A694" s="13" t="s">
        <v>111</v>
      </c>
      <c r="B694" s="13" t="s">
        <v>112</v>
      </c>
      <c r="C694" s="13" t="n">
        <v>31</v>
      </c>
      <c r="D694" s="13" t="s">
        <v>23</v>
      </c>
      <c r="E694" s="13" t="s">
        <v>25</v>
      </c>
      <c r="F694" s="13" t="n">
        <v>29</v>
      </c>
      <c r="G694" s="13" t="n">
        <v>31</v>
      </c>
      <c r="H694" s="13" t="n">
        <v>31</v>
      </c>
      <c r="I694" s="13" t="n">
        <f aca="false">H694-G694</f>
        <v>0</v>
      </c>
      <c r="J694" s="13" t="n">
        <f aca="false">H694-F694</f>
        <v>2</v>
      </c>
    </row>
    <row r="695" customFormat="false" ht="15" hidden="false" customHeight="false" outlineLevel="0" collapsed="false">
      <c r="A695" s="13" t="s">
        <v>111</v>
      </c>
      <c r="B695" s="13" t="s">
        <v>112</v>
      </c>
      <c r="C695" s="13" t="n">
        <v>31</v>
      </c>
      <c r="D695" s="13" t="s">
        <v>23</v>
      </c>
      <c r="E695" s="13" t="s">
        <v>26</v>
      </c>
      <c r="F695" s="13" t="n">
        <v>2</v>
      </c>
      <c r="G695" s="13" t="n">
        <v>2</v>
      </c>
      <c r="H695" s="13" t="n">
        <v>2</v>
      </c>
      <c r="I695" s="13" t="n">
        <f aca="false">H695-G695</f>
        <v>0</v>
      </c>
      <c r="J695" s="13" t="n">
        <f aca="false">H695-F695</f>
        <v>0</v>
      </c>
    </row>
    <row r="696" customFormat="false" ht="15" hidden="false" customHeight="false" outlineLevel="0" collapsed="false">
      <c r="A696" s="13" t="s">
        <v>111</v>
      </c>
      <c r="B696" s="13" t="s">
        <v>112</v>
      </c>
      <c r="C696" s="13" t="n">
        <v>31</v>
      </c>
      <c r="D696" s="13" t="s">
        <v>23</v>
      </c>
      <c r="E696" s="13" t="s">
        <v>27</v>
      </c>
      <c r="F696" s="13" t="n">
        <v>22</v>
      </c>
      <c r="G696" s="13" t="n">
        <v>18</v>
      </c>
      <c r="H696" s="13" t="n">
        <v>18</v>
      </c>
      <c r="I696" s="13" t="n">
        <f aca="false">H696-G696</f>
        <v>0</v>
      </c>
      <c r="J696" s="13" t="n">
        <f aca="false">H696-F696</f>
        <v>-4</v>
      </c>
    </row>
    <row r="697" customFormat="false" ht="15" hidden="false" customHeight="false" outlineLevel="0" collapsed="false">
      <c r="A697" s="13" t="s">
        <v>111</v>
      </c>
      <c r="B697" s="13" t="s">
        <v>112</v>
      </c>
      <c r="C697" s="13" t="n">
        <v>31</v>
      </c>
      <c r="D697" s="13" t="s">
        <v>23</v>
      </c>
      <c r="E697" s="13" t="s">
        <v>28</v>
      </c>
      <c r="F697" s="13" t="n">
        <v>11</v>
      </c>
      <c r="G697" s="13" t="n">
        <v>30</v>
      </c>
      <c r="H697" s="13" t="n">
        <v>30</v>
      </c>
      <c r="I697" s="13" t="n">
        <f aca="false">H697-G697</f>
        <v>0</v>
      </c>
      <c r="J697" s="13" t="n">
        <f aca="false">H697-F697</f>
        <v>19</v>
      </c>
    </row>
    <row r="698" customFormat="false" ht="15" hidden="false" customHeight="false" outlineLevel="0" collapsed="false">
      <c r="A698" s="13" t="s">
        <v>111</v>
      </c>
      <c r="B698" s="13" t="s">
        <v>112</v>
      </c>
      <c r="C698" s="13" t="n">
        <v>31</v>
      </c>
      <c r="D698" s="13" t="s">
        <v>23</v>
      </c>
      <c r="E698" s="13" t="s">
        <v>29</v>
      </c>
      <c r="F698" s="13" t="n">
        <v>11</v>
      </c>
      <c r="G698" s="13" t="n">
        <v>30</v>
      </c>
      <c r="H698" s="13" t="n">
        <v>30</v>
      </c>
      <c r="I698" s="13" t="n">
        <f aca="false">H698-G698</f>
        <v>0</v>
      </c>
      <c r="J698" s="13" t="n">
        <f aca="false">H698-F698</f>
        <v>19</v>
      </c>
    </row>
    <row r="699" customFormat="false" ht="15" hidden="false" customHeight="false" outlineLevel="0" collapsed="false">
      <c r="A699" s="13" t="s">
        <v>111</v>
      </c>
      <c r="B699" s="13" t="s">
        <v>112</v>
      </c>
      <c r="C699" s="13" t="n">
        <v>31</v>
      </c>
      <c r="D699" s="13" t="s">
        <v>23</v>
      </c>
      <c r="E699" s="13" t="s">
        <v>30</v>
      </c>
      <c r="F699" s="13" t="n">
        <v>31</v>
      </c>
      <c r="G699" s="13" t="n">
        <v>31</v>
      </c>
      <c r="H699" s="13" t="n">
        <v>31</v>
      </c>
      <c r="I699" s="13" t="n">
        <f aca="false">H699-G699</f>
        <v>0</v>
      </c>
      <c r="J699" s="13" t="n">
        <f aca="false">H699-F699</f>
        <v>0</v>
      </c>
    </row>
    <row r="700" customFormat="false" ht="15" hidden="false" customHeight="false" outlineLevel="0" collapsed="false">
      <c r="A700" s="13" t="s">
        <v>111</v>
      </c>
      <c r="B700" s="13" t="s">
        <v>112</v>
      </c>
      <c r="C700" s="13" t="n">
        <v>31</v>
      </c>
      <c r="D700" s="13" t="s">
        <v>23</v>
      </c>
      <c r="E700" s="13" t="s">
        <v>31</v>
      </c>
      <c r="F700" s="13" t="n">
        <v>0</v>
      </c>
      <c r="G700" s="13" t="n">
        <v>4</v>
      </c>
      <c r="H700" s="13" t="n">
        <v>4</v>
      </c>
      <c r="I700" s="13" t="n">
        <f aca="false">H700-G700</f>
        <v>0</v>
      </c>
      <c r="J700" s="13" t="n">
        <f aca="false">H700-F700</f>
        <v>4</v>
      </c>
    </row>
    <row r="701" customFormat="false" ht="15" hidden="false" customHeight="false" outlineLevel="0" collapsed="false">
      <c r="A701" s="13" t="s">
        <v>111</v>
      </c>
      <c r="B701" s="13" t="s">
        <v>112</v>
      </c>
      <c r="C701" s="13" t="n">
        <v>31</v>
      </c>
      <c r="D701" s="13" t="s">
        <v>23</v>
      </c>
      <c r="E701" s="13" t="s">
        <v>32</v>
      </c>
      <c r="F701" s="13" t="n">
        <v>14</v>
      </c>
      <c r="G701" s="13" t="n">
        <v>15</v>
      </c>
      <c r="H701" s="13" t="n">
        <v>15</v>
      </c>
      <c r="I701" s="13" t="n">
        <f aca="false">H701-G701</f>
        <v>0</v>
      </c>
      <c r="J701" s="13" t="n">
        <f aca="false">H701-F701</f>
        <v>1</v>
      </c>
    </row>
    <row r="702" customFormat="false" ht="15" hidden="false" customHeight="false" outlineLevel="0" collapsed="false">
      <c r="A702" s="13" t="s">
        <v>111</v>
      </c>
      <c r="B702" s="13" t="s">
        <v>112</v>
      </c>
      <c r="C702" s="13" t="n">
        <v>31</v>
      </c>
      <c r="D702" s="13" t="s">
        <v>23</v>
      </c>
      <c r="E702" s="13" t="s">
        <v>33</v>
      </c>
      <c r="F702" s="13" t="n">
        <v>0</v>
      </c>
      <c r="G702" s="13" t="n">
        <v>0</v>
      </c>
      <c r="H702" s="13" t="n">
        <v>0</v>
      </c>
      <c r="I702" s="13" t="n">
        <f aca="false">H702-G702</f>
        <v>0</v>
      </c>
      <c r="J702" s="13" t="n">
        <f aca="false">H702-F702</f>
        <v>0</v>
      </c>
    </row>
    <row r="703" customFormat="false" ht="15" hidden="false" customHeight="false" outlineLevel="0" collapsed="false">
      <c r="A703" s="13" t="s">
        <v>111</v>
      </c>
      <c r="B703" s="13" t="s">
        <v>112</v>
      </c>
      <c r="C703" s="13" t="n">
        <v>31</v>
      </c>
      <c r="D703" s="13" t="s">
        <v>23</v>
      </c>
      <c r="E703" s="13" t="s">
        <v>34</v>
      </c>
      <c r="F703" s="13" t="n">
        <v>0</v>
      </c>
      <c r="G703" s="13" t="n">
        <v>0</v>
      </c>
      <c r="H703" s="13" t="n">
        <v>0</v>
      </c>
      <c r="I703" s="13" t="n">
        <f aca="false">H703-G703</f>
        <v>0</v>
      </c>
      <c r="J703" s="13" t="n">
        <f aca="false">H703-F703</f>
        <v>0</v>
      </c>
    </row>
    <row r="704" customFormat="false" ht="15" hidden="false" customHeight="false" outlineLevel="0" collapsed="false">
      <c r="A704" s="13" t="s">
        <v>111</v>
      </c>
      <c r="B704" s="13" t="s">
        <v>112</v>
      </c>
      <c r="C704" s="13" t="n">
        <v>31</v>
      </c>
      <c r="D704" s="13" t="s">
        <v>23</v>
      </c>
      <c r="E704" s="13" t="s">
        <v>35</v>
      </c>
      <c r="F704" s="13" t="n">
        <v>0</v>
      </c>
      <c r="G704" s="13" t="n">
        <v>0</v>
      </c>
      <c r="H704" s="13" t="n">
        <v>0</v>
      </c>
      <c r="I704" s="13" t="n">
        <f aca="false">H704-G704</f>
        <v>0</v>
      </c>
      <c r="J704" s="13" t="n">
        <f aca="false">H704-F704</f>
        <v>0</v>
      </c>
    </row>
    <row r="705" customFormat="false" ht="15" hidden="false" customHeight="false" outlineLevel="0" collapsed="false">
      <c r="A705" s="13" t="s">
        <v>111</v>
      </c>
      <c r="B705" s="13" t="s">
        <v>112</v>
      </c>
      <c r="C705" s="13" t="n">
        <v>31</v>
      </c>
      <c r="D705" s="13" t="s">
        <v>23</v>
      </c>
      <c r="E705" s="13" t="s">
        <v>36</v>
      </c>
      <c r="F705" s="13" t="n">
        <v>0</v>
      </c>
      <c r="G705" s="13" t="n">
        <v>0</v>
      </c>
      <c r="H705" s="13" t="n">
        <v>0</v>
      </c>
      <c r="I705" s="13" t="n">
        <f aca="false">H705-G705</f>
        <v>0</v>
      </c>
      <c r="J705" s="13" t="n">
        <f aca="false">H705-F705</f>
        <v>0</v>
      </c>
    </row>
    <row r="706" customFormat="false" ht="15" hidden="false" customHeight="false" outlineLevel="0" collapsed="false">
      <c r="A706" s="13" t="s">
        <v>111</v>
      </c>
      <c r="B706" s="13" t="s">
        <v>112</v>
      </c>
      <c r="C706" s="13" t="n">
        <v>31</v>
      </c>
      <c r="D706" s="13" t="s">
        <v>155</v>
      </c>
      <c r="E706" s="13" t="s">
        <v>37</v>
      </c>
      <c r="F706" s="13" t="n">
        <v>1</v>
      </c>
      <c r="G706" s="13" t="n">
        <v>1</v>
      </c>
      <c r="H706" s="13" t="n">
        <v>1</v>
      </c>
      <c r="I706" s="13" t="n">
        <f aca="false">H706-G706</f>
        <v>0</v>
      </c>
      <c r="J706" s="13" t="n">
        <f aca="false">H706-F706</f>
        <v>0</v>
      </c>
    </row>
    <row r="707" customFormat="false" ht="15" hidden="false" customHeight="false" outlineLevel="0" collapsed="false">
      <c r="A707" s="13" t="s">
        <v>111</v>
      </c>
      <c r="B707" s="13" t="s">
        <v>112</v>
      </c>
      <c r="C707" s="13" t="n">
        <v>31</v>
      </c>
      <c r="D707" s="13" t="s">
        <v>155</v>
      </c>
      <c r="E707" s="13" t="s">
        <v>39</v>
      </c>
      <c r="F707" s="13" t="n">
        <v>0</v>
      </c>
      <c r="G707" s="13" t="n">
        <v>0</v>
      </c>
      <c r="H707" s="13" t="n">
        <v>0</v>
      </c>
      <c r="I707" s="13" t="n">
        <f aca="false">H707-G707</f>
        <v>0</v>
      </c>
      <c r="J707" s="13" t="n">
        <f aca="false">H707-F707</f>
        <v>0</v>
      </c>
    </row>
    <row r="708" customFormat="false" ht="15" hidden="false" customHeight="false" outlineLevel="0" collapsed="false">
      <c r="A708" s="13" t="s">
        <v>111</v>
      </c>
      <c r="B708" s="13" t="s">
        <v>112</v>
      </c>
      <c r="C708" s="13" t="n">
        <v>31</v>
      </c>
      <c r="D708" s="13" t="s">
        <v>155</v>
      </c>
      <c r="E708" s="13" t="s">
        <v>40</v>
      </c>
      <c r="F708" s="13" t="n">
        <v>1</v>
      </c>
      <c r="G708" s="13" t="n">
        <v>1</v>
      </c>
      <c r="H708" s="13" t="n">
        <v>1</v>
      </c>
      <c r="I708" s="13" t="n">
        <f aca="false">H708-G708</f>
        <v>0</v>
      </c>
      <c r="J708" s="13" t="n">
        <f aca="false">H708-F708</f>
        <v>0</v>
      </c>
    </row>
    <row r="709" customFormat="false" ht="15" hidden="false" customHeight="false" outlineLevel="0" collapsed="false">
      <c r="A709" s="13" t="s">
        <v>111</v>
      </c>
      <c r="B709" s="13" t="s">
        <v>112</v>
      </c>
      <c r="C709" s="13" t="n">
        <v>31</v>
      </c>
      <c r="D709" s="13" t="s">
        <v>155</v>
      </c>
      <c r="E709" s="13" t="s">
        <v>41</v>
      </c>
      <c r="F709" s="13" t="n">
        <v>0</v>
      </c>
      <c r="G709" s="13" t="n">
        <v>0</v>
      </c>
      <c r="H709" s="13" t="n">
        <v>0</v>
      </c>
      <c r="I709" s="13" t="n">
        <f aca="false">H709-G709</f>
        <v>0</v>
      </c>
      <c r="J709" s="13" t="n">
        <f aca="false">H709-F709</f>
        <v>0</v>
      </c>
    </row>
    <row r="710" customFormat="false" ht="15" hidden="false" customHeight="false" outlineLevel="0" collapsed="false">
      <c r="A710" s="13" t="s">
        <v>111</v>
      </c>
      <c r="B710" s="13" t="s">
        <v>112</v>
      </c>
      <c r="C710" s="13" t="n">
        <v>31</v>
      </c>
      <c r="D710" s="13" t="s">
        <v>155</v>
      </c>
      <c r="E710" s="13" t="s">
        <v>42</v>
      </c>
      <c r="F710" s="13" t="n">
        <v>1</v>
      </c>
      <c r="G710" s="13" t="n">
        <v>1</v>
      </c>
      <c r="H710" s="13" t="n">
        <v>1</v>
      </c>
      <c r="I710" s="13" t="n">
        <f aca="false">H710-G710</f>
        <v>0</v>
      </c>
      <c r="J710" s="13" t="n">
        <f aca="false">H710-F710</f>
        <v>0</v>
      </c>
    </row>
    <row r="711" customFormat="false" ht="15" hidden="false" customHeight="false" outlineLevel="0" collapsed="false">
      <c r="A711" s="13" t="s">
        <v>111</v>
      </c>
      <c r="B711" s="13" t="s">
        <v>112</v>
      </c>
      <c r="C711" s="13" t="n">
        <v>31</v>
      </c>
      <c r="D711" s="13" t="s">
        <v>155</v>
      </c>
      <c r="E711" s="13" t="s">
        <v>43</v>
      </c>
      <c r="F711" s="13" t="n">
        <v>0</v>
      </c>
      <c r="G711" s="13" t="n">
        <v>0</v>
      </c>
      <c r="H711" s="13" t="n">
        <v>0</v>
      </c>
      <c r="I711" s="13" t="n">
        <f aca="false">H711-G711</f>
        <v>0</v>
      </c>
      <c r="J711" s="13" t="n">
        <f aca="false">H711-F711</f>
        <v>0</v>
      </c>
    </row>
    <row r="712" customFormat="false" ht="15" hidden="false" customHeight="false" outlineLevel="0" collapsed="false">
      <c r="A712" s="13" t="s">
        <v>111</v>
      </c>
      <c r="B712" s="13" t="s">
        <v>112</v>
      </c>
      <c r="C712" s="13" t="n">
        <v>31</v>
      </c>
      <c r="D712" s="13" t="s">
        <v>155</v>
      </c>
      <c r="E712" s="13" t="s">
        <v>44</v>
      </c>
      <c r="F712" s="13" t="n">
        <v>0</v>
      </c>
      <c r="G712" s="13" t="n">
        <v>0</v>
      </c>
      <c r="H712" s="13" t="n">
        <v>0</v>
      </c>
      <c r="I712" s="13" t="n">
        <f aca="false">H712-G712</f>
        <v>0</v>
      </c>
      <c r="J712" s="13" t="n">
        <f aca="false">H712-F712</f>
        <v>0</v>
      </c>
    </row>
    <row r="713" customFormat="false" ht="15" hidden="false" customHeight="false" outlineLevel="0" collapsed="false">
      <c r="A713" s="13" t="s">
        <v>111</v>
      </c>
      <c r="B713" s="13" t="s">
        <v>112</v>
      </c>
      <c r="C713" s="13" t="n">
        <v>31</v>
      </c>
      <c r="D713" s="13" t="s">
        <v>155</v>
      </c>
      <c r="E713" s="13" t="s">
        <v>45</v>
      </c>
      <c r="F713" s="13" t="n">
        <v>1</v>
      </c>
      <c r="G713" s="13" t="n">
        <v>1</v>
      </c>
      <c r="H713" s="13" t="n">
        <v>1</v>
      </c>
      <c r="I713" s="13" t="n">
        <f aca="false">H713-G713</f>
        <v>0</v>
      </c>
      <c r="J713" s="13" t="n">
        <f aca="false">H713-F713</f>
        <v>0</v>
      </c>
    </row>
    <row r="714" customFormat="false" ht="15" hidden="false" customHeight="false" outlineLevel="0" collapsed="false">
      <c r="A714" s="13" t="s">
        <v>111</v>
      </c>
      <c r="B714" s="13" t="s">
        <v>112</v>
      </c>
      <c r="C714" s="13" t="n">
        <v>31</v>
      </c>
      <c r="D714" s="13" t="s">
        <v>155</v>
      </c>
      <c r="E714" s="13" t="s">
        <v>46</v>
      </c>
      <c r="F714" s="13" t="n">
        <v>0</v>
      </c>
      <c r="G714" s="13" t="n">
        <v>0</v>
      </c>
      <c r="H714" s="13" t="n">
        <v>0</v>
      </c>
      <c r="I714" s="13" t="n">
        <f aca="false">H714-G714</f>
        <v>0</v>
      </c>
      <c r="J714" s="13" t="n">
        <f aca="false">H714-F714</f>
        <v>0</v>
      </c>
    </row>
    <row r="715" customFormat="false" ht="15" hidden="false" customHeight="false" outlineLevel="0" collapsed="false">
      <c r="A715" s="13" t="s">
        <v>113</v>
      </c>
      <c r="B715" s="13" t="s">
        <v>114</v>
      </c>
      <c r="C715" s="13" t="n">
        <v>30</v>
      </c>
      <c r="D715" s="13" t="s">
        <v>23</v>
      </c>
      <c r="E715" s="13" t="s">
        <v>22</v>
      </c>
      <c r="F715" s="13" t="n">
        <v>7</v>
      </c>
      <c r="G715" s="13" t="n">
        <v>7</v>
      </c>
      <c r="H715" s="13" t="n">
        <v>7</v>
      </c>
      <c r="I715" s="13" t="n">
        <f aca="false">H715-G715</f>
        <v>0</v>
      </c>
      <c r="J715" s="13" t="n">
        <f aca="false">H715-F715</f>
        <v>0</v>
      </c>
    </row>
    <row r="716" customFormat="false" ht="15" hidden="false" customHeight="false" outlineLevel="0" collapsed="false">
      <c r="A716" s="13" t="s">
        <v>113</v>
      </c>
      <c r="B716" s="13" t="s">
        <v>114</v>
      </c>
      <c r="C716" s="13" t="n">
        <v>30</v>
      </c>
      <c r="D716" s="13" t="s">
        <v>23</v>
      </c>
      <c r="E716" s="13" t="s">
        <v>24</v>
      </c>
      <c r="F716" s="13" t="n">
        <v>30</v>
      </c>
      <c r="G716" s="13" t="n">
        <v>30</v>
      </c>
      <c r="H716" s="13" t="n">
        <v>30</v>
      </c>
      <c r="I716" s="13" t="n">
        <f aca="false">H716-G716</f>
        <v>0</v>
      </c>
      <c r="J716" s="13" t="n">
        <f aca="false">H716-F716</f>
        <v>0</v>
      </c>
    </row>
    <row r="717" customFormat="false" ht="15" hidden="false" customHeight="false" outlineLevel="0" collapsed="false">
      <c r="A717" s="13" t="s">
        <v>113</v>
      </c>
      <c r="B717" s="13" t="s">
        <v>114</v>
      </c>
      <c r="C717" s="13" t="n">
        <v>30</v>
      </c>
      <c r="D717" s="13" t="s">
        <v>23</v>
      </c>
      <c r="E717" s="13" t="s">
        <v>25</v>
      </c>
      <c r="F717" s="13" t="n">
        <v>29</v>
      </c>
      <c r="G717" s="13" t="n">
        <v>30</v>
      </c>
      <c r="H717" s="13" t="n">
        <v>30</v>
      </c>
      <c r="I717" s="13" t="n">
        <f aca="false">H717-G717</f>
        <v>0</v>
      </c>
      <c r="J717" s="13" t="n">
        <f aca="false">H717-F717</f>
        <v>1</v>
      </c>
    </row>
    <row r="718" customFormat="false" ht="15" hidden="false" customHeight="false" outlineLevel="0" collapsed="false">
      <c r="A718" s="13" t="s">
        <v>113</v>
      </c>
      <c r="B718" s="13" t="s">
        <v>114</v>
      </c>
      <c r="C718" s="13" t="n">
        <v>30</v>
      </c>
      <c r="D718" s="13" t="s">
        <v>23</v>
      </c>
      <c r="E718" s="13" t="s">
        <v>26</v>
      </c>
      <c r="F718" s="13" t="n">
        <v>6</v>
      </c>
      <c r="G718" s="13" t="n">
        <v>4</v>
      </c>
      <c r="H718" s="13" t="n">
        <v>4</v>
      </c>
      <c r="I718" s="13" t="n">
        <f aca="false">H718-G718</f>
        <v>0</v>
      </c>
      <c r="J718" s="13" t="n">
        <f aca="false">H718-F718</f>
        <v>-2</v>
      </c>
    </row>
    <row r="719" customFormat="false" ht="15" hidden="false" customHeight="false" outlineLevel="0" collapsed="false">
      <c r="A719" s="13" t="s">
        <v>113</v>
      </c>
      <c r="B719" s="13" t="s">
        <v>114</v>
      </c>
      <c r="C719" s="13" t="n">
        <v>30</v>
      </c>
      <c r="D719" s="13" t="s">
        <v>23</v>
      </c>
      <c r="E719" s="13" t="s">
        <v>27</v>
      </c>
      <c r="F719" s="13" t="n">
        <v>23</v>
      </c>
      <c r="G719" s="13" t="n">
        <v>6</v>
      </c>
      <c r="H719" s="13" t="n">
        <v>6</v>
      </c>
      <c r="I719" s="13" t="n">
        <f aca="false">H719-G719</f>
        <v>0</v>
      </c>
      <c r="J719" s="13" t="n">
        <f aca="false">H719-F719</f>
        <v>-17</v>
      </c>
    </row>
    <row r="720" customFormat="false" ht="15" hidden="false" customHeight="false" outlineLevel="0" collapsed="false">
      <c r="A720" s="13" t="s">
        <v>113</v>
      </c>
      <c r="B720" s="13" t="s">
        <v>114</v>
      </c>
      <c r="C720" s="13" t="n">
        <v>30</v>
      </c>
      <c r="D720" s="13" t="s">
        <v>23</v>
      </c>
      <c r="E720" s="13" t="s">
        <v>28</v>
      </c>
      <c r="F720" s="13" t="n">
        <v>7</v>
      </c>
      <c r="G720" s="13" t="n">
        <v>3</v>
      </c>
      <c r="H720" s="13" t="n">
        <v>3</v>
      </c>
      <c r="I720" s="13" t="n">
        <f aca="false">H720-G720</f>
        <v>0</v>
      </c>
      <c r="J720" s="13" t="n">
        <f aca="false">H720-F720</f>
        <v>-4</v>
      </c>
    </row>
    <row r="721" customFormat="false" ht="15" hidden="false" customHeight="false" outlineLevel="0" collapsed="false">
      <c r="A721" s="13" t="s">
        <v>113</v>
      </c>
      <c r="B721" s="13" t="s">
        <v>114</v>
      </c>
      <c r="C721" s="13" t="n">
        <v>30</v>
      </c>
      <c r="D721" s="13" t="s">
        <v>23</v>
      </c>
      <c r="E721" s="13" t="s">
        <v>29</v>
      </c>
      <c r="F721" s="13" t="n">
        <v>0</v>
      </c>
      <c r="G721" s="13" t="n">
        <v>0</v>
      </c>
      <c r="H721" s="13" t="n">
        <v>0</v>
      </c>
      <c r="I721" s="13" t="n">
        <f aca="false">H721-G721</f>
        <v>0</v>
      </c>
      <c r="J721" s="13" t="n">
        <f aca="false">H721-F721</f>
        <v>0</v>
      </c>
    </row>
    <row r="722" customFormat="false" ht="15" hidden="false" customHeight="false" outlineLevel="0" collapsed="false">
      <c r="A722" s="13" t="s">
        <v>113</v>
      </c>
      <c r="B722" s="13" t="s">
        <v>114</v>
      </c>
      <c r="C722" s="13" t="n">
        <v>30</v>
      </c>
      <c r="D722" s="13" t="s">
        <v>23</v>
      </c>
      <c r="E722" s="13" t="s">
        <v>30</v>
      </c>
      <c r="F722" s="13" t="n">
        <v>30</v>
      </c>
      <c r="G722" s="13" t="n">
        <v>30</v>
      </c>
      <c r="H722" s="13" t="n">
        <v>30</v>
      </c>
      <c r="I722" s="13" t="n">
        <f aca="false">H722-G722</f>
        <v>0</v>
      </c>
      <c r="J722" s="13" t="n">
        <f aca="false">H722-F722</f>
        <v>0</v>
      </c>
    </row>
    <row r="723" customFormat="false" ht="15" hidden="false" customHeight="false" outlineLevel="0" collapsed="false">
      <c r="A723" s="13" t="s">
        <v>113</v>
      </c>
      <c r="B723" s="13" t="s">
        <v>114</v>
      </c>
      <c r="C723" s="13" t="n">
        <v>30</v>
      </c>
      <c r="D723" s="13" t="s">
        <v>23</v>
      </c>
      <c r="E723" s="13" t="s">
        <v>31</v>
      </c>
      <c r="F723" s="13" t="n">
        <v>0</v>
      </c>
      <c r="G723" s="13" t="n">
        <v>0</v>
      </c>
      <c r="H723" s="13" t="n">
        <v>0</v>
      </c>
      <c r="I723" s="13" t="n">
        <f aca="false">H723-G723</f>
        <v>0</v>
      </c>
      <c r="J723" s="13" t="n">
        <f aca="false">H723-F723</f>
        <v>0</v>
      </c>
    </row>
    <row r="724" customFormat="false" ht="15" hidden="false" customHeight="false" outlineLevel="0" collapsed="false">
      <c r="A724" s="13" t="s">
        <v>113</v>
      </c>
      <c r="B724" s="13" t="s">
        <v>114</v>
      </c>
      <c r="C724" s="13" t="n">
        <v>30</v>
      </c>
      <c r="D724" s="13" t="s">
        <v>23</v>
      </c>
      <c r="E724" s="13" t="s">
        <v>32</v>
      </c>
      <c r="F724" s="13" t="n">
        <v>5</v>
      </c>
      <c r="G724" s="13" t="n">
        <v>5</v>
      </c>
      <c r="H724" s="13" t="n">
        <v>5</v>
      </c>
      <c r="I724" s="13" t="n">
        <f aca="false">H724-G724</f>
        <v>0</v>
      </c>
      <c r="J724" s="13" t="n">
        <f aca="false">H724-F724</f>
        <v>0</v>
      </c>
    </row>
    <row r="725" customFormat="false" ht="15" hidden="false" customHeight="false" outlineLevel="0" collapsed="false">
      <c r="A725" s="13" t="s">
        <v>113</v>
      </c>
      <c r="B725" s="13" t="s">
        <v>114</v>
      </c>
      <c r="C725" s="13" t="n">
        <v>30</v>
      </c>
      <c r="D725" s="13" t="s">
        <v>23</v>
      </c>
      <c r="E725" s="13" t="s">
        <v>33</v>
      </c>
      <c r="F725" s="13" t="n">
        <v>0</v>
      </c>
      <c r="G725" s="13" t="n">
        <v>0</v>
      </c>
      <c r="H725" s="13" t="n">
        <v>0</v>
      </c>
      <c r="I725" s="13" t="n">
        <f aca="false">H725-G725</f>
        <v>0</v>
      </c>
      <c r="J725" s="13" t="n">
        <f aca="false">H725-F725</f>
        <v>0</v>
      </c>
    </row>
    <row r="726" customFormat="false" ht="15" hidden="false" customHeight="false" outlineLevel="0" collapsed="false">
      <c r="A726" s="13" t="s">
        <v>113</v>
      </c>
      <c r="B726" s="13" t="s">
        <v>114</v>
      </c>
      <c r="C726" s="13" t="n">
        <v>30</v>
      </c>
      <c r="D726" s="13" t="s">
        <v>23</v>
      </c>
      <c r="E726" s="13" t="s">
        <v>34</v>
      </c>
      <c r="F726" s="13" t="n">
        <v>1</v>
      </c>
      <c r="G726" s="13" t="n">
        <v>1</v>
      </c>
      <c r="H726" s="13" t="n">
        <v>1</v>
      </c>
      <c r="I726" s="13" t="n">
        <f aca="false">H726-G726</f>
        <v>0</v>
      </c>
      <c r="J726" s="13" t="n">
        <f aca="false">H726-F726</f>
        <v>0</v>
      </c>
    </row>
    <row r="727" customFormat="false" ht="15" hidden="false" customHeight="false" outlineLevel="0" collapsed="false">
      <c r="A727" s="13" t="s">
        <v>113</v>
      </c>
      <c r="B727" s="13" t="s">
        <v>114</v>
      </c>
      <c r="C727" s="13" t="n">
        <v>30</v>
      </c>
      <c r="D727" s="13" t="s">
        <v>23</v>
      </c>
      <c r="E727" s="13" t="s">
        <v>35</v>
      </c>
      <c r="F727" s="13" t="n">
        <v>0</v>
      </c>
      <c r="G727" s="13" t="n">
        <v>0</v>
      </c>
      <c r="H727" s="13" t="n">
        <v>0</v>
      </c>
      <c r="I727" s="13" t="n">
        <f aca="false">H727-G727</f>
        <v>0</v>
      </c>
      <c r="J727" s="13" t="n">
        <f aca="false">H727-F727</f>
        <v>0</v>
      </c>
    </row>
    <row r="728" customFormat="false" ht="15" hidden="false" customHeight="false" outlineLevel="0" collapsed="false">
      <c r="A728" s="13" t="s">
        <v>113</v>
      </c>
      <c r="B728" s="13" t="s">
        <v>114</v>
      </c>
      <c r="C728" s="13" t="n">
        <v>30</v>
      </c>
      <c r="D728" s="13" t="s">
        <v>23</v>
      </c>
      <c r="E728" s="13" t="s">
        <v>36</v>
      </c>
      <c r="F728" s="13" t="n">
        <v>0</v>
      </c>
      <c r="G728" s="13" t="n">
        <v>0</v>
      </c>
      <c r="H728" s="13" t="n">
        <v>0</v>
      </c>
      <c r="I728" s="13" t="n">
        <f aca="false">H728-G728</f>
        <v>0</v>
      </c>
      <c r="J728" s="13" t="n">
        <f aca="false">H728-F728</f>
        <v>0</v>
      </c>
    </row>
    <row r="729" customFormat="false" ht="15" hidden="false" customHeight="false" outlineLevel="0" collapsed="false">
      <c r="A729" s="13" t="s">
        <v>113</v>
      </c>
      <c r="B729" s="13" t="s">
        <v>114</v>
      </c>
      <c r="C729" s="13" t="n">
        <v>30</v>
      </c>
      <c r="D729" s="13" t="s">
        <v>155</v>
      </c>
      <c r="E729" s="13" t="s">
        <v>37</v>
      </c>
      <c r="F729" s="13" t="n">
        <v>1</v>
      </c>
      <c r="G729" s="13" t="n">
        <v>1</v>
      </c>
      <c r="H729" s="13" t="n">
        <v>1</v>
      </c>
      <c r="I729" s="13" t="n">
        <f aca="false">H729-G729</f>
        <v>0</v>
      </c>
      <c r="J729" s="13" t="n">
        <f aca="false">H729-F729</f>
        <v>0</v>
      </c>
    </row>
    <row r="730" customFormat="false" ht="15" hidden="false" customHeight="false" outlineLevel="0" collapsed="false">
      <c r="A730" s="13" t="s">
        <v>113</v>
      </c>
      <c r="B730" s="13" t="s">
        <v>114</v>
      </c>
      <c r="C730" s="13" t="n">
        <v>30</v>
      </c>
      <c r="D730" s="13" t="s">
        <v>155</v>
      </c>
      <c r="E730" s="13" t="s">
        <v>39</v>
      </c>
      <c r="F730" s="13" t="n">
        <v>0</v>
      </c>
      <c r="G730" s="13" t="n">
        <v>0</v>
      </c>
      <c r="H730" s="13" t="n">
        <v>0</v>
      </c>
      <c r="I730" s="13" t="n">
        <f aca="false">H730-G730</f>
        <v>0</v>
      </c>
      <c r="J730" s="13" t="n">
        <f aca="false">H730-F730</f>
        <v>0</v>
      </c>
    </row>
    <row r="731" customFormat="false" ht="15" hidden="false" customHeight="false" outlineLevel="0" collapsed="false">
      <c r="A731" s="13" t="s">
        <v>113</v>
      </c>
      <c r="B731" s="13" t="s">
        <v>114</v>
      </c>
      <c r="C731" s="13" t="n">
        <v>30</v>
      </c>
      <c r="D731" s="13" t="s">
        <v>155</v>
      </c>
      <c r="E731" s="13" t="s">
        <v>40</v>
      </c>
      <c r="F731" s="13" t="n">
        <v>1</v>
      </c>
      <c r="G731" s="13" t="n">
        <v>1</v>
      </c>
      <c r="H731" s="13" t="n">
        <v>1</v>
      </c>
      <c r="I731" s="13" t="n">
        <f aca="false">H731-G731</f>
        <v>0</v>
      </c>
      <c r="J731" s="13" t="n">
        <f aca="false">H731-F731</f>
        <v>0</v>
      </c>
    </row>
    <row r="732" customFormat="false" ht="15" hidden="false" customHeight="false" outlineLevel="0" collapsed="false">
      <c r="A732" s="13" t="s">
        <v>113</v>
      </c>
      <c r="B732" s="13" t="s">
        <v>114</v>
      </c>
      <c r="C732" s="13" t="n">
        <v>30</v>
      </c>
      <c r="D732" s="13" t="s">
        <v>155</v>
      </c>
      <c r="E732" s="13" t="s">
        <v>41</v>
      </c>
      <c r="F732" s="13" t="n">
        <v>0</v>
      </c>
      <c r="G732" s="13" t="n">
        <v>0</v>
      </c>
      <c r="H732" s="13" t="n">
        <v>0</v>
      </c>
      <c r="I732" s="13" t="n">
        <f aca="false">H732-G732</f>
        <v>0</v>
      </c>
      <c r="J732" s="13" t="n">
        <f aca="false">H732-F732</f>
        <v>0</v>
      </c>
    </row>
    <row r="733" customFormat="false" ht="15" hidden="false" customHeight="false" outlineLevel="0" collapsed="false">
      <c r="A733" s="13" t="s">
        <v>113</v>
      </c>
      <c r="B733" s="13" t="s">
        <v>114</v>
      </c>
      <c r="C733" s="13" t="n">
        <v>30</v>
      </c>
      <c r="D733" s="13" t="s">
        <v>155</v>
      </c>
      <c r="E733" s="13" t="s">
        <v>42</v>
      </c>
      <c r="F733" s="13" t="n">
        <v>1</v>
      </c>
      <c r="G733" s="13" t="n">
        <v>1</v>
      </c>
      <c r="H733" s="13" t="n">
        <v>1</v>
      </c>
      <c r="I733" s="13" t="n">
        <f aca="false">H733-G733</f>
        <v>0</v>
      </c>
      <c r="J733" s="13" t="n">
        <f aca="false">H733-F733</f>
        <v>0</v>
      </c>
    </row>
    <row r="734" customFormat="false" ht="15" hidden="false" customHeight="false" outlineLevel="0" collapsed="false">
      <c r="A734" s="13" t="s">
        <v>113</v>
      </c>
      <c r="B734" s="13" t="s">
        <v>114</v>
      </c>
      <c r="C734" s="13" t="n">
        <v>30</v>
      </c>
      <c r="D734" s="13" t="s">
        <v>155</v>
      </c>
      <c r="E734" s="13" t="s">
        <v>43</v>
      </c>
      <c r="F734" s="13" t="n">
        <v>1</v>
      </c>
      <c r="G734" s="13" t="n">
        <v>1</v>
      </c>
      <c r="H734" s="13" t="n">
        <v>1</v>
      </c>
      <c r="I734" s="13" t="n">
        <f aca="false">H734-G734</f>
        <v>0</v>
      </c>
      <c r="J734" s="13" t="n">
        <f aca="false">H734-F734</f>
        <v>0</v>
      </c>
    </row>
    <row r="735" customFormat="false" ht="15" hidden="false" customHeight="false" outlineLevel="0" collapsed="false">
      <c r="A735" s="13" t="s">
        <v>113</v>
      </c>
      <c r="B735" s="13" t="s">
        <v>114</v>
      </c>
      <c r="C735" s="13" t="n">
        <v>30</v>
      </c>
      <c r="D735" s="13" t="s">
        <v>155</v>
      </c>
      <c r="E735" s="13" t="s">
        <v>44</v>
      </c>
      <c r="F735" s="13" t="n">
        <v>1</v>
      </c>
      <c r="G735" s="13" t="n">
        <v>1</v>
      </c>
      <c r="H735" s="13" t="n">
        <v>1</v>
      </c>
      <c r="I735" s="13" t="n">
        <f aca="false">H735-G735</f>
        <v>0</v>
      </c>
      <c r="J735" s="13" t="n">
        <f aca="false">H735-F735</f>
        <v>0</v>
      </c>
    </row>
    <row r="736" customFormat="false" ht="15" hidden="false" customHeight="false" outlineLevel="0" collapsed="false">
      <c r="A736" s="13" t="s">
        <v>113</v>
      </c>
      <c r="B736" s="13" t="s">
        <v>114</v>
      </c>
      <c r="C736" s="13" t="n">
        <v>30</v>
      </c>
      <c r="D736" s="13" t="s">
        <v>155</v>
      </c>
      <c r="E736" s="13" t="s">
        <v>45</v>
      </c>
      <c r="F736" s="13" t="n">
        <v>0</v>
      </c>
      <c r="G736" s="13" t="n">
        <v>0</v>
      </c>
      <c r="H736" s="13" t="n">
        <v>0</v>
      </c>
      <c r="I736" s="13" t="n">
        <f aca="false">H736-G736</f>
        <v>0</v>
      </c>
      <c r="J736" s="13" t="n">
        <f aca="false">H736-F736</f>
        <v>0</v>
      </c>
    </row>
    <row r="737" customFormat="false" ht="15" hidden="false" customHeight="false" outlineLevel="0" collapsed="false">
      <c r="A737" s="13" t="s">
        <v>113</v>
      </c>
      <c r="B737" s="13" t="s">
        <v>114</v>
      </c>
      <c r="C737" s="13" t="n">
        <v>30</v>
      </c>
      <c r="D737" s="13" t="s">
        <v>155</v>
      </c>
      <c r="E737" s="13" t="s">
        <v>46</v>
      </c>
      <c r="F737" s="13" t="n">
        <v>0</v>
      </c>
      <c r="G737" s="13" t="n">
        <v>0</v>
      </c>
      <c r="H737" s="13" t="n">
        <v>0</v>
      </c>
      <c r="I737" s="13" t="n">
        <f aca="false">H737-G737</f>
        <v>0</v>
      </c>
      <c r="J737" s="13" t="n">
        <f aca="false">H737-F737</f>
        <v>0</v>
      </c>
    </row>
    <row r="738" customFormat="false" ht="15" hidden="false" customHeight="false" outlineLevel="0" collapsed="false">
      <c r="A738" s="13" t="s">
        <v>115</v>
      </c>
      <c r="B738" s="13" t="s">
        <v>116</v>
      </c>
      <c r="C738" s="13" t="n">
        <v>28</v>
      </c>
      <c r="D738" s="13" t="s">
        <v>23</v>
      </c>
      <c r="E738" s="13" t="s">
        <v>22</v>
      </c>
      <c r="F738" s="13" t="n">
        <v>6</v>
      </c>
      <c r="G738" s="13" t="n">
        <v>6</v>
      </c>
      <c r="H738" s="13" t="n">
        <v>6</v>
      </c>
      <c r="I738" s="13" t="n">
        <f aca="false">H738-G738</f>
        <v>0</v>
      </c>
      <c r="J738" s="13" t="n">
        <f aca="false">H738-F738</f>
        <v>0</v>
      </c>
    </row>
    <row r="739" customFormat="false" ht="15" hidden="false" customHeight="false" outlineLevel="0" collapsed="false">
      <c r="A739" s="13" t="s">
        <v>115</v>
      </c>
      <c r="B739" s="13" t="s">
        <v>116</v>
      </c>
      <c r="C739" s="13" t="n">
        <v>28</v>
      </c>
      <c r="D739" s="13" t="s">
        <v>23</v>
      </c>
      <c r="E739" s="13" t="s">
        <v>24</v>
      </c>
      <c r="F739" s="13" t="n">
        <v>28</v>
      </c>
      <c r="G739" s="13" t="n">
        <v>28</v>
      </c>
      <c r="H739" s="13" t="n">
        <v>28</v>
      </c>
      <c r="I739" s="13" t="n">
        <f aca="false">H739-G739</f>
        <v>0</v>
      </c>
      <c r="J739" s="13" t="n">
        <f aca="false">H739-F739</f>
        <v>0</v>
      </c>
    </row>
    <row r="740" customFormat="false" ht="15" hidden="false" customHeight="false" outlineLevel="0" collapsed="false">
      <c r="A740" s="13" t="s">
        <v>115</v>
      </c>
      <c r="B740" s="13" t="s">
        <v>116</v>
      </c>
      <c r="C740" s="13" t="n">
        <v>28</v>
      </c>
      <c r="D740" s="13" t="s">
        <v>23</v>
      </c>
      <c r="E740" s="13" t="s">
        <v>25</v>
      </c>
      <c r="F740" s="13" t="n">
        <v>28</v>
      </c>
      <c r="G740" s="13" t="n">
        <v>28</v>
      </c>
      <c r="H740" s="13" t="n">
        <v>28</v>
      </c>
      <c r="I740" s="13" t="n">
        <f aca="false">H740-G740</f>
        <v>0</v>
      </c>
      <c r="J740" s="13" t="n">
        <f aca="false">H740-F740</f>
        <v>0</v>
      </c>
    </row>
    <row r="741" customFormat="false" ht="15" hidden="false" customHeight="false" outlineLevel="0" collapsed="false">
      <c r="A741" s="13" t="s">
        <v>115</v>
      </c>
      <c r="B741" s="13" t="s">
        <v>116</v>
      </c>
      <c r="C741" s="13" t="n">
        <v>28</v>
      </c>
      <c r="D741" s="13" t="s">
        <v>23</v>
      </c>
      <c r="E741" s="13" t="s">
        <v>26</v>
      </c>
      <c r="F741" s="13" t="n">
        <v>0</v>
      </c>
      <c r="G741" s="13" t="n">
        <v>0</v>
      </c>
      <c r="H741" s="13" t="n">
        <v>0</v>
      </c>
      <c r="I741" s="13" t="n">
        <f aca="false">H741-G741</f>
        <v>0</v>
      </c>
      <c r="J741" s="13" t="n">
        <f aca="false">H741-F741</f>
        <v>0</v>
      </c>
    </row>
    <row r="742" customFormat="false" ht="15" hidden="false" customHeight="false" outlineLevel="0" collapsed="false">
      <c r="A742" s="13" t="s">
        <v>115</v>
      </c>
      <c r="B742" s="13" t="s">
        <v>116</v>
      </c>
      <c r="C742" s="13" t="n">
        <v>28</v>
      </c>
      <c r="D742" s="13" t="s">
        <v>23</v>
      </c>
      <c r="E742" s="13" t="s">
        <v>27</v>
      </c>
      <c r="F742" s="13" t="n">
        <v>0</v>
      </c>
      <c r="G742" s="13" t="n">
        <v>0</v>
      </c>
      <c r="H742" s="13" t="n">
        <v>0</v>
      </c>
      <c r="I742" s="13" t="n">
        <f aca="false">H742-G742</f>
        <v>0</v>
      </c>
      <c r="J742" s="13" t="n">
        <f aca="false">H742-F742</f>
        <v>0</v>
      </c>
    </row>
    <row r="743" customFormat="false" ht="15" hidden="false" customHeight="false" outlineLevel="0" collapsed="false">
      <c r="A743" s="13" t="s">
        <v>115</v>
      </c>
      <c r="B743" s="13" t="s">
        <v>116</v>
      </c>
      <c r="C743" s="13" t="n">
        <v>28</v>
      </c>
      <c r="D743" s="13" t="s">
        <v>23</v>
      </c>
      <c r="E743" s="13" t="s">
        <v>28</v>
      </c>
      <c r="F743" s="13" t="n">
        <v>0</v>
      </c>
      <c r="G743" s="13" t="n">
        <v>0</v>
      </c>
      <c r="H743" s="13" t="n">
        <v>0</v>
      </c>
      <c r="I743" s="13" t="n">
        <f aca="false">H743-G743</f>
        <v>0</v>
      </c>
      <c r="J743" s="13" t="n">
        <f aca="false">H743-F743</f>
        <v>0</v>
      </c>
    </row>
    <row r="744" customFormat="false" ht="15" hidden="false" customHeight="false" outlineLevel="0" collapsed="false">
      <c r="A744" s="13" t="s">
        <v>115</v>
      </c>
      <c r="B744" s="13" t="s">
        <v>116</v>
      </c>
      <c r="C744" s="13" t="n">
        <v>28</v>
      </c>
      <c r="D744" s="13" t="s">
        <v>23</v>
      </c>
      <c r="E744" s="13" t="s">
        <v>29</v>
      </c>
      <c r="F744" s="13" t="n">
        <v>0</v>
      </c>
      <c r="G744" s="13" t="n">
        <v>0</v>
      </c>
      <c r="H744" s="13" t="n">
        <v>0</v>
      </c>
      <c r="I744" s="13" t="n">
        <f aca="false">H744-G744</f>
        <v>0</v>
      </c>
      <c r="J744" s="13" t="n">
        <f aca="false">H744-F744</f>
        <v>0</v>
      </c>
    </row>
    <row r="745" customFormat="false" ht="15" hidden="false" customHeight="false" outlineLevel="0" collapsed="false">
      <c r="A745" s="13" t="s">
        <v>115</v>
      </c>
      <c r="B745" s="13" t="s">
        <v>116</v>
      </c>
      <c r="C745" s="13" t="n">
        <v>28</v>
      </c>
      <c r="D745" s="13" t="s">
        <v>23</v>
      </c>
      <c r="E745" s="13" t="s">
        <v>30</v>
      </c>
      <c r="F745" s="13" t="n">
        <v>28</v>
      </c>
      <c r="G745" s="13" t="n">
        <v>28</v>
      </c>
      <c r="H745" s="13" t="n">
        <v>28</v>
      </c>
      <c r="I745" s="13" t="n">
        <f aca="false">H745-G745</f>
        <v>0</v>
      </c>
      <c r="J745" s="13" t="n">
        <f aca="false">H745-F745</f>
        <v>0</v>
      </c>
    </row>
    <row r="746" customFormat="false" ht="15" hidden="false" customHeight="false" outlineLevel="0" collapsed="false">
      <c r="A746" s="13" t="s">
        <v>115</v>
      </c>
      <c r="B746" s="13" t="s">
        <v>116</v>
      </c>
      <c r="C746" s="13" t="n">
        <v>28</v>
      </c>
      <c r="D746" s="13" t="s">
        <v>23</v>
      </c>
      <c r="E746" s="13" t="s">
        <v>31</v>
      </c>
      <c r="F746" s="13" t="n">
        <v>0</v>
      </c>
      <c r="G746" s="13" t="n">
        <v>0</v>
      </c>
      <c r="H746" s="13" t="n">
        <v>0</v>
      </c>
      <c r="I746" s="13" t="n">
        <f aca="false">H746-G746</f>
        <v>0</v>
      </c>
      <c r="J746" s="13" t="n">
        <f aca="false">H746-F746</f>
        <v>0</v>
      </c>
    </row>
    <row r="747" customFormat="false" ht="15" hidden="false" customHeight="false" outlineLevel="0" collapsed="false">
      <c r="A747" s="13" t="s">
        <v>115</v>
      </c>
      <c r="B747" s="13" t="s">
        <v>116</v>
      </c>
      <c r="C747" s="13" t="n">
        <v>28</v>
      </c>
      <c r="D747" s="13" t="s">
        <v>23</v>
      </c>
      <c r="E747" s="13" t="s">
        <v>32</v>
      </c>
      <c r="F747" s="13" t="n">
        <v>0</v>
      </c>
      <c r="G747" s="13" t="n">
        <v>0</v>
      </c>
      <c r="H747" s="13" t="n">
        <v>0</v>
      </c>
      <c r="I747" s="13" t="n">
        <f aca="false">H747-G747</f>
        <v>0</v>
      </c>
      <c r="J747" s="13" t="n">
        <f aca="false">H747-F747</f>
        <v>0</v>
      </c>
    </row>
    <row r="748" customFormat="false" ht="15" hidden="false" customHeight="false" outlineLevel="0" collapsed="false">
      <c r="A748" s="13" t="s">
        <v>115</v>
      </c>
      <c r="B748" s="13" t="s">
        <v>116</v>
      </c>
      <c r="C748" s="13" t="n">
        <v>28</v>
      </c>
      <c r="D748" s="13" t="s">
        <v>23</v>
      </c>
      <c r="E748" s="13" t="s">
        <v>33</v>
      </c>
      <c r="F748" s="13" t="n">
        <v>0</v>
      </c>
      <c r="G748" s="13" t="n">
        <v>0</v>
      </c>
      <c r="H748" s="13" t="n">
        <v>0</v>
      </c>
      <c r="I748" s="13" t="n">
        <f aca="false">H748-G748</f>
        <v>0</v>
      </c>
      <c r="J748" s="13" t="n">
        <f aca="false">H748-F748</f>
        <v>0</v>
      </c>
    </row>
    <row r="749" customFormat="false" ht="15" hidden="false" customHeight="false" outlineLevel="0" collapsed="false">
      <c r="A749" s="13" t="s">
        <v>115</v>
      </c>
      <c r="B749" s="13" t="s">
        <v>116</v>
      </c>
      <c r="C749" s="13" t="n">
        <v>28</v>
      </c>
      <c r="D749" s="13" t="s">
        <v>23</v>
      </c>
      <c r="E749" s="13" t="s">
        <v>34</v>
      </c>
      <c r="F749" s="13" t="n">
        <v>0</v>
      </c>
      <c r="G749" s="13" t="n">
        <v>28</v>
      </c>
      <c r="H749" s="13" t="n">
        <v>28</v>
      </c>
      <c r="I749" s="13" t="n">
        <f aca="false">H749-G749</f>
        <v>0</v>
      </c>
      <c r="J749" s="13" t="n">
        <f aca="false">H749-F749</f>
        <v>28</v>
      </c>
    </row>
    <row r="750" customFormat="false" ht="15" hidden="false" customHeight="false" outlineLevel="0" collapsed="false">
      <c r="A750" s="13" t="s">
        <v>115</v>
      </c>
      <c r="B750" s="13" t="s">
        <v>116</v>
      </c>
      <c r="C750" s="13" t="n">
        <v>28</v>
      </c>
      <c r="D750" s="13" t="s">
        <v>23</v>
      </c>
      <c r="E750" s="13" t="s">
        <v>35</v>
      </c>
      <c r="F750" s="13" t="n">
        <v>0</v>
      </c>
      <c r="G750" s="13" t="n">
        <v>0</v>
      </c>
      <c r="H750" s="13" t="n">
        <v>0</v>
      </c>
      <c r="I750" s="13" t="n">
        <f aca="false">H750-G750</f>
        <v>0</v>
      </c>
      <c r="J750" s="13" t="n">
        <f aca="false">H750-F750</f>
        <v>0</v>
      </c>
    </row>
    <row r="751" customFormat="false" ht="15" hidden="false" customHeight="false" outlineLevel="0" collapsed="false">
      <c r="A751" s="13" t="s">
        <v>115</v>
      </c>
      <c r="B751" s="13" t="s">
        <v>116</v>
      </c>
      <c r="C751" s="13" t="n">
        <v>28</v>
      </c>
      <c r="D751" s="13" t="s">
        <v>23</v>
      </c>
      <c r="E751" s="13" t="s">
        <v>36</v>
      </c>
      <c r="F751" s="13" t="n">
        <v>0</v>
      </c>
      <c r="G751" s="13" t="n">
        <v>0</v>
      </c>
      <c r="H751" s="13" t="n">
        <v>0</v>
      </c>
      <c r="I751" s="13" t="n">
        <f aca="false">H751-G751</f>
        <v>0</v>
      </c>
      <c r="J751" s="13" t="n">
        <f aca="false">H751-F751</f>
        <v>0</v>
      </c>
    </row>
    <row r="752" customFormat="false" ht="15" hidden="false" customHeight="false" outlineLevel="0" collapsed="false">
      <c r="A752" s="13" t="s">
        <v>115</v>
      </c>
      <c r="B752" s="13" t="s">
        <v>116</v>
      </c>
      <c r="C752" s="13" t="n">
        <v>28</v>
      </c>
      <c r="D752" s="13" t="s">
        <v>155</v>
      </c>
      <c r="E752" s="13" t="s">
        <v>37</v>
      </c>
      <c r="F752" s="13" t="n">
        <v>1</v>
      </c>
      <c r="G752" s="13" t="n">
        <v>1</v>
      </c>
      <c r="H752" s="13" t="n">
        <v>1</v>
      </c>
      <c r="I752" s="13" t="n">
        <f aca="false">H752-G752</f>
        <v>0</v>
      </c>
      <c r="J752" s="13" t="n">
        <f aca="false">H752-F752</f>
        <v>0</v>
      </c>
    </row>
    <row r="753" customFormat="false" ht="15" hidden="false" customHeight="false" outlineLevel="0" collapsed="false">
      <c r="A753" s="13" t="s">
        <v>115</v>
      </c>
      <c r="B753" s="13" t="s">
        <v>116</v>
      </c>
      <c r="C753" s="13" t="n">
        <v>28</v>
      </c>
      <c r="D753" s="13" t="s">
        <v>155</v>
      </c>
      <c r="E753" s="13" t="s">
        <v>39</v>
      </c>
      <c r="F753" s="13" t="n">
        <v>0</v>
      </c>
      <c r="G753" s="13" t="n">
        <v>0</v>
      </c>
      <c r="H753" s="13" t="n">
        <v>0</v>
      </c>
      <c r="I753" s="13" t="n">
        <f aca="false">H753-G753</f>
        <v>0</v>
      </c>
      <c r="J753" s="13" t="n">
        <f aca="false">H753-F753</f>
        <v>0</v>
      </c>
    </row>
    <row r="754" customFormat="false" ht="15" hidden="false" customHeight="false" outlineLevel="0" collapsed="false">
      <c r="A754" s="13" t="s">
        <v>115</v>
      </c>
      <c r="B754" s="13" t="s">
        <v>116</v>
      </c>
      <c r="C754" s="13" t="n">
        <v>28</v>
      </c>
      <c r="D754" s="13" t="s">
        <v>155</v>
      </c>
      <c r="E754" s="13" t="s">
        <v>40</v>
      </c>
      <c r="F754" s="13" t="n">
        <v>0</v>
      </c>
      <c r="G754" s="13" t="n">
        <v>0</v>
      </c>
      <c r="H754" s="13" t="n">
        <v>0</v>
      </c>
      <c r="I754" s="13" t="n">
        <f aca="false">H754-G754</f>
        <v>0</v>
      </c>
      <c r="J754" s="13" t="n">
        <f aca="false">H754-F754</f>
        <v>0</v>
      </c>
    </row>
    <row r="755" customFormat="false" ht="15" hidden="false" customHeight="false" outlineLevel="0" collapsed="false">
      <c r="A755" s="13" t="s">
        <v>115</v>
      </c>
      <c r="B755" s="13" t="s">
        <v>116</v>
      </c>
      <c r="C755" s="13" t="n">
        <v>28</v>
      </c>
      <c r="D755" s="13" t="s">
        <v>155</v>
      </c>
      <c r="E755" s="13" t="s">
        <v>41</v>
      </c>
      <c r="F755" s="13" t="n">
        <v>0</v>
      </c>
      <c r="G755" s="13" t="n">
        <v>0</v>
      </c>
      <c r="H755" s="13" t="n">
        <v>0</v>
      </c>
      <c r="I755" s="13" t="n">
        <f aca="false">H755-G755</f>
        <v>0</v>
      </c>
      <c r="J755" s="13" t="n">
        <f aca="false">H755-F755</f>
        <v>0</v>
      </c>
    </row>
    <row r="756" customFormat="false" ht="15" hidden="false" customHeight="false" outlineLevel="0" collapsed="false">
      <c r="A756" s="13" t="s">
        <v>115</v>
      </c>
      <c r="B756" s="13" t="s">
        <v>116</v>
      </c>
      <c r="C756" s="13" t="n">
        <v>28</v>
      </c>
      <c r="D756" s="13" t="s">
        <v>155</v>
      </c>
      <c r="E756" s="13" t="s">
        <v>42</v>
      </c>
      <c r="F756" s="13" t="n">
        <v>1</v>
      </c>
      <c r="G756" s="13" t="n">
        <v>1</v>
      </c>
      <c r="H756" s="13" t="n">
        <v>1</v>
      </c>
      <c r="I756" s="13" t="n">
        <f aca="false">H756-G756</f>
        <v>0</v>
      </c>
      <c r="J756" s="13" t="n">
        <f aca="false">H756-F756</f>
        <v>0</v>
      </c>
    </row>
    <row r="757" customFormat="false" ht="15" hidden="false" customHeight="false" outlineLevel="0" collapsed="false">
      <c r="A757" s="13" t="s">
        <v>115</v>
      </c>
      <c r="B757" s="13" t="s">
        <v>116</v>
      </c>
      <c r="C757" s="13" t="n">
        <v>28</v>
      </c>
      <c r="D757" s="13" t="s">
        <v>155</v>
      </c>
      <c r="E757" s="13" t="s">
        <v>43</v>
      </c>
      <c r="F757" s="13" t="n">
        <v>1</v>
      </c>
      <c r="G757" s="13" t="n">
        <v>1</v>
      </c>
      <c r="H757" s="13" t="n">
        <v>1</v>
      </c>
      <c r="I757" s="13" t="n">
        <f aca="false">H757-G757</f>
        <v>0</v>
      </c>
      <c r="J757" s="13" t="n">
        <f aca="false">H757-F757</f>
        <v>0</v>
      </c>
    </row>
    <row r="758" customFormat="false" ht="15" hidden="false" customHeight="false" outlineLevel="0" collapsed="false">
      <c r="A758" s="13" t="s">
        <v>115</v>
      </c>
      <c r="B758" s="13" t="s">
        <v>116</v>
      </c>
      <c r="C758" s="13" t="n">
        <v>28</v>
      </c>
      <c r="D758" s="13" t="s">
        <v>155</v>
      </c>
      <c r="E758" s="13" t="s">
        <v>44</v>
      </c>
      <c r="F758" s="13" t="n">
        <v>1</v>
      </c>
      <c r="G758" s="13" t="n">
        <v>1</v>
      </c>
      <c r="H758" s="13" t="n">
        <v>1</v>
      </c>
      <c r="I758" s="13" t="n">
        <f aca="false">H758-G758</f>
        <v>0</v>
      </c>
      <c r="J758" s="13" t="n">
        <f aca="false">H758-F758</f>
        <v>0</v>
      </c>
    </row>
    <row r="759" customFormat="false" ht="15" hidden="false" customHeight="false" outlineLevel="0" collapsed="false">
      <c r="A759" s="13" t="s">
        <v>115</v>
      </c>
      <c r="B759" s="13" t="s">
        <v>116</v>
      </c>
      <c r="C759" s="13" t="n">
        <v>28</v>
      </c>
      <c r="D759" s="13" t="s">
        <v>155</v>
      </c>
      <c r="E759" s="13" t="s">
        <v>45</v>
      </c>
      <c r="F759" s="13" t="n">
        <v>0</v>
      </c>
      <c r="G759" s="13" t="n">
        <v>0</v>
      </c>
      <c r="H759" s="13" t="n">
        <v>0</v>
      </c>
      <c r="I759" s="13" t="n">
        <f aca="false">H759-G759</f>
        <v>0</v>
      </c>
      <c r="J759" s="13" t="n">
        <f aca="false">H759-F759</f>
        <v>0</v>
      </c>
    </row>
    <row r="760" customFormat="false" ht="15" hidden="false" customHeight="false" outlineLevel="0" collapsed="false">
      <c r="A760" s="13" t="s">
        <v>115</v>
      </c>
      <c r="B760" s="13" t="s">
        <v>116</v>
      </c>
      <c r="C760" s="13" t="n">
        <v>28</v>
      </c>
      <c r="D760" s="13" t="s">
        <v>155</v>
      </c>
      <c r="E760" s="13" t="s">
        <v>46</v>
      </c>
      <c r="F760" s="13" t="n">
        <v>0</v>
      </c>
      <c r="G760" s="13" t="n">
        <v>0</v>
      </c>
      <c r="H760" s="13" t="n">
        <v>0</v>
      </c>
      <c r="I760" s="13" t="n">
        <f aca="false">H760-G760</f>
        <v>0</v>
      </c>
      <c r="J760" s="13" t="n">
        <f aca="false">H760-F760</f>
        <v>0</v>
      </c>
    </row>
    <row r="761" customFormat="false" ht="15" hidden="false" customHeight="false" outlineLevel="0" collapsed="false">
      <c r="A761" s="13" t="s">
        <v>117</v>
      </c>
      <c r="B761" s="13" t="s">
        <v>118</v>
      </c>
      <c r="C761" s="13" t="n">
        <v>27</v>
      </c>
      <c r="D761" s="13" t="s">
        <v>23</v>
      </c>
      <c r="E761" s="13" t="s">
        <v>22</v>
      </c>
      <c r="F761" s="13" t="n">
        <v>0</v>
      </c>
      <c r="G761" s="13" t="n">
        <v>0</v>
      </c>
      <c r="H761" s="13" t="n">
        <v>0</v>
      </c>
      <c r="I761" s="13" t="n">
        <f aca="false">H761-G761</f>
        <v>0</v>
      </c>
      <c r="J761" s="13" t="n">
        <f aca="false">H761-F761</f>
        <v>0</v>
      </c>
    </row>
    <row r="762" customFormat="false" ht="15" hidden="false" customHeight="false" outlineLevel="0" collapsed="false">
      <c r="A762" s="13" t="s">
        <v>117</v>
      </c>
      <c r="B762" s="13" t="s">
        <v>118</v>
      </c>
      <c r="C762" s="13" t="n">
        <v>27</v>
      </c>
      <c r="D762" s="13" t="s">
        <v>23</v>
      </c>
      <c r="E762" s="13" t="s">
        <v>24</v>
      </c>
      <c r="F762" s="13" t="n">
        <v>27</v>
      </c>
      <c r="G762" s="13" t="n">
        <v>27</v>
      </c>
      <c r="H762" s="13" t="n">
        <v>27</v>
      </c>
      <c r="I762" s="13" t="n">
        <f aca="false">H762-G762</f>
        <v>0</v>
      </c>
      <c r="J762" s="13" t="n">
        <f aca="false">H762-F762</f>
        <v>0</v>
      </c>
    </row>
    <row r="763" customFormat="false" ht="15" hidden="false" customHeight="false" outlineLevel="0" collapsed="false">
      <c r="A763" s="13" t="s">
        <v>117</v>
      </c>
      <c r="B763" s="13" t="s">
        <v>118</v>
      </c>
      <c r="C763" s="13" t="n">
        <v>27</v>
      </c>
      <c r="D763" s="13" t="s">
        <v>23</v>
      </c>
      <c r="E763" s="13" t="s">
        <v>25</v>
      </c>
      <c r="F763" s="13" t="n">
        <v>27</v>
      </c>
      <c r="G763" s="13" t="n">
        <v>27</v>
      </c>
      <c r="H763" s="13" t="n">
        <v>27</v>
      </c>
      <c r="I763" s="13" t="n">
        <f aca="false">H763-G763</f>
        <v>0</v>
      </c>
      <c r="J763" s="13" t="n">
        <f aca="false">H763-F763</f>
        <v>0</v>
      </c>
    </row>
    <row r="764" customFormat="false" ht="15" hidden="false" customHeight="false" outlineLevel="0" collapsed="false">
      <c r="A764" s="13" t="s">
        <v>117</v>
      </c>
      <c r="B764" s="13" t="s">
        <v>118</v>
      </c>
      <c r="C764" s="13" t="n">
        <v>27</v>
      </c>
      <c r="D764" s="13" t="s">
        <v>23</v>
      </c>
      <c r="E764" s="13" t="s">
        <v>26</v>
      </c>
      <c r="F764" s="13" t="n">
        <v>0</v>
      </c>
      <c r="G764" s="13" t="n">
        <v>0</v>
      </c>
      <c r="H764" s="13" t="n">
        <v>0</v>
      </c>
      <c r="I764" s="13" t="n">
        <f aca="false">H764-G764</f>
        <v>0</v>
      </c>
      <c r="J764" s="13" t="n">
        <f aca="false">H764-F764</f>
        <v>0</v>
      </c>
    </row>
    <row r="765" customFormat="false" ht="15" hidden="false" customHeight="false" outlineLevel="0" collapsed="false">
      <c r="A765" s="13" t="s">
        <v>117</v>
      </c>
      <c r="B765" s="13" t="s">
        <v>118</v>
      </c>
      <c r="C765" s="13" t="n">
        <v>27</v>
      </c>
      <c r="D765" s="13" t="s">
        <v>23</v>
      </c>
      <c r="E765" s="13" t="s">
        <v>27</v>
      </c>
      <c r="F765" s="13" t="n">
        <v>4</v>
      </c>
      <c r="G765" s="13" t="n">
        <v>0</v>
      </c>
      <c r="H765" s="13" t="n">
        <v>0</v>
      </c>
      <c r="I765" s="13" t="n">
        <f aca="false">H765-G765</f>
        <v>0</v>
      </c>
      <c r="J765" s="13" t="n">
        <f aca="false">H765-F765</f>
        <v>-4</v>
      </c>
    </row>
    <row r="766" customFormat="false" ht="15" hidden="false" customHeight="false" outlineLevel="0" collapsed="false">
      <c r="A766" s="13" t="s">
        <v>117</v>
      </c>
      <c r="B766" s="13" t="s">
        <v>118</v>
      </c>
      <c r="C766" s="13" t="n">
        <v>27</v>
      </c>
      <c r="D766" s="13" t="s">
        <v>23</v>
      </c>
      <c r="E766" s="13" t="s">
        <v>28</v>
      </c>
      <c r="F766" s="13" t="n">
        <v>2</v>
      </c>
      <c r="G766" s="13" t="n">
        <v>27</v>
      </c>
      <c r="H766" s="13" t="n">
        <v>27</v>
      </c>
      <c r="I766" s="13" t="n">
        <f aca="false">H766-G766</f>
        <v>0</v>
      </c>
      <c r="J766" s="13" t="n">
        <f aca="false">H766-F766</f>
        <v>25</v>
      </c>
    </row>
    <row r="767" customFormat="false" ht="15" hidden="false" customHeight="false" outlineLevel="0" collapsed="false">
      <c r="A767" s="13" t="s">
        <v>117</v>
      </c>
      <c r="B767" s="13" t="s">
        <v>118</v>
      </c>
      <c r="C767" s="13" t="n">
        <v>27</v>
      </c>
      <c r="D767" s="13" t="s">
        <v>23</v>
      </c>
      <c r="E767" s="13" t="s">
        <v>29</v>
      </c>
      <c r="F767" s="13" t="n">
        <v>0</v>
      </c>
      <c r="G767" s="13" t="n">
        <v>0</v>
      </c>
      <c r="H767" s="13" t="n">
        <v>0</v>
      </c>
      <c r="I767" s="13" t="n">
        <f aca="false">H767-G767</f>
        <v>0</v>
      </c>
      <c r="J767" s="13" t="n">
        <f aca="false">H767-F767</f>
        <v>0</v>
      </c>
    </row>
    <row r="768" customFormat="false" ht="15" hidden="false" customHeight="false" outlineLevel="0" collapsed="false">
      <c r="A768" s="13" t="s">
        <v>117</v>
      </c>
      <c r="B768" s="13" t="s">
        <v>118</v>
      </c>
      <c r="C768" s="13" t="n">
        <v>27</v>
      </c>
      <c r="D768" s="13" t="s">
        <v>23</v>
      </c>
      <c r="E768" s="13" t="s">
        <v>30</v>
      </c>
      <c r="F768" s="13" t="n">
        <v>27</v>
      </c>
      <c r="G768" s="13" t="n">
        <v>27</v>
      </c>
      <c r="H768" s="13" t="n">
        <v>27</v>
      </c>
      <c r="I768" s="13" t="n">
        <f aca="false">H768-G768</f>
        <v>0</v>
      </c>
      <c r="J768" s="13" t="n">
        <f aca="false">H768-F768</f>
        <v>0</v>
      </c>
    </row>
    <row r="769" customFormat="false" ht="15" hidden="false" customHeight="false" outlineLevel="0" collapsed="false">
      <c r="A769" s="13" t="s">
        <v>117</v>
      </c>
      <c r="B769" s="13" t="s">
        <v>118</v>
      </c>
      <c r="C769" s="13" t="n">
        <v>27</v>
      </c>
      <c r="D769" s="13" t="s">
        <v>23</v>
      </c>
      <c r="E769" s="13" t="s">
        <v>31</v>
      </c>
      <c r="F769" s="13" t="n">
        <v>0</v>
      </c>
      <c r="G769" s="13" t="n">
        <v>0</v>
      </c>
      <c r="H769" s="13" t="n">
        <v>0</v>
      </c>
      <c r="I769" s="13" t="n">
        <f aca="false">H769-G769</f>
        <v>0</v>
      </c>
      <c r="J769" s="13" t="n">
        <f aca="false">H769-F769</f>
        <v>0</v>
      </c>
    </row>
    <row r="770" customFormat="false" ht="15" hidden="false" customHeight="false" outlineLevel="0" collapsed="false">
      <c r="A770" s="13" t="s">
        <v>117</v>
      </c>
      <c r="B770" s="13" t="s">
        <v>118</v>
      </c>
      <c r="C770" s="13" t="n">
        <v>27</v>
      </c>
      <c r="D770" s="13" t="s">
        <v>23</v>
      </c>
      <c r="E770" s="13" t="s">
        <v>32</v>
      </c>
      <c r="F770" s="13" t="n">
        <v>0</v>
      </c>
      <c r="G770" s="13" t="n">
        <v>0</v>
      </c>
      <c r="H770" s="13" t="n">
        <v>0</v>
      </c>
      <c r="I770" s="13" t="n">
        <f aca="false">H770-G770</f>
        <v>0</v>
      </c>
      <c r="J770" s="13" t="n">
        <f aca="false">H770-F770</f>
        <v>0</v>
      </c>
    </row>
    <row r="771" customFormat="false" ht="15" hidden="false" customHeight="false" outlineLevel="0" collapsed="false">
      <c r="A771" s="13" t="s">
        <v>117</v>
      </c>
      <c r="B771" s="13" t="s">
        <v>118</v>
      </c>
      <c r="C771" s="13" t="n">
        <v>27</v>
      </c>
      <c r="D771" s="13" t="s">
        <v>23</v>
      </c>
      <c r="E771" s="13" t="s">
        <v>33</v>
      </c>
      <c r="F771" s="13" t="n">
        <v>0</v>
      </c>
      <c r="G771" s="13" t="n">
        <v>0</v>
      </c>
      <c r="H771" s="13" t="n">
        <v>0</v>
      </c>
      <c r="I771" s="13" t="n">
        <f aca="false">H771-G771</f>
        <v>0</v>
      </c>
      <c r="J771" s="13" t="n">
        <f aca="false">H771-F771</f>
        <v>0</v>
      </c>
    </row>
    <row r="772" customFormat="false" ht="15" hidden="false" customHeight="false" outlineLevel="0" collapsed="false">
      <c r="A772" s="13" t="s">
        <v>117</v>
      </c>
      <c r="B772" s="13" t="s">
        <v>118</v>
      </c>
      <c r="C772" s="13" t="n">
        <v>27</v>
      </c>
      <c r="D772" s="13" t="s">
        <v>23</v>
      </c>
      <c r="E772" s="13" t="s">
        <v>34</v>
      </c>
      <c r="F772" s="13" t="n">
        <v>0</v>
      </c>
      <c r="G772" s="13" t="n">
        <v>27</v>
      </c>
      <c r="H772" s="13" t="n">
        <v>27</v>
      </c>
      <c r="I772" s="13" t="n">
        <f aca="false">H772-G772</f>
        <v>0</v>
      </c>
      <c r="J772" s="13" t="n">
        <f aca="false">H772-F772</f>
        <v>27</v>
      </c>
    </row>
    <row r="773" customFormat="false" ht="15" hidden="false" customHeight="false" outlineLevel="0" collapsed="false">
      <c r="A773" s="13" t="s">
        <v>117</v>
      </c>
      <c r="B773" s="13" t="s">
        <v>118</v>
      </c>
      <c r="C773" s="13" t="n">
        <v>27</v>
      </c>
      <c r="D773" s="13" t="s">
        <v>23</v>
      </c>
      <c r="E773" s="13" t="s">
        <v>35</v>
      </c>
      <c r="F773" s="13" t="n">
        <v>0</v>
      </c>
      <c r="G773" s="13" t="n">
        <v>0</v>
      </c>
      <c r="H773" s="13" t="n">
        <v>0</v>
      </c>
      <c r="I773" s="13" t="n">
        <f aca="false">H773-G773</f>
        <v>0</v>
      </c>
      <c r="J773" s="13" t="n">
        <f aca="false">H773-F773</f>
        <v>0</v>
      </c>
    </row>
    <row r="774" customFormat="false" ht="15" hidden="false" customHeight="false" outlineLevel="0" collapsed="false">
      <c r="A774" s="13" t="s">
        <v>117</v>
      </c>
      <c r="B774" s="13" t="s">
        <v>118</v>
      </c>
      <c r="C774" s="13" t="n">
        <v>27</v>
      </c>
      <c r="D774" s="13" t="s">
        <v>23</v>
      </c>
      <c r="E774" s="13" t="s">
        <v>36</v>
      </c>
      <c r="F774" s="13" t="n">
        <v>0</v>
      </c>
      <c r="G774" s="13" t="n">
        <v>0</v>
      </c>
      <c r="H774" s="13" t="n">
        <v>0</v>
      </c>
      <c r="I774" s="13" t="n">
        <f aca="false">H774-G774</f>
        <v>0</v>
      </c>
      <c r="J774" s="13" t="n">
        <f aca="false">H774-F774</f>
        <v>0</v>
      </c>
    </row>
    <row r="775" customFormat="false" ht="15" hidden="false" customHeight="false" outlineLevel="0" collapsed="false">
      <c r="A775" s="13" t="s">
        <v>117</v>
      </c>
      <c r="B775" s="13" t="s">
        <v>118</v>
      </c>
      <c r="C775" s="13" t="n">
        <v>27</v>
      </c>
      <c r="D775" s="13" t="s">
        <v>155</v>
      </c>
      <c r="E775" s="13" t="s">
        <v>37</v>
      </c>
      <c r="F775" s="13" t="n">
        <v>1</v>
      </c>
      <c r="G775" s="13" t="n">
        <v>1</v>
      </c>
      <c r="H775" s="13" t="n">
        <v>1</v>
      </c>
      <c r="I775" s="13" t="n">
        <f aca="false">H775-G775</f>
        <v>0</v>
      </c>
      <c r="J775" s="13" t="n">
        <f aca="false">H775-F775</f>
        <v>0</v>
      </c>
    </row>
    <row r="776" customFormat="false" ht="15" hidden="false" customHeight="false" outlineLevel="0" collapsed="false">
      <c r="A776" s="13" t="s">
        <v>117</v>
      </c>
      <c r="B776" s="13" t="s">
        <v>118</v>
      </c>
      <c r="C776" s="13" t="n">
        <v>27</v>
      </c>
      <c r="D776" s="13" t="s">
        <v>155</v>
      </c>
      <c r="E776" s="13" t="s">
        <v>39</v>
      </c>
      <c r="F776" s="13" t="n">
        <v>1</v>
      </c>
      <c r="G776" s="13" t="n">
        <v>1</v>
      </c>
      <c r="H776" s="13" t="n">
        <v>1</v>
      </c>
      <c r="I776" s="13" t="n">
        <f aca="false">H776-G776</f>
        <v>0</v>
      </c>
      <c r="J776" s="13" t="n">
        <f aca="false">H776-F776</f>
        <v>0</v>
      </c>
    </row>
    <row r="777" customFormat="false" ht="15" hidden="false" customHeight="false" outlineLevel="0" collapsed="false">
      <c r="A777" s="13" t="s">
        <v>117</v>
      </c>
      <c r="B777" s="13" t="s">
        <v>118</v>
      </c>
      <c r="C777" s="13" t="n">
        <v>27</v>
      </c>
      <c r="D777" s="13" t="s">
        <v>155</v>
      </c>
      <c r="E777" s="13" t="s">
        <v>40</v>
      </c>
      <c r="F777" s="13" t="n">
        <v>1</v>
      </c>
      <c r="G777" s="13" t="n">
        <v>1</v>
      </c>
      <c r="H777" s="13" t="n">
        <v>1</v>
      </c>
      <c r="I777" s="13" t="n">
        <f aca="false">H777-G777</f>
        <v>0</v>
      </c>
      <c r="J777" s="13" t="n">
        <f aca="false">H777-F777</f>
        <v>0</v>
      </c>
    </row>
    <row r="778" customFormat="false" ht="15" hidden="false" customHeight="false" outlineLevel="0" collapsed="false">
      <c r="A778" s="13" t="s">
        <v>117</v>
      </c>
      <c r="B778" s="13" t="s">
        <v>118</v>
      </c>
      <c r="C778" s="13" t="n">
        <v>27</v>
      </c>
      <c r="D778" s="13" t="s">
        <v>155</v>
      </c>
      <c r="E778" s="13" t="s">
        <v>41</v>
      </c>
      <c r="F778" s="13" t="n">
        <v>0</v>
      </c>
      <c r="G778" s="13" t="n">
        <v>0</v>
      </c>
      <c r="H778" s="13" t="n">
        <v>0</v>
      </c>
      <c r="I778" s="13" t="n">
        <f aca="false">H778-G778</f>
        <v>0</v>
      </c>
      <c r="J778" s="13" t="n">
        <f aca="false">H778-F778</f>
        <v>0</v>
      </c>
    </row>
    <row r="779" customFormat="false" ht="15" hidden="false" customHeight="false" outlineLevel="0" collapsed="false">
      <c r="A779" s="13" t="s">
        <v>117</v>
      </c>
      <c r="B779" s="13" t="s">
        <v>118</v>
      </c>
      <c r="C779" s="13" t="n">
        <v>27</v>
      </c>
      <c r="D779" s="13" t="s">
        <v>155</v>
      </c>
      <c r="E779" s="13" t="s">
        <v>42</v>
      </c>
      <c r="F779" s="13" t="n">
        <v>1</v>
      </c>
      <c r="G779" s="13" t="n">
        <v>1</v>
      </c>
      <c r="H779" s="13" t="n">
        <v>1</v>
      </c>
      <c r="I779" s="13" t="n">
        <f aca="false">H779-G779</f>
        <v>0</v>
      </c>
      <c r="J779" s="13" t="n">
        <f aca="false">H779-F779</f>
        <v>0</v>
      </c>
    </row>
    <row r="780" customFormat="false" ht="15" hidden="false" customHeight="false" outlineLevel="0" collapsed="false">
      <c r="A780" s="13" t="s">
        <v>117</v>
      </c>
      <c r="B780" s="13" t="s">
        <v>118</v>
      </c>
      <c r="C780" s="13" t="n">
        <v>27</v>
      </c>
      <c r="D780" s="13" t="s">
        <v>155</v>
      </c>
      <c r="E780" s="13" t="s">
        <v>43</v>
      </c>
      <c r="F780" s="13" t="n">
        <v>1</v>
      </c>
      <c r="G780" s="13" t="n">
        <v>1</v>
      </c>
      <c r="H780" s="13" t="n">
        <v>1</v>
      </c>
      <c r="I780" s="13" t="n">
        <f aca="false">H780-G780</f>
        <v>0</v>
      </c>
      <c r="J780" s="13" t="n">
        <f aca="false">H780-F780</f>
        <v>0</v>
      </c>
    </row>
    <row r="781" customFormat="false" ht="15" hidden="false" customHeight="false" outlineLevel="0" collapsed="false">
      <c r="A781" s="13" t="s">
        <v>117</v>
      </c>
      <c r="B781" s="13" t="s">
        <v>118</v>
      </c>
      <c r="C781" s="13" t="n">
        <v>27</v>
      </c>
      <c r="D781" s="13" t="s">
        <v>155</v>
      </c>
      <c r="E781" s="13" t="s">
        <v>44</v>
      </c>
      <c r="F781" s="13" t="n">
        <v>1</v>
      </c>
      <c r="G781" s="13" t="n">
        <v>1</v>
      </c>
      <c r="H781" s="13" t="n">
        <v>1</v>
      </c>
      <c r="I781" s="13" t="n">
        <f aca="false">H781-G781</f>
        <v>0</v>
      </c>
      <c r="J781" s="13" t="n">
        <f aca="false">H781-F781</f>
        <v>0</v>
      </c>
    </row>
    <row r="782" customFormat="false" ht="15" hidden="false" customHeight="false" outlineLevel="0" collapsed="false">
      <c r="A782" s="13" t="s">
        <v>117</v>
      </c>
      <c r="B782" s="13" t="s">
        <v>118</v>
      </c>
      <c r="C782" s="13" t="n">
        <v>27</v>
      </c>
      <c r="D782" s="13" t="s">
        <v>155</v>
      </c>
      <c r="E782" s="13" t="s">
        <v>45</v>
      </c>
      <c r="F782" s="13" t="n">
        <v>1</v>
      </c>
      <c r="G782" s="13" t="n">
        <v>1</v>
      </c>
      <c r="H782" s="13" t="n">
        <v>1</v>
      </c>
      <c r="I782" s="13" t="n">
        <f aca="false">H782-G782</f>
        <v>0</v>
      </c>
      <c r="J782" s="13" t="n">
        <f aca="false">H782-F782</f>
        <v>0</v>
      </c>
    </row>
    <row r="783" customFormat="false" ht="15" hidden="false" customHeight="false" outlineLevel="0" collapsed="false">
      <c r="A783" s="13" t="s">
        <v>117</v>
      </c>
      <c r="B783" s="13" t="s">
        <v>118</v>
      </c>
      <c r="C783" s="13" t="n">
        <v>27</v>
      </c>
      <c r="D783" s="13" t="s">
        <v>155</v>
      </c>
      <c r="E783" s="13" t="s">
        <v>46</v>
      </c>
      <c r="F783" s="13" t="n">
        <v>0</v>
      </c>
      <c r="G783" s="13" t="n">
        <v>0</v>
      </c>
      <c r="H783" s="13" t="n">
        <v>0</v>
      </c>
      <c r="I783" s="13" t="n">
        <f aca="false">H783-G783</f>
        <v>0</v>
      </c>
      <c r="J783" s="13" t="n">
        <f aca="false">H783-F783</f>
        <v>0</v>
      </c>
    </row>
    <row r="784" customFormat="false" ht="15" hidden="false" customHeight="false" outlineLevel="0" collapsed="false">
      <c r="A784" s="13" t="s">
        <v>119</v>
      </c>
      <c r="B784" s="13" t="s">
        <v>120</v>
      </c>
      <c r="C784" s="13" t="n">
        <v>22</v>
      </c>
      <c r="D784" s="13" t="s">
        <v>23</v>
      </c>
      <c r="E784" s="13" t="s">
        <v>22</v>
      </c>
      <c r="F784" s="13" t="n">
        <v>59</v>
      </c>
      <c r="G784" s="13" t="n">
        <v>22</v>
      </c>
      <c r="H784" s="13" t="n">
        <v>22</v>
      </c>
      <c r="I784" s="13" t="n">
        <f aca="false">H784-G784</f>
        <v>0</v>
      </c>
      <c r="J784" s="13" t="n">
        <f aca="false">H784-F784</f>
        <v>-37</v>
      </c>
    </row>
    <row r="785" customFormat="false" ht="15" hidden="false" customHeight="false" outlineLevel="0" collapsed="false">
      <c r="A785" s="13" t="s">
        <v>119</v>
      </c>
      <c r="B785" s="13" t="s">
        <v>120</v>
      </c>
      <c r="C785" s="13" t="n">
        <v>22</v>
      </c>
      <c r="D785" s="13" t="s">
        <v>23</v>
      </c>
      <c r="E785" s="13" t="s">
        <v>24</v>
      </c>
      <c r="F785" s="13" t="n">
        <v>7</v>
      </c>
      <c r="G785" s="13" t="n">
        <v>22</v>
      </c>
      <c r="H785" s="13" t="n">
        <v>22</v>
      </c>
      <c r="I785" s="13" t="n">
        <f aca="false">H785-G785</f>
        <v>0</v>
      </c>
      <c r="J785" s="13" t="n">
        <f aca="false">H785-F785</f>
        <v>15</v>
      </c>
    </row>
    <row r="786" customFormat="false" ht="15" hidden="false" customHeight="false" outlineLevel="0" collapsed="false">
      <c r="A786" s="13" t="s">
        <v>119</v>
      </c>
      <c r="B786" s="13" t="s">
        <v>120</v>
      </c>
      <c r="C786" s="13" t="n">
        <v>22</v>
      </c>
      <c r="D786" s="13" t="s">
        <v>23</v>
      </c>
      <c r="E786" s="13" t="s">
        <v>25</v>
      </c>
      <c r="F786" s="13" t="n">
        <v>54</v>
      </c>
      <c r="G786" s="13" t="n">
        <v>20</v>
      </c>
      <c r="H786" s="13" t="n">
        <v>20</v>
      </c>
      <c r="I786" s="13" t="n">
        <f aca="false">H786-G786</f>
        <v>0</v>
      </c>
      <c r="J786" s="13" t="n">
        <f aca="false">H786-F786</f>
        <v>-34</v>
      </c>
    </row>
    <row r="787" customFormat="false" ht="15" hidden="false" customHeight="false" outlineLevel="0" collapsed="false">
      <c r="A787" s="13" t="s">
        <v>119</v>
      </c>
      <c r="B787" s="13" t="s">
        <v>120</v>
      </c>
      <c r="C787" s="13" t="n">
        <v>22</v>
      </c>
      <c r="D787" s="13" t="s">
        <v>23</v>
      </c>
      <c r="E787" s="13" t="s">
        <v>26</v>
      </c>
      <c r="F787" s="13" t="n">
        <v>49</v>
      </c>
      <c r="G787" s="13" t="n">
        <v>19</v>
      </c>
      <c r="H787" s="13" t="n">
        <v>19</v>
      </c>
      <c r="I787" s="13" t="n">
        <f aca="false">H787-G787</f>
        <v>0</v>
      </c>
      <c r="J787" s="13" t="n">
        <f aca="false">H787-F787</f>
        <v>-30</v>
      </c>
    </row>
    <row r="788" customFormat="false" ht="15" hidden="false" customHeight="false" outlineLevel="0" collapsed="false">
      <c r="A788" s="13" t="s">
        <v>119</v>
      </c>
      <c r="B788" s="13" t="s">
        <v>120</v>
      </c>
      <c r="C788" s="13" t="n">
        <v>22</v>
      </c>
      <c r="D788" s="13" t="s">
        <v>23</v>
      </c>
      <c r="E788" s="13" t="s">
        <v>27</v>
      </c>
      <c r="F788" s="13" t="n">
        <v>59</v>
      </c>
      <c r="G788" s="13" t="n">
        <v>22</v>
      </c>
      <c r="H788" s="13" t="n">
        <v>22</v>
      </c>
      <c r="I788" s="13" t="n">
        <f aca="false">H788-G788</f>
        <v>0</v>
      </c>
      <c r="J788" s="13" t="n">
        <f aca="false">H788-F788</f>
        <v>-37</v>
      </c>
    </row>
    <row r="789" customFormat="false" ht="15" hidden="false" customHeight="false" outlineLevel="0" collapsed="false">
      <c r="A789" s="13" t="s">
        <v>119</v>
      </c>
      <c r="B789" s="13" t="s">
        <v>120</v>
      </c>
      <c r="C789" s="13" t="n">
        <v>22</v>
      </c>
      <c r="D789" s="13" t="s">
        <v>23</v>
      </c>
      <c r="E789" s="13" t="s">
        <v>28</v>
      </c>
      <c r="F789" s="13" t="n">
        <v>41</v>
      </c>
      <c r="G789" s="13" t="n">
        <v>18</v>
      </c>
      <c r="H789" s="13" t="n">
        <v>18</v>
      </c>
      <c r="I789" s="13" t="n">
        <f aca="false">H789-G789</f>
        <v>0</v>
      </c>
      <c r="J789" s="13" t="n">
        <f aca="false">H789-F789</f>
        <v>-23</v>
      </c>
    </row>
    <row r="790" customFormat="false" ht="15" hidden="false" customHeight="false" outlineLevel="0" collapsed="false">
      <c r="A790" s="13" t="s">
        <v>119</v>
      </c>
      <c r="B790" s="13" t="s">
        <v>120</v>
      </c>
      <c r="C790" s="13" t="n">
        <v>22</v>
      </c>
      <c r="D790" s="13" t="s">
        <v>23</v>
      </c>
      <c r="E790" s="13" t="s">
        <v>29</v>
      </c>
      <c r="F790" s="13" t="n">
        <v>0</v>
      </c>
      <c r="G790" s="13" t="n">
        <v>0</v>
      </c>
      <c r="H790" s="13" t="n">
        <v>0</v>
      </c>
      <c r="I790" s="13" t="n">
        <f aca="false">H790-G790</f>
        <v>0</v>
      </c>
      <c r="J790" s="13" t="n">
        <f aca="false">H790-F790</f>
        <v>0</v>
      </c>
    </row>
    <row r="791" customFormat="false" ht="15" hidden="false" customHeight="false" outlineLevel="0" collapsed="false">
      <c r="A791" s="13" t="s">
        <v>119</v>
      </c>
      <c r="B791" s="13" t="s">
        <v>120</v>
      </c>
      <c r="C791" s="13" t="n">
        <v>22</v>
      </c>
      <c r="D791" s="13" t="s">
        <v>23</v>
      </c>
      <c r="E791" s="13" t="s">
        <v>30</v>
      </c>
      <c r="F791" s="13" t="n">
        <v>59</v>
      </c>
      <c r="G791" s="13" t="n">
        <v>22</v>
      </c>
      <c r="H791" s="13" t="n">
        <v>22</v>
      </c>
      <c r="I791" s="13" t="n">
        <f aca="false">H791-G791</f>
        <v>0</v>
      </c>
      <c r="J791" s="13" t="n">
        <f aca="false">H791-F791</f>
        <v>-37</v>
      </c>
    </row>
    <row r="792" customFormat="false" ht="15" hidden="false" customHeight="false" outlineLevel="0" collapsed="false">
      <c r="A792" s="13" t="s">
        <v>119</v>
      </c>
      <c r="B792" s="13" t="s">
        <v>120</v>
      </c>
      <c r="C792" s="13" t="n">
        <v>22</v>
      </c>
      <c r="D792" s="13" t="s">
        <v>23</v>
      </c>
      <c r="E792" s="13" t="s">
        <v>31</v>
      </c>
      <c r="F792" s="13" t="n">
        <v>0</v>
      </c>
      <c r="G792" s="13" t="n">
        <v>0</v>
      </c>
      <c r="H792" s="13" t="n">
        <v>0</v>
      </c>
      <c r="I792" s="13" t="n">
        <f aca="false">H792-G792</f>
        <v>0</v>
      </c>
      <c r="J792" s="13" t="n">
        <f aca="false">H792-F792</f>
        <v>0</v>
      </c>
    </row>
    <row r="793" customFormat="false" ht="15" hidden="false" customHeight="false" outlineLevel="0" collapsed="false">
      <c r="A793" s="13" t="s">
        <v>119</v>
      </c>
      <c r="B793" s="13" t="s">
        <v>120</v>
      </c>
      <c r="C793" s="13" t="n">
        <v>22</v>
      </c>
      <c r="D793" s="13" t="s">
        <v>23</v>
      </c>
      <c r="E793" s="13" t="s">
        <v>32</v>
      </c>
      <c r="F793" s="13" t="n">
        <v>4</v>
      </c>
      <c r="G793" s="13" t="n">
        <v>3</v>
      </c>
      <c r="H793" s="13" t="n">
        <v>3</v>
      </c>
      <c r="I793" s="13" t="n">
        <f aca="false">H793-G793</f>
        <v>0</v>
      </c>
      <c r="J793" s="13" t="n">
        <f aca="false">H793-F793</f>
        <v>-1</v>
      </c>
    </row>
    <row r="794" customFormat="false" ht="15" hidden="false" customHeight="false" outlineLevel="0" collapsed="false">
      <c r="A794" s="13" t="s">
        <v>119</v>
      </c>
      <c r="B794" s="13" t="s">
        <v>120</v>
      </c>
      <c r="C794" s="13" t="n">
        <v>22</v>
      </c>
      <c r="D794" s="13" t="s">
        <v>23</v>
      </c>
      <c r="E794" s="13" t="s">
        <v>33</v>
      </c>
      <c r="F794" s="13" t="n">
        <v>0</v>
      </c>
      <c r="G794" s="13" t="n">
        <v>0</v>
      </c>
      <c r="H794" s="13" t="n">
        <v>0</v>
      </c>
      <c r="I794" s="13" t="n">
        <f aca="false">H794-G794</f>
        <v>0</v>
      </c>
      <c r="J794" s="13" t="n">
        <f aca="false">H794-F794</f>
        <v>0</v>
      </c>
    </row>
    <row r="795" customFormat="false" ht="15" hidden="false" customHeight="false" outlineLevel="0" collapsed="false">
      <c r="A795" s="13" t="s">
        <v>119</v>
      </c>
      <c r="B795" s="13" t="s">
        <v>120</v>
      </c>
      <c r="C795" s="13" t="n">
        <v>22</v>
      </c>
      <c r="D795" s="13" t="s">
        <v>23</v>
      </c>
      <c r="E795" s="13" t="s">
        <v>34</v>
      </c>
      <c r="F795" s="13" t="n">
        <v>38</v>
      </c>
      <c r="G795" s="13" t="n">
        <v>14</v>
      </c>
      <c r="H795" s="13" t="n">
        <v>14</v>
      </c>
      <c r="I795" s="13" t="n">
        <f aca="false">H795-G795</f>
        <v>0</v>
      </c>
      <c r="J795" s="13" t="n">
        <f aca="false">H795-F795</f>
        <v>-24</v>
      </c>
    </row>
    <row r="796" customFormat="false" ht="15" hidden="false" customHeight="false" outlineLevel="0" collapsed="false">
      <c r="A796" s="13" t="s">
        <v>119</v>
      </c>
      <c r="B796" s="13" t="s">
        <v>120</v>
      </c>
      <c r="C796" s="13" t="n">
        <v>22</v>
      </c>
      <c r="D796" s="13" t="s">
        <v>23</v>
      </c>
      <c r="E796" s="13" t="s">
        <v>35</v>
      </c>
      <c r="F796" s="13" t="n">
        <v>0</v>
      </c>
      <c r="G796" s="13" t="n">
        <v>0</v>
      </c>
      <c r="H796" s="13" t="n">
        <v>0</v>
      </c>
      <c r="I796" s="13" t="n">
        <f aca="false">H796-G796</f>
        <v>0</v>
      </c>
      <c r="J796" s="13" t="n">
        <f aca="false">H796-F796</f>
        <v>0</v>
      </c>
    </row>
    <row r="797" customFormat="false" ht="15" hidden="false" customHeight="false" outlineLevel="0" collapsed="false">
      <c r="A797" s="13" t="s">
        <v>119</v>
      </c>
      <c r="B797" s="13" t="s">
        <v>120</v>
      </c>
      <c r="C797" s="13" t="n">
        <v>22</v>
      </c>
      <c r="D797" s="13" t="s">
        <v>23</v>
      </c>
      <c r="E797" s="13" t="s">
        <v>36</v>
      </c>
      <c r="F797" s="13" t="n">
        <v>0</v>
      </c>
      <c r="G797" s="13" t="n">
        <v>0</v>
      </c>
      <c r="H797" s="13" t="n">
        <v>0</v>
      </c>
      <c r="I797" s="13" t="n">
        <f aca="false">H797-G797</f>
        <v>0</v>
      </c>
      <c r="J797" s="13" t="n">
        <f aca="false">H797-F797</f>
        <v>0</v>
      </c>
    </row>
    <row r="798" customFormat="false" ht="15" hidden="false" customHeight="false" outlineLevel="0" collapsed="false">
      <c r="A798" s="13" t="s">
        <v>119</v>
      </c>
      <c r="B798" s="13" t="s">
        <v>120</v>
      </c>
      <c r="C798" s="13" t="n">
        <v>22</v>
      </c>
      <c r="D798" s="13" t="s">
        <v>155</v>
      </c>
      <c r="E798" s="13" t="s">
        <v>37</v>
      </c>
      <c r="F798" s="13" t="n">
        <v>1</v>
      </c>
      <c r="G798" s="13" t="n">
        <v>1</v>
      </c>
      <c r="H798" s="13" t="n">
        <v>1</v>
      </c>
      <c r="I798" s="13" t="n">
        <f aca="false">H798-G798</f>
        <v>0</v>
      </c>
      <c r="J798" s="13" t="n">
        <f aca="false">H798-F798</f>
        <v>0</v>
      </c>
    </row>
    <row r="799" customFormat="false" ht="15" hidden="false" customHeight="false" outlineLevel="0" collapsed="false">
      <c r="A799" s="13" t="s">
        <v>119</v>
      </c>
      <c r="B799" s="13" t="s">
        <v>120</v>
      </c>
      <c r="C799" s="13" t="n">
        <v>22</v>
      </c>
      <c r="D799" s="13" t="s">
        <v>155</v>
      </c>
      <c r="E799" s="13" t="s">
        <v>39</v>
      </c>
      <c r="F799" s="13" t="n">
        <v>0</v>
      </c>
      <c r="G799" s="13" t="n">
        <v>0</v>
      </c>
      <c r="H799" s="13" t="n">
        <v>0</v>
      </c>
      <c r="I799" s="13" t="n">
        <f aca="false">H799-G799</f>
        <v>0</v>
      </c>
      <c r="J799" s="13" t="n">
        <f aca="false">H799-F799</f>
        <v>0</v>
      </c>
    </row>
    <row r="800" customFormat="false" ht="15" hidden="false" customHeight="false" outlineLevel="0" collapsed="false">
      <c r="A800" s="13" t="s">
        <v>119</v>
      </c>
      <c r="B800" s="13" t="s">
        <v>120</v>
      </c>
      <c r="C800" s="13" t="n">
        <v>22</v>
      </c>
      <c r="D800" s="13" t="s">
        <v>155</v>
      </c>
      <c r="E800" s="13" t="s">
        <v>40</v>
      </c>
      <c r="F800" s="13" t="n">
        <v>1</v>
      </c>
      <c r="G800" s="13" t="n">
        <v>1</v>
      </c>
      <c r="H800" s="13" t="n">
        <v>1</v>
      </c>
      <c r="I800" s="13" t="n">
        <f aca="false">H800-G800</f>
        <v>0</v>
      </c>
      <c r="J800" s="13" t="n">
        <f aca="false">H800-F800</f>
        <v>0</v>
      </c>
    </row>
    <row r="801" customFormat="false" ht="15" hidden="false" customHeight="false" outlineLevel="0" collapsed="false">
      <c r="A801" s="13" t="s">
        <v>119</v>
      </c>
      <c r="B801" s="13" t="s">
        <v>120</v>
      </c>
      <c r="C801" s="13" t="n">
        <v>22</v>
      </c>
      <c r="D801" s="13" t="s">
        <v>155</v>
      </c>
      <c r="E801" s="13" t="s">
        <v>41</v>
      </c>
      <c r="F801" s="13" t="n">
        <v>0</v>
      </c>
      <c r="G801" s="13" t="n">
        <v>0</v>
      </c>
      <c r="H801" s="13" t="n">
        <v>0</v>
      </c>
      <c r="I801" s="13" t="n">
        <f aca="false">H801-G801</f>
        <v>0</v>
      </c>
      <c r="J801" s="13" t="n">
        <f aca="false">H801-F801</f>
        <v>0</v>
      </c>
    </row>
    <row r="802" customFormat="false" ht="15" hidden="false" customHeight="false" outlineLevel="0" collapsed="false">
      <c r="A802" s="13" t="s">
        <v>119</v>
      </c>
      <c r="B802" s="13" t="s">
        <v>120</v>
      </c>
      <c r="C802" s="13" t="n">
        <v>22</v>
      </c>
      <c r="D802" s="13" t="s">
        <v>155</v>
      </c>
      <c r="E802" s="13" t="s">
        <v>42</v>
      </c>
      <c r="F802" s="13" t="n">
        <v>1</v>
      </c>
      <c r="G802" s="13" t="n">
        <v>1</v>
      </c>
      <c r="H802" s="13" t="n">
        <v>1</v>
      </c>
      <c r="I802" s="13" t="n">
        <f aca="false">H802-G802</f>
        <v>0</v>
      </c>
      <c r="J802" s="13" t="n">
        <f aca="false">H802-F802</f>
        <v>0</v>
      </c>
    </row>
    <row r="803" customFormat="false" ht="15" hidden="false" customHeight="false" outlineLevel="0" collapsed="false">
      <c r="A803" s="13" t="s">
        <v>119</v>
      </c>
      <c r="B803" s="13" t="s">
        <v>120</v>
      </c>
      <c r="C803" s="13" t="n">
        <v>22</v>
      </c>
      <c r="D803" s="13" t="s">
        <v>155</v>
      </c>
      <c r="E803" s="13" t="s">
        <v>43</v>
      </c>
      <c r="F803" s="13" t="n">
        <v>1</v>
      </c>
      <c r="G803" s="13" t="n">
        <v>1</v>
      </c>
      <c r="H803" s="13" t="n">
        <v>1</v>
      </c>
      <c r="I803" s="13" t="n">
        <f aca="false">H803-G803</f>
        <v>0</v>
      </c>
      <c r="J803" s="13" t="n">
        <f aca="false">H803-F803</f>
        <v>0</v>
      </c>
    </row>
    <row r="804" customFormat="false" ht="15" hidden="false" customHeight="false" outlineLevel="0" collapsed="false">
      <c r="A804" s="13" t="s">
        <v>119</v>
      </c>
      <c r="B804" s="13" t="s">
        <v>120</v>
      </c>
      <c r="C804" s="13" t="n">
        <v>22</v>
      </c>
      <c r="D804" s="13" t="s">
        <v>155</v>
      </c>
      <c r="E804" s="13" t="s">
        <v>44</v>
      </c>
      <c r="F804" s="13" t="n">
        <v>1</v>
      </c>
      <c r="G804" s="13" t="n">
        <v>1</v>
      </c>
      <c r="H804" s="13" t="n">
        <v>1</v>
      </c>
      <c r="I804" s="13" t="n">
        <f aca="false">H804-G804</f>
        <v>0</v>
      </c>
      <c r="J804" s="13" t="n">
        <f aca="false">H804-F804</f>
        <v>0</v>
      </c>
    </row>
    <row r="805" customFormat="false" ht="15" hidden="false" customHeight="false" outlineLevel="0" collapsed="false">
      <c r="A805" s="13" t="s">
        <v>119</v>
      </c>
      <c r="B805" s="13" t="s">
        <v>120</v>
      </c>
      <c r="C805" s="13" t="n">
        <v>22</v>
      </c>
      <c r="D805" s="13" t="s">
        <v>155</v>
      </c>
      <c r="E805" s="13" t="s">
        <v>45</v>
      </c>
      <c r="F805" s="13" t="n">
        <v>0</v>
      </c>
      <c r="G805" s="13" t="n">
        <v>0</v>
      </c>
      <c r="H805" s="13" t="n">
        <v>0</v>
      </c>
      <c r="I805" s="13" t="n">
        <f aca="false">H805-G805</f>
        <v>0</v>
      </c>
      <c r="J805" s="13" t="n">
        <f aca="false">H805-F805</f>
        <v>0</v>
      </c>
    </row>
    <row r="806" customFormat="false" ht="15" hidden="false" customHeight="false" outlineLevel="0" collapsed="false">
      <c r="A806" s="13" t="s">
        <v>119</v>
      </c>
      <c r="B806" s="13" t="s">
        <v>120</v>
      </c>
      <c r="C806" s="13" t="n">
        <v>22</v>
      </c>
      <c r="D806" s="13" t="s">
        <v>155</v>
      </c>
      <c r="E806" s="13" t="s">
        <v>46</v>
      </c>
      <c r="F806" s="13" t="n">
        <v>0</v>
      </c>
      <c r="G806" s="13" t="n">
        <v>0</v>
      </c>
      <c r="H806" s="13" t="n">
        <v>0</v>
      </c>
      <c r="I806" s="13" t="n">
        <f aca="false">H806-G806</f>
        <v>0</v>
      </c>
      <c r="J806" s="13" t="n">
        <f aca="false">H806-F806</f>
        <v>0</v>
      </c>
    </row>
    <row r="807" customFormat="false" ht="15" hidden="false" customHeight="false" outlineLevel="0" collapsed="false">
      <c r="A807" s="13" t="s">
        <v>121</v>
      </c>
      <c r="B807" s="13" t="s">
        <v>122</v>
      </c>
      <c r="C807" s="13" t="n">
        <v>22</v>
      </c>
      <c r="D807" s="13" t="s">
        <v>23</v>
      </c>
      <c r="E807" s="13" t="s">
        <v>22</v>
      </c>
      <c r="F807" s="13" t="n">
        <v>70</v>
      </c>
      <c r="G807" s="13" t="n">
        <v>15</v>
      </c>
      <c r="H807" s="13" t="n">
        <v>15</v>
      </c>
      <c r="I807" s="13" t="n">
        <f aca="false">H807-G807</f>
        <v>0</v>
      </c>
      <c r="J807" s="13" t="n">
        <f aca="false">H807-F807</f>
        <v>-55</v>
      </c>
    </row>
    <row r="808" customFormat="false" ht="15" hidden="false" customHeight="false" outlineLevel="0" collapsed="false">
      <c r="A808" s="13" t="s">
        <v>121</v>
      </c>
      <c r="B808" s="13" t="s">
        <v>122</v>
      </c>
      <c r="C808" s="13" t="n">
        <v>22</v>
      </c>
      <c r="D808" s="13" t="s">
        <v>23</v>
      </c>
      <c r="E808" s="13" t="s">
        <v>24</v>
      </c>
      <c r="F808" s="13" t="n">
        <v>14</v>
      </c>
      <c r="G808" s="13" t="n">
        <v>22</v>
      </c>
      <c r="H808" s="13" t="n">
        <v>22</v>
      </c>
      <c r="I808" s="13" t="n">
        <f aca="false">H808-G808</f>
        <v>0</v>
      </c>
      <c r="J808" s="13" t="n">
        <f aca="false">H808-F808</f>
        <v>8</v>
      </c>
    </row>
    <row r="809" customFormat="false" ht="15" hidden="false" customHeight="false" outlineLevel="0" collapsed="false">
      <c r="A809" s="13" t="s">
        <v>121</v>
      </c>
      <c r="B809" s="13" t="s">
        <v>122</v>
      </c>
      <c r="C809" s="13" t="n">
        <v>22</v>
      </c>
      <c r="D809" s="13" t="s">
        <v>23</v>
      </c>
      <c r="E809" s="13" t="s">
        <v>25</v>
      </c>
      <c r="F809" s="13" t="n">
        <v>215</v>
      </c>
      <c r="G809" s="13" t="n">
        <v>22</v>
      </c>
      <c r="H809" s="13" t="n">
        <v>22</v>
      </c>
      <c r="I809" s="13" t="n">
        <f aca="false">H809-G809</f>
        <v>0</v>
      </c>
      <c r="J809" s="13" t="n">
        <f aca="false">H809-F809</f>
        <v>-193</v>
      </c>
    </row>
    <row r="810" customFormat="false" ht="15" hidden="false" customHeight="false" outlineLevel="0" collapsed="false">
      <c r="A810" s="13" t="s">
        <v>121</v>
      </c>
      <c r="B810" s="13" t="s">
        <v>122</v>
      </c>
      <c r="C810" s="13" t="n">
        <v>22</v>
      </c>
      <c r="D810" s="13" t="s">
        <v>23</v>
      </c>
      <c r="E810" s="13" t="s">
        <v>26</v>
      </c>
      <c r="F810" s="13" t="n">
        <v>50</v>
      </c>
      <c r="G810" s="13" t="n">
        <v>4</v>
      </c>
      <c r="H810" s="13" t="n">
        <v>4</v>
      </c>
      <c r="I810" s="13" t="n">
        <f aca="false">H810-G810</f>
        <v>0</v>
      </c>
      <c r="J810" s="13" t="n">
        <f aca="false">H810-F810</f>
        <v>-46</v>
      </c>
    </row>
    <row r="811" customFormat="false" ht="15" hidden="false" customHeight="false" outlineLevel="0" collapsed="false">
      <c r="A811" s="13" t="s">
        <v>121</v>
      </c>
      <c r="B811" s="13" t="s">
        <v>122</v>
      </c>
      <c r="C811" s="13" t="n">
        <v>22</v>
      </c>
      <c r="D811" s="13" t="s">
        <v>23</v>
      </c>
      <c r="E811" s="13" t="s">
        <v>27</v>
      </c>
      <c r="F811" s="13" t="n">
        <v>86</v>
      </c>
      <c r="G811" s="13" t="n">
        <v>14</v>
      </c>
      <c r="H811" s="13" t="n">
        <v>14</v>
      </c>
      <c r="I811" s="13" t="n">
        <f aca="false">H811-G811</f>
        <v>0</v>
      </c>
      <c r="J811" s="13" t="n">
        <f aca="false">H811-F811</f>
        <v>-72</v>
      </c>
    </row>
    <row r="812" customFormat="false" ht="15" hidden="false" customHeight="false" outlineLevel="0" collapsed="false">
      <c r="A812" s="13" t="s">
        <v>121</v>
      </c>
      <c r="B812" s="13" t="s">
        <v>122</v>
      </c>
      <c r="C812" s="13" t="n">
        <v>22</v>
      </c>
      <c r="D812" s="13" t="s">
        <v>23</v>
      </c>
      <c r="E812" s="13" t="s">
        <v>28</v>
      </c>
      <c r="F812" s="13" t="n">
        <v>90</v>
      </c>
      <c r="G812" s="13" t="n">
        <v>4</v>
      </c>
      <c r="H812" s="13" t="n">
        <v>4</v>
      </c>
      <c r="I812" s="13" t="n">
        <f aca="false">H812-G812</f>
        <v>0</v>
      </c>
      <c r="J812" s="13" t="n">
        <f aca="false">H812-F812</f>
        <v>-86</v>
      </c>
    </row>
    <row r="813" customFormat="false" ht="15" hidden="false" customHeight="false" outlineLevel="0" collapsed="false">
      <c r="A813" s="13" t="s">
        <v>121</v>
      </c>
      <c r="B813" s="13" t="s">
        <v>122</v>
      </c>
      <c r="C813" s="13" t="n">
        <v>22</v>
      </c>
      <c r="D813" s="13" t="s">
        <v>23</v>
      </c>
      <c r="E813" s="13" t="s">
        <v>29</v>
      </c>
      <c r="F813" s="13" t="n">
        <v>18</v>
      </c>
      <c r="G813" s="13" t="n">
        <v>0</v>
      </c>
      <c r="H813" s="13" t="n">
        <v>0</v>
      </c>
      <c r="I813" s="13" t="n">
        <f aca="false">H813-G813</f>
        <v>0</v>
      </c>
      <c r="J813" s="13" t="n">
        <f aca="false">H813-F813</f>
        <v>-18</v>
      </c>
    </row>
    <row r="814" customFormat="false" ht="15" hidden="false" customHeight="false" outlineLevel="0" collapsed="false">
      <c r="A814" s="13" t="s">
        <v>121</v>
      </c>
      <c r="B814" s="13" t="s">
        <v>122</v>
      </c>
      <c r="C814" s="13" t="n">
        <v>22</v>
      </c>
      <c r="D814" s="13" t="s">
        <v>23</v>
      </c>
      <c r="E814" s="13" t="s">
        <v>30</v>
      </c>
      <c r="F814" s="13" t="n">
        <v>215</v>
      </c>
      <c r="G814" s="13" t="n">
        <v>22</v>
      </c>
      <c r="H814" s="13" t="n">
        <v>22</v>
      </c>
      <c r="I814" s="13" t="n">
        <f aca="false">H814-G814</f>
        <v>0</v>
      </c>
      <c r="J814" s="13" t="n">
        <f aca="false">H814-F814</f>
        <v>-193</v>
      </c>
    </row>
    <row r="815" customFormat="false" ht="15" hidden="false" customHeight="false" outlineLevel="0" collapsed="false">
      <c r="A815" s="13" t="s">
        <v>121</v>
      </c>
      <c r="B815" s="13" t="s">
        <v>122</v>
      </c>
      <c r="C815" s="13" t="n">
        <v>22</v>
      </c>
      <c r="D815" s="13" t="s">
        <v>23</v>
      </c>
      <c r="E815" s="13" t="s">
        <v>31</v>
      </c>
      <c r="F815" s="13" t="n">
        <v>0</v>
      </c>
      <c r="G815" s="13" t="n">
        <v>0</v>
      </c>
      <c r="H815" s="13" t="n">
        <v>0</v>
      </c>
      <c r="I815" s="13" t="n">
        <f aca="false">H815-G815</f>
        <v>0</v>
      </c>
      <c r="J815" s="13" t="n">
        <f aca="false">H815-F815</f>
        <v>0</v>
      </c>
    </row>
    <row r="816" customFormat="false" ht="15" hidden="false" customHeight="false" outlineLevel="0" collapsed="false">
      <c r="A816" s="13" t="s">
        <v>121</v>
      </c>
      <c r="B816" s="13" t="s">
        <v>122</v>
      </c>
      <c r="C816" s="13" t="n">
        <v>22</v>
      </c>
      <c r="D816" s="13" t="s">
        <v>23</v>
      </c>
      <c r="E816" s="13" t="s">
        <v>32</v>
      </c>
      <c r="F816" s="13" t="n">
        <v>0</v>
      </c>
      <c r="G816" s="13" t="n">
        <v>0</v>
      </c>
      <c r="H816" s="13" t="n">
        <v>0</v>
      </c>
      <c r="I816" s="13" t="n">
        <f aca="false">H816-G816</f>
        <v>0</v>
      </c>
      <c r="J816" s="13" t="n">
        <f aca="false">H816-F816</f>
        <v>0</v>
      </c>
    </row>
    <row r="817" customFormat="false" ht="15" hidden="false" customHeight="false" outlineLevel="0" collapsed="false">
      <c r="A817" s="13" t="s">
        <v>121</v>
      </c>
      <c r="B817" s="13" t="s">
        <v>122</v>
      </c>
      <c r="C817" s="13" t="n">
        <v>22</v>
      </c>
      <c r="D817" s="13" t="s">
        <v>23</v>
      </c>
      <c r="E817" s="13" t="s">
        <v>33</v>
      </c>
      <c r="F817" s="13" t="n">
        <v>0</v>
      </c>
      <c r="G817" s="13" t="n">
        <v>0</v>
      </c>
      <c r="H817" s="13" t="n">
        <v>0</v>
      </c>
      <c r="I817" s="13" t="n">
        <f aca="false">H817-G817</f>
        <v>0</v>
      </c>
      <c r="J817" s="13" t="n">
        <f aca="false">H817-F817</f>
        <v>0</v>
      </c>
    </row>
    <row r="818" customFormat="false" ht="15" hidden="false" customHeight="false" outlineLevel="0" collapsed="false">
      <c r="A818" s="13" t="s">
        <v>121</v>
      </c>
      <c r="B818" s="13" t="s">
        <v>122</v>
      </c>
      <c r="C818" s="13" t="n">
        <v>22</v>
      </c>
      <c r="D818" s="13" t="s">
        <v>23</v>
      </c>
      <c r="E818" s="13" t="s">
        <v>34</v>
      </c>
      <c r="F818" s="13" t="n">
        <v>0</v>
      </c>
      <c r="G818" s="13" t="n">
        <v>0</v>
      </c>
      <c r="H818" s="13" t="n">
        <v>0</v>
      </c>
      <c r="I818" s="13" t="n">
        <f aca="false">H818-G818</f>
        <v>0</v>
      </c>
      <c r="J818" s="13" t="n">
        <f aca="false">H818-F818</f>
        <v>0</v>
      </c>
    </row>
    <row r="819" customFormat="false" ht="15" hidden="false" customHeight="false" outlineLevel="0" collapsed="false">
      <c r="A819" s="13" t="s">
        <v>121</v>
      </c>
      <c r="B819" s="13" t="s">
        <v>122</v>
      </c>
      <c r="C819" s="13" t="n">
        <v>22</v>
      </c>
      <c r="D819" s="13" t="s">
        <v>23</v>
      </c>
      <c r="E819" s="13" t="s">
        <v>35</v>
      </c>
      <c r="F819" s="13" t="n">
        <v>0</v>
      </c>
      <c r="G819" s="13" t="n">
        <v>0</v>
      </c>
      <c r="H819" s="13" t="n">
        <v>0</v>
      </c>
      <c r="I819" s="13" t="n">
        <f aca="false">H819-G819</f>
        <v>0</v>
      </c>
      <c r="J819" s="13" t="n">
        <f aca="false">H819-F819</f>
        <v>0</v>
      </c>
    </row>
    <row r="820" customFormat="false" ht="15" hidden="false" customHeight="false" outlineLevel="0" collapsed="false">
      <c r="A820" s="13" t="s">
        <v>121</v>
      </c>
      <c r="B820" s="13" t="s">
        <v>122</v>
      </c>
      <c r="C820" s="13" t="n">
        <v>22</v>
      </c>
      <c r="D820" s="13" t="s">
        <v>23</v>
      </c>
      <c r="E820" s="13" t="s">
        <v>36</v>
      </c>
      <c r="F820" s="13" t="n">
        <v>0</v>
      </c>
      <c r="G820" s="13" t="n">
        <v>0</v>
      </c>
      <c r="H820" s="13" t="n">
        <v>0</v>
      </c>
      <c r="I820" s="13" t="n">
        <f aca="false">H820-G820</f>
        <v>0</v>
      </c>
      <c r="J820" s="13" t="n">
        <f aca="false">H820-F820</f>
        <v>0</v>
      </c>
    </row>
    <row r="821" customFormat="false" ht="15" hidden="false" customHeight="false" outlineLevel="0" collapsed="false">
      <c r="A821" s="13" t="s">
        <v>121</v>
      </c>
      <c r="B821" s="13" t="s">
        <v>122</v>
      </c>
      <c r="C821" s="13" t="n">
        <v>22</v>
      </c>
      <c r="D821" s="13" t="s">
        <v>155</v>
      </c>
      <c r="E821" s="13" t="s">
        <v>37</v>
      </c>
      <c r="F821" s="13" t="n">
        <v>1</v>
      </c>
      <c r="G821" s="13" t="n">
        <v>1</v>
      </c>
      <c r="H821" s="13" t="n">
        <v>1</v>
      </c>
      <c r="I821" s="13" t="n">
        <f aca="false">H821-G821</f>
        <v>0</v>
      </c>
      <c r="J821" s="13" t="n">
        <f aca="false">H821-F821</f>
        <v>0</v>
      </c>
    </row>
    <row r="822" customFormat="false" ht="15" hidden="false" customHeight="false" outlineLevel="0" collapsed="false">
      <c r="A822" s="13" t="s">
        <v>121</v>
      </c>
      <c r="B822" s="13" t="s">
        <v>122</v>
      </c>
      <c r="C822" s="13" t="n">
        <v>22</v>
      </c>
      <c r="D822" s="13" t="s">
        <v>155</v>
      </c>
      <c r="E822" s="13" t="s">
        <v>39</v>
      </c>
      <c r="F822" s="13" t="n">
        <v>0</v>
      </c>
      <c r="G822" s="13" t="n">
        <v>0</v>
      </c>
      <c r="H822" s="13" t="n">
        <v>0</v>
      </c>
      <c r="I822" s="13" t="n">
        <f aca="false">H822-G822</f>
        <v>0</v>
      </c>
      <c r="J822" s="13" t="n">
        <f aca="false">H822-F822</f>
        <v>0</v>
      </c>
    </row>
    <row r="823" customFormat="false" ht="15" hidden="false" customHeight="false" outlineLevel="0" collapsed="false">
      <c r="A823" s="13" t="s">
        <v>121</v>
      </c>
      <c r="B823" s="13" t="s">
        <v>122</v>
      </c>
      <c r="C823" s="13" t="n">
        <v>22</v>
      </c>
      <c r="D823" s="13" t="s">
        <v>155</v>
      </c>
      <c r="E823" s="13" t="s">
        <v>40</v>
      </c>
      <c r="F823" s="13" t="n">
        <v>1</v>
      </c>
      <c r="G823" s="13" t="n">
        <v>1</v>
      </c>
      <c r="H823" s="13" t="n">
        <v>1</v>
      </c>
      <c r="I823" s="13" t="n">
        <f aca="false">H823-G823</f>
        <v>0</v>
      </c>
      <c r="J823" s="13" t="n">
        <f aca="false">H823-F823</f>
        <v>0</v>
      </c>
    </row>
    <row r="824" customFormat="false" ht="15" hidden="false" customHeight="false" outlineLevel="0" collapsed="false">
      <c r="A824" s="13" t="s">
        <v>121</v>
      </c>
      <c r="B824" s="13" t="s">
        <v>122</v>
      </c>
      <c r="C824" s="13" t="n">
        <v>22</v>
      </c>
      <c r="D824" s="13" t="s">
        <v>155</v>
      </c>
      <c r="E824" s="13" t="s">
        <v>41</v>
      </c>
      <c r="F824" s="13" t="n">
        <v>0</v>
      </c>
      <c r="G824" s="13" t="n">
        <v>0</v>
      </c>
      <c r="H824" s="13" t="n">
        <v>0</v>
      </c>
      <c r="I824" s="13" t="n">
        <f aca="false">H824-G824</f>
        <v>0</v>
      </c>
      <c r="J824" s="13" t="n">
        <f aca="false">H824-F824</f>
        <v>0</v>
      </c>
    </row>
    <row r="825" customFormat="false" ht="15" hidden="false" customHeight="false" outlineLevel="0" collapsed="false">
      <c r="A825" s="13" t="s">
        <v>121</v>
      </c>
      <c r="B825" s="13" t="s">
        <v>122</v>
      </c>
      <c r="C825" s="13" t="n">
        <v>22</v>
      </c>
      <c r="D825" s="13" t="s">
        <v>155</v>
      </c>
      <c r="E825" s="13" t="s">
        <v>42</v>
      </c>
      <c r="F825" s="13" t="n">
        <v>1</v>
      </c>
      <c r="G825" s="13" t="n">
        <v>1</v>
      </c>
      <c r="H825" s="13" t="n">
        <v>1</v>
      </c>
      <c r="I825" s="13" t="n">
        <f aca="false">H825-G825</f>
        <v>0</v>
      </c>
      <c r="J825" s="13" t="n">
        <f aca="false">H825-F825</f>
        <v>0</v>
      </c>
    </row>
    <row r="826" customFormat="false" ht="15" hidden="false" customHeight="false" outlineLevel="0" collapsed="false">
      <c r="A826" s="13" t="s">
        <v>121</v>
      </c>
      <c r="B826" s="13" t="s">
        <v>122</v>
      </c>
      <c r="C826" s="13" t="n">
        <v>22</v>
      </c>
      <c r="D826" s="13" t="s">
        <v>155</v>
      </c>
      <c r="E826" s="13" t="s">
        <v>43</v>
      </c>
      <c r="F826" s="13" t="n">
        <v>1</v>
      </c>
      <c r="G826" s="13" t="n">
        <v>1</v>
      </c>
      <c r="H826" s="13" t="n">
        <v>1</v>
      </c>
      <c r="I826" s="13" t="n">
        <f aca="false">H826-G826</f>
        <v>0</v>
      </c>
      <c r="J826" s="13" t="n">
        <f aca="false">H826-F826</f>
        <v>0</v>
      </c>
    </row>
    <row r="827" customFormat="false" ht="15" hidden="false" customHeight="false" outlineLevel="0" collapsed="false">
      <c r="A827" s="13" t="s">
        <v>121</v>
      </c>
      <c r="B827" s="13" t="s">
        <v>122</v>
      </c>
      <c r="C827" s="13" t="n">
        <v>22</v>
      </c>
      <c r="D827" s="13" t="s">
        <v>155</v>
      </c>
      <c r="E827" s="13" t="s">
        <v>44</v>
      </c>
      <c r="F827" s="13" t="n">
        <v>1</v>
      </c>
      <c r="G827" s="13" t="n">
        <v>1</v>
      </c>
      <c r="H827" s="13" t="n">
        <v>1</v>
      </c>
      <c r="I827" s="13" t="n">
        <f aca="false">H827-G827</f>
        <v>0</v>
      </c>
      <c r="J827" s="13" t="n">
        <f aca="false">H827-F827</f>
        <v>0</v>
      </c>
    </row>
    <row r="828" customFormat="false" ht="15" hidden="false" customHeight="false" outlineLevel="0" collapsed="false">
      <c r="A828" s="13" t="s">
        <v>121</v>
      </c>
      <c r="B828" s="13" t="s">
        <v>122</v>
      </c>
      <c r="C828" s="13" t="n">
        <v>22</v>
      </c>
      <c r="D828" s="13" t="s">
        <v>155</v>
      </c>
      <c r="E828" s="13" t="s">
        <v>45</v>
      </c>
      <c r="F828" s="13" t="n">
        <v>0</v>
      </c>
      <c r="G828" s="13" t="n">
        <v>0</v>
      </c>
      <c r="H828" s="13" t="n">
        <v>0</v>
      </c>
      <c r="I828" s="13" t="n">
        <f aca="false">H828-G828</f>
        <v>0</v>
      </c>
      <c r="J828" s="13" t="n">
        <f aca="false">H828-F828</f>
        <v>0</v>
      </c>
    </row>
    <row r="829" customFormat="false" ht="15" hidden="false" customHeight="false" outlineLevel="0" collapsed="false">
      <c r="A829" s="13" t="s">
        <v>121</v>
      </c>
      <c r="B829" s="13" t="s">
        <v>122</v>
      </c>
      <c r="C829" s="13" t="n">
        <v>22</v>
      </c>
      <c r="D829" s="13" t="s">
        <v>155</v>
      </c>
      <c r="E829" s="13" t="s">
        <v>46</v>
      </c>
      <c r="F829" s="13" t="n">
        <v>0</v>
      </c>
      <c r="G829" s="13" t="n">
        <v>0</v>
      </c>
      <c r="H829" s="13" t="n">
        <v>0</v>
      </c>
      <c r="I829" s="13" t="n">
        <f aca="false">H829-G829</f>
        <v>0</v>
      </c>
      <c r="J829" s="13" t="n">
        <f aca="false">H829-F829</f>
        <v>0</v>
      </c>
    </row>
    <row r="830" customFormat="false" ht="15" hidden="false" customHeight="false" outlineLevel="0" collapsed="false">
      <c r="A830" s="13" t="s">
        <v>123</v>
      </c>
      <c r="B830" s="13" t="s">
        <v>124</v>
      </c>
      <c r="C830" s="13" t="n">
        <v>20</v>
      </c>
      <c r="D830" s="13" t="s">
        <v>23</v>
      </c>
      <c r="E830" s="13" t="s">
        <v>22</v>
      </c>
      <c r="F830" s="13" t="n">
        <v>74</v>
      </c>
      <c r="G830" s="13" t="n">
        <v>18</v>
      </c>
      <c r="H830" s="13" t="n">
        <v>18</v>
      </c>
      <c r="I830" s="13" t="n">
        <f aca="false">H830-G830</f>
        <v>0</v>
      </c>
      <c r="J830" s="13" t="n">
        <f aca="false">H830-F830</f>
        <v>-56</v>
      </c>
    </row>
    <row r="831" customFormat="false" ht="15" hidden="false" customHeight="false" outlineLevel="0" collapsed="false">
      <c r="A831" s="13" t="s">
        <v>123</v>
      </c>
      <c r="B831" s="13" t="s">
        <v>124</v>
      </c>
      <c r="C831" s="13" t="n">
        <v>20</v>
      </c>
      <c r="D831" s="13" t="s">
        <v>23</v>
      </c>
      <c r="E831" s="13" t="s">
        <v>24</v>
      </c>
      <c r="F831" s="13" t="n">
        <v>4</v>
      </c>
      <c r="G831" s="13" t="n">
        <v>20</v>
      </c>
      <c r="H831" s="13" t="n">
        <v>20</v>
      </c>
      <c r="I831" s="13" t="n">
        <f aca="false">H831-G831</f>
        <v>0</v>
      </c>
      <c r="J831" s="13" t="n">
        <f aca="false">H831-F831</f>
        <v>16</v>
      </c>
    </row>
    <row r="832" customFormat="false" ht="15" hidden="false" customHeight="false" outlineLevel="0" collapsed="false">
      <c r="A832" s="13" t="s">
        <v>123</v>
      </c>
      <c r="B832" s="13" t="s">
        <v>124</v>
      </c>
      <c r="C832" s="13" t="n">
        <v>20</v>
      </c>
      <c r="D832" s="13" t="s">
        <v>23</v>
      </c>
      <c r="E832" s="13" t="s">
        <v>25</v>
      </c>
      <c r="F832" s="13" t="n">
        <v>110</v>
      </c>
      <c r="G832" s="13" t="n">
        <v>19</v>
      </c>
      <c r="H832" s="13" t="n">
        <v>19</v>
      </c>
      <c r="I832" s="13" t="n">
        <f aca="false">H832-G832</f>
        <v>0</v>
      </c>
      <c r="J832" s="13" t="n">
        <f aca="false">H832-F832</f>
        <v>-91</v>
      </c>
    </row>
    <row r="833" customFormat="false" ht="15" hidden="false" customHeight="false" outlineLevel="0" collapsed="false">
      <c r="A833" s="13" t="s">
        <v>123</v>
      </c>
      <c r="B833" s="13" t="s">
        <v>124</v>
      </c>
      <c r="C833" s="13" t="n">
        <v>20</v>
      </c>
      <c r="D833" s="13" t="s">
        <v>23</v>
      </c>
      <c r="E833" s="13" t="s">
        <v>26</v>
      </c>
      <c r="F833" s="13" t="n">
        <v>81</v>
      </c>
      <c r="G833" s="13" t="n">
        <v>16</v>
      </c>
      <c r="H833" s="13" t="n">
        <v>16</v>
      </c>
      <c r="I833" s="13" t="n">
        <f aca="false">H833-G833</f>
        <v>0</v>
      </c>
      <c r="J833" s="13" t="n">
        <f aca="false">H833-F833</f>
        <v>-65</v>
      </c>
    </row>
    <row r="834" customFormat="false" ht="15" hidden="false" customHeight="false" outlineLevel="0" collapsed="false">
      <c r="A834" s="13" t="s">
        <v>123</v>
      </c>
      <c r="B834" s="13" t="s">
        <v>124</v>
      </c>
      <c r="C834" s="13" t="n">
        <v>20</v>
      </c>
      <c r="D834" s="13" t="s">
        <v>23</v>
      </c>
      <c r="E834" s="13" t="s">
        <v>27</v>
      </c>
      <c r="F834" s="13" t="n">
        <v>85</v>
      </c>
      <c r="G834" s="13" t="n">
        <v>17</v>
      </c>
      <c r="H834" s="13" t="n">
        <v>17</v>
      </c>
      <c r="I834" s="13" t="n">
        <f aca="false">H834-G834</f>
        <v>0</v>
      </c>
      <c r="J834" s="13" t="n">
        <f aca="false">H834-F834</f>
        <v>-68</v>
      </c>
    </row>
    <row r="835" customFormat="false" ht="15" hidden="false" customHeight="false" outlineLevel="0" collapsed="false">
      <c r="A835" s="13" t="s">
        <v>123</v>
      </c>
      <c r="B835" s="13" t="s">
        <v>124</v>
      </c>
      <c r="C835" s="13" t="n">
        <v>20</v>
      </c>
      <c r="D835" s="13" t="s">
        <v>23</v>
      </c>
      <c r="E835" s="13" t="s">
        <v>28</v>
      </c>
      <c r="F835" s="13" t="n">
        <v>82</v>
      </c>
      <c r="G835" s="13" t="n">
        <v>17</v>
      </c>
      <c r="H835" s="13" t="n">
        <v>17</v>
      </c>
      <c r="I835" s="13" t="n">
        <f aca="false">H835-G835</f>
        <v>0</v>
      </c>
      <c r="J835" s="13" t="n">
        <f aca="false">H835-F835</f>
        <v>-65</v>
      </c>
    </row>
    <row r="836" customFormat="false" ht="15" hidden="false" customHeight="false" outlineLevel="0" collapsed="false">
      <c r="A836" s="13" t="s">
        <v>123</v>
      </c>
      <c r="B836" s="13" t="s">
        <v>124</v>
      </c>
      <c r="C836" s="13" t="n">
        <v>20</v>
      </c>
      <c r="D836" s="13" t="s">
        <v>23</v>
      </c>
      <c r="E836" s="13" t="s">
        <v>29</v>
      </c>
      <c r="F836" s="13" t="n">
        <v>0</v>
      </c>
      <c r="G836" s="13" t="n">
        <v>0</v>
      </c>
      <c r="H836" s="13" t="n">
        <v>0</v>
      </c>
      <c r="I836" s="13" t="n">
        <f aca="false">H836-G836</f>
        <v>0</v>
      </c>
      <c r="J836" s="13" t="n">
        <f aca="false">H836-F836</f>
        <v>0</v>
      </c>
    </row>
    <row r="837" customFormat="false" ht="15" hidden="false" customHeight="false" outlineLevel="0" collapsed="false">
      <c r="A837" s="13" t="s">
        <v>123</v>
      </c>
      <c r="B837" s="13" t="s">
        <v>124</v>
      </c>
      <c r="C837" s="13" t="n">
        <v>20</v>
      </c>
      <c r="D837" s="13" t="s">
        <v>23</v>
      </c>
      <c r="E837" s="13" t="s">
        <v>30</v>
      </c>
      <c r="F837" s="13" t="n">
        <v>117</v>
      </c>
      <c r="G837" s="13" t="n">
        <v>20</v>
      </c>
      <c r="H837" s="13" t="n">
        <v>20</v>
      </c>
      <c r="I837" s="13" t="n">
        <f aca="false">H837-G837</f>
        <v>0</v>
      </c>
      <c r="J837" s="13" t="n">
        <f aca="false">H837-F837</f>
        <v>-97</v>
      </c>
    </row>
    <row r="838" customFormat="false" ht="15" hidden="false" customHeight="false" outlineLevel="0" collapsed="false">
      <c r="A838" s="13" t="s">
        <v>123</v>
      </c>
      <c r="B838" s="13" t="s">
        <v>124</v>
      </c>
      <c r="C838" s="13" t="n">
        <v>20</v>
      </c>
      <c r="D838" s="13" t="s">
        <v>23</v>
      </c>
      <c r="E838" s="13" t="s">
        <v>31</v>
      </c>
      <c r="F838" s="13" t="n">
        <v>0</v>
      </c>
      <c r="G838" s="13" t="n">
        <v>12</v>
      </c>
      <c r="H838" s="13" t="n">
        <v>12</v>
      </c>
      <c r="I838" s="13" t="n">
        <f aca="false">H838-G838</f>
        <v>0</v>
      </c>
      <c r="J838" s="13" t="n">
        <f aca="false">H838-F838</f>
        <v>12</v>
      </c>
    </row>
    <row r="839" customFormat="false" ht="15" hidden="false" customHeight="false" outlineLevel="0" collapsed="false">
      <c r="A839" s="13" t="s">
        <v>123</v>
      </c>
      <c r="B839" s="13" t="s">
        <v>124</v>
      </c>
      <c r="C839" s="13" t="n">
        <v>20</v>
      </c>
      <c r="D839" s="13" t="s">
        <v>23</v>
      </c>
      <c r="E839" s="13" t="s">
        <v>32</v>
      </c>
      <c r="F839" s="13" t="n">
        <v>0</v>
      </c>
      <c r="G839" s="13" t="n">
        <v>1</v>
      </c>
      <c r="H839" s="13" t="n">
        <v>1</v>
      </c>
      <c r="I839" s="13" t="n">
        <f aca="false">H839-G839</f>
        <v>0</v>
      </c>
      <c r="J839" s="13" t="n">
        <f aca="false">H839-F839</f>
        <v>1</v>
      </c>
    </row>
    <row r="840" customFormat="false" ht="15" hidden="false" customHeight="false" outlineLevel="0" collapsed="false">
      <c r="A840" s="13" t="s">
        <v>123</v>
      </c>
      <c r="B840" s="13" t="s">
        <v>124</v>
      </c>
      <c r="C840" s="13" t="n">
        <v>20</v>
      </c>
      <c r="D840" s="13" t="s">
        <v>23</v>
      </c>
      <c r="E840" s="13" t="s">
        <v>33</v>
      </c>
      <c r="F840" s="13" t="n">
        <v>0</v>
      </c>
      <c r="G840" s="13" t="n">
        <v>0</v>
      </c>
      <c r="H840" s="13" t="n">
        <v>0</v>
      </c>
      <c r="I840" s="13" t="n">
        <f aca="false">H840-G840</f>
        <v>0</v>
      </c>
      <c r="J840" s="13" t="n">
        <f aca="false">H840-F840</f>
        <v>0</v>
      </c>
    </row>
    <row r="841" customFormat="false" ht="15" hidden="false" customHeight="false" outlineLevel="0" collapsed="false">
      <c r="A841" s="13" t="s">
        <v>123</v>
      </c>
      <c r="B841" s="13" t="s">
        <v>124</v>
      </c>
      <c r="C841" s="13" t="n">
        <v>20</v>
      </c>
      <c r="D841" s="13" t="s">
        <v>23</v>
      </c>
      <c r="E841" s="13" t="s">
        <v>34</v>
      </c>
      <c r="F841" s="13" t="n">
        <v>1</v>
      </c>
      <c r="G841" s="13" t="n">
        <v>0</v>
      </c>
      <c r="H841" s="13" t="n">
        <v>0</v>
      </c>
      <c r="I841" s="13" t="n">
        <f aca="false">H841-G841</f>
        <v>0</v>
      </c>
      <c r="J841" s="13" t="n">
        <f aca="false">H841-F841</f>
        <v>-1</v>
      </c>
    </row>
    <row r="842" customFormat="false" ht="15" hidden="false" customHeight="false" outlineLevel="0" collapsed="false">
      <c r="A842" s="13" t="s">
        <v>123</v>
      </c>
      <c r="B842" s="13" t="s">
        <v>124</v>
      </c>
      <c r="C842" s="13" t="n">
        <v>20</v>
      </c>
      <c r="D842" s="13" t="s">
        <v>23</v>
      </c>
      <c r="E842" s="13" t="s">
        <v>35</v>
      </c>
      <c r="F842" s="13" t="n">
        <v>0</v>
      </c>
      <c r="G842" s="13" t="n">
        <v>0</v>
      </c>
      <c r="H842" s="13" t="n">
        <v>0</v>
      </c>
      <c r="I842" s="13" t="n">
        <f aca="false">H842-G842</f>
        <v>0</v>
      </c>
      <c r="J842" s="13" t="n">
        <f aca="false">H842-F842</f>
        <v>0</v>
      </c>
    </row>
    <row r="843" customFormat="false" ht="15" hidden="false" customHeight="false" outlineLevel="0" collapsed="false">
      <c r="A843" s="13" t="s">
        <v>123</v>
      </c>
      <c r="B843" s="13" t="s">
        <v>124</v>
      </c>
      <c r="C843" s="13" t="n">
        <v>20</v>
      </c>
      <c r="D843" s="13" t="s">
        <v>23</v>
      </c>
      <c r="E843" s="13" t="s">
        <v>36</v>
      </c>
      <c r="F843" s="13" t="n">
        <v>0</v>
      </c>
      <c r="G843" s="13" t="n">
        <v>0</v>
      </c>
      <c r="H843" s="13" t="n">
        <v>0</v>
      </c>
      <c r="I843" s="13" t="n">
        <f aca="false">H843-G843</f>
        <v>0</v>
      </c>
      <c r="J843" s="13" t="n">
        <f aca="false">H843-F843</f>
        <v>0</v>
      </c>
    </row>
    <row r="844" customFormat="false" ht="15" hidden="false" customHeight="false" outlineLevel="0" collapsed="false">
      <c r="A844" s="13" t="s">
        <v>123</v>
      </c>
      <c r="B844" s="13" t="s">
        <v>124</v>
      </c>
      <c r="C844" s="13" t="n">
        <v>20</v>
      </c>
      <c r="D844" s="13" t="s">
        <v>155</v>
      </c>
      <c r="E844" s="13" t="s">
        <v>37</v>
      </c>
      <c r="F844" s="13" t="n">
        <v>1</v>
      </c>
      <c r="G844" s="13" t="n">
        <v>1</v>
      </c>
      <c r="H844" s="13" t="n">
        <v>1</v>
      </c>
      <c r="I844" s="13" t="n">
        <f aca="false">H844-G844</f>
        <v>0</v>
      </c>
      <c r="J844" s="13" t="n">
        <f aca="false">H844-F844</f>
        <v>0</v>
      </c>
    </row>
    <row r="845" customFormat="false" ht="15" hidden="false" customHeight="false" outlineLevel="0" collapsed="false">
      <c r="A845" s="13" t="s">
        <v>123</v>
      </c>
      <c r="B845" s="13" t="s">
        <v>124</v>
      </c>
      <c r="C845" s="13" t="n">
        <v>20</v>
      </c>
      <c r="D845" s="13" t="s">
        <v>155</v>
      </c>
      <c r="E845" s="13" t="s">
        <v>39</v>
      </c>
      <c r="F845" s="13" t="n">
        <v>0</v>
      </c>
      <c r="G845" s="13" t="n">
        <v>0</v>
      </c>
      <c r="H845" s="13" t="n">
        <v>0</v>
      </c>
      <c r="I845" s="13" t="n">
        <f aca="false">H845-G845</f>
        <v>0</v>
      </c>
      <c r="J845" s="13" t="n">
        <f aca="false">H845-F845</f>
        <v>0</v>
      </c>
    </row>
    <row r="846" customFormat="false" ht="15" hidden="false" customHeight="false" outlineLevel="0" collapsed="false">
      <c r="A846" s="13" t="s">
        <v>123</v>
      </c>
      <c r="B846" s="13" t="s">
        <v>124</v>
      </c>
      <c r="C846" s="13" t="n">
        <v>20</v>
      </c>
      <c r="D846" s="13" t="s">
        <v>155</v>
      </c>
      <c r="E846" s="13" t="s">
        <v>40</v>
      </c>
      <c r="F846" s="13" t="n">
        <v>1</v>
      </c>
      <c r="G846" s="13" t="n">
        <v>1</v>
      </c>
      <c r="H846" s="13" t="n">
        <v>1</v>
      </c>
      <c r="I846" s="13" t="n">
        <f aca="false">H846-G846</f>
        <v>0</v>
      </c>
      <c r="J846" s="13" t="n">
        <f aca="false">H846-F846</f>
        <v>0</v>
      </c>
    </row>
    <row r="847" customFormat="false" ht="15" hidden="false" customHeight="false" outlineLevel="0" collapsed="false">
      <c r="A847" s="13" t="s">
        <v>123</v>
      </c>
      <c r="B847" s="13" t="s">
        <v>124</v>
      </c>
      <c r="C847" s="13" t="n">
        <v>20</v>
      </c>
      <c r="D847" s="13" t="s">
        <v>155</v>
      </c>
      <c r="E847" s="13" t="s">
        <v>41</v>
      </c>
      <c r="F847" s="13" t="n">
        <v>0</v>
      </c>
      <c r="G847" s="13" t="n">
        <v>0</v>
      </c>
      <c r="H847" s="13" t="n">
        <v>0</v>
      </c>
      <c r="I847" s="13" t="n">
        <f aca="false">H847-G847</f>
        <v>0</v>
      </c>
      <c r="J847" s="13" t="n">
        <f aca="false">H847-F847</f>
        <v>0</v>
      </c>
    </row>
    <row r="848" customFormat="false" ht="15" hidden="false" customHeight="false" outlineLevel="0" collapsed="false">
      <c r="A848" s="13" t="s">
        <v>123</v>
      </c>
      <c r="B848" s="13" t="s">
        <v>124</v>
      </c>
      <c r="C848" s="13" t="n">
        <v>20</v>
      </c>
      <c r="D848" s="13" t="s">
        <v>155</v>
      </c>
      <c r="E848" s="13" t="s">
        <v>42</v>
      </c>
      <c r="F848" s="13" t="n">
        <v>1</v>
      </c>
      <c r="G848" s="13" t="n">
        <v>1</v>
      </c>
      <c r="H848" s="13" t="n">
        <v>1</v>
      </c>
      <c r="I848" s="13" t="n">
        <f aca="false">H848-G848</f>
        <v>0</v>
      </c>
      <c r="J848" s="13" t="n">
        <f aca="false">H848-F848</f>
        <v>0</v>
      </c>
    </row>
    <row r="849" customFormat="false" ht="15" hidden="false" customHeight="false" outlineLevel="0" collapsed="false">
      <c r="A849" s="13" t="s">
        <v>123</v>
      </c>
      <c r="B849" s="13" t="s">
        <v>124</v>
      </c>
      <c r="C849" s="13" t="n">
        <v>20</v>
      </c>
      <c r="D849" s="13" t="s">
        <v>155</v>
      </c>
      <c r="E849" s="13" t="s">
        <v>43</v>
      </c>
      <c r="F849" s="13" t="n">
        <v>1</v>
      </c>
      <c r="G849" s="13" t="n">
        <v>1</v>
      </c>
      <c r="H849" s="13" t="n">
        <v>1</v>
      </c>
      <c r="I849" s="13" t="n">
        <f aca="false">H849-G849</f>
        <v>0</v>
      </c>
      <c r="J849" s="13" t="n">
        <f aca="false">H849-F849</f>
        <v>0</v>
      </c>
    </row>
    <row r="850" customFormat="false" ht="15" hidden="false" customHeight="false" outlineLevel="0" collapsed="false">
      <c r="A850" s="13" t="s">
        <v>123</v>
      </c>
      <c r="B850" s="13" t="s">
        <v>124</v>
      </c>
      <c r="C850" s="13" t="n">
        <v>20</v>
      </c>
      <c r="D850" s="13" t="s">
        <v>155</v>
      </c>
      <c r="E850" s="13" t="s">
        <v>44</v>
      </c>
      <c r="F850" s="13" t="n">
        <v>0</v>
      </c>
      <c r="G850" s="13" t="n">
        <v>0</v>
      </c>
      <c r="H850" s="13" t="n">
        <v>0</v>
      </c>
      <c r="I850" s="13" t="n">
        <f aca="false">H850-G850</f>
        <v>0</v>
      </c>
      <c r="J850" s="13" t="n">
        <f aca="false">H850-F850</f>
        <v>0</v>
      </c>
    </row>
    <row r="851" customFormat="false" ht="15" hidden="false" customHeight="false" outlineLevel="0" collapsed="false">
      <c r="A851" s="13" t="s">
        <v>123</v>
      </c>
      <c r="B851" s="13" t="s">
        <v>124</v>
      </c>
      <c r="C851" s="13" t="n">
        <v>20</v>
      </c>
      <c r="D851" s="13" t="s">
        <v>155</v>
      </c>
      <c r="E851" s="13" t="s">
        <v>45</v>
      </c>
      <c r="F851" s="13" t="n">
        <v>0</v>
      </c>
      <c r="G851" s="13" t="n">
        <v>0</v>
      </c>
      <c r="H851" s="13" t="n">
        <v>0</v>
      </c>
      <c r="I851" s="13" t="n">
        <f aca="false">H851-G851</f>
        <v>0</v>
      </c>
      <c r="J851" s="13" t="n">
        <f aca="false">H851-F851</f>
        <v>0</v>
      </c>
    </row>
    <row r="852" customFormat="false" ht="15" hidden="false" customHeight="false" outlineLevel="0" collapsed="false">
      <c r="A852" s="13" t="s">
        <v>123</v>
      </c>
      <c r="B852" s="13" t="s">
        <v>124</v>
      </c>
      <c r="C852" s="13" t="n">
        <v>20</v>
      </c>
      <c r="D852" s="13" t="s">
        <v>155</v>
      </c>
      <c r="E852" s="13" t="s">
        <v>46</v>
      </c>
      <c r="F852" s="13" t="n">
        <v>0</v>
      </c>
      <c r="G852" s="13" t="n">
        <v>0</v>
      </c>
      <c r="H852" s="13" t="n">
        <v>0</v>
      </c>
      <c r="I852" s="13" t="n">
        <f aca="false">H852-G852</f>
        <v>0</v>
      </c>
      <c r="J852" s="13" t="n">
        <f aca="false">H852-F852</f>
        <v>0</v>
      </c>
    </row>
    <row r="853" customFormat="false" ht="15" hidden="false" customHeight="false" outlineLevel="0" collapsed="false">
      <c r="A853" s="13" t="s">
        <v>125</v>
      </c>
      <c r="B853" s="13" t="s">
        <v>126</v>
      </c>
      <c r="C853" s="13" t="n">
        <v>18</v>
      </c>
      <c r="D853" s="13" t="s">
        <v>23</v>
      </c>
      <c r="E853" s="13" t="s">
        <v>22</v>
      </c>
      <c r="F853" s="13" t="n">
        <v>18</v>
      </c>
      <c r="G853" s="13" t="n">
        <v>18</v>
      </c>
      <c r="H853" s="13" t="n">
        <v>18</v>
      </c>
      <c r="I853" s="13" t="n">
        <f aca="false">H853-G853</f>
        <v>0</v>
      </c>
      <c r="J853" s="13" t="n">
        <f aca="false">H853-F853</f>
        <v>0</v>
      </c>
    </row>
    <row r="854" customFormat="false" ht="15" hidden="false" customHeight="false" outlineLevel="0" collapsed="false">
      <c r="A854" s="13" t="s">
        <v>125</v>
      </c>
      <c r="B854" s="13" t="s">
        <v>126</v>
      </c>
      <c r="C854" s="13" t="n">
        <v>18</v>
      </c>
      <c r="D854" s="13" t="s">
        <v>23</v>
      </c>
      <c r="E854" s="13" t="s">
        <v>24</v>
      </c>
      <c r="F854" s="13" t="n">
        <v>18</v>
      </c>
      <c r="G854" s="13" t="n">
        <v>18</v>
      </c>
      <c r="H854" s="13" t="n">
        <v>18</v>
      </c>
      <c r="I854" s="13" t="n">
        <f aca="false">H854-G854</f>
        <v>0</v>
      </c>
      <c r="J854" s="13" t="n">
        <f aca="false">H854-F854</f>
        <v>0</v>
      </c>
    </row>
    <row r="855" customFormat="false" ht="15" hidden="false" customHeight="false" outlineLevel="0" collapsed="false">
      <c r="A855" s="13" t="s">
        <v>125</v>
      </c>
      <c r="B855" s="13" t="s">
        <v>126</v>
      </c>
      <c r="C855" s="13" t="n">
        <v>18</v>
      </c>
      <c r="D855" s="13" t="s">
        <v>23</v>
      </c>
      <c r="E855" s="13" t="s">
        <v>25</v>
      </c>
      <c r="F855" s="13" t="n">
        <v>17</v>
      </c>
      <c r="G855" s="13" t="n">
        <v>17</v>
      </c>
      <c r="H855" s="13" t="n">
        <v>17</v>
      </c>
      <c r="I855" s="13" t="n">
        <f aca="false">H855-G855</f>
        <v>0</v>
      </c>
      <c r="J855" s="13" t="n">
        <f aca="false">H855-F855</f>
        <v>0</v>
      </c>
    </row>
    <row r="856" customFormat="false" ht="15" hidden="false" customHeight="false" outlineLevel="0" collapsed="false">
      <c r="A856" s="13" t="s">
        <v>125</v>
      </c>
      <c r="B856" s="13" t="s">
        <v>126</v>
      </c>
      <c r="C856" s="13" t="n">
        <v>18</v>
      </c>
      <c r="D856" s="13" t="s">
        <v>23</v>
      </c>
      <c r="E856" s="13" t="s">
        <v>26</v>
      </c>
      <c r="F856" s="13" t="n">
        <v>18</v>
      </c>
      <c r="G856" s="13" t="n">
        <v>18</v>
      </c>
      <c r="H856" s="13" t="n">
        <v>18</v>
      </c>
      <c r="I856" s="13" t="n">
        <f aca="false">H856-G856</f>
        <v>0</v>
      </c>
      <c r="J856" s="13" t="n">
        <f aca="false">H856-F856</f>
        <v>0</v>
      </c>
    </row>
    <row r="857" customFormat="false" ht="15" hidden="false" customHeight="false" outlineLevel="0" collapsed="false">
      <c r="A857" s="13" t="s">
        <v>125</v>
      </c>
      <c r="B857" s="13" t="s">
        <v>126</v>
      </c>
      <c r="C857" s="13" t="n">
        <v>18</v>
      </c>
      <c r="D857" s="13" t="s">
        <v>23</v>
      </c>
      <c r="E857" s="13" t="s">
        <v>27</v>
      </c>
      <c r="F857" s="13" t="n">
        <v>10</v>
      </c>
      <c r="G857" s="13" t="n">
        <v>10</v>
      </c>
      <c r="H857" s="13" t="n">
        <v>10</v>
      </c>
      <c r="I857" s="13" t="n">
        <f aca="false">H857-G857</f>
        <v>0</v>
      </c>
      <c r="J857" s="13" t="n">
        <f aca="false">H857-F857</f>
        <v>0</v>
      </c>
    </row>
    <row r="858" customFormat="false" ht="15" hidden="false" customHeight="false" outlineLevel="0" collapsed="false">
      <c r="A858" s="13" t="s">
        <v>125</v>
      </c>
      <c r="B858" s="13" t="s">
        <v>126</v>
      </c>
      <c r="C858" s="13" t="n">
        <v>18</v>
      </c>
      <c r="D858" s="13" t="s">
        <v>23</v>
      </c>
      <c r="E858" s="13" t="s">
        <v>28</v>
      </c>
      <c r="F858" s="13" t="n">
        <v>0</v>
      </c>
      <c r="G858" s="13" t="n">
        <v>0</v>
      </c>
      <c r="H858" s="13" t="n">
        <v>0</v>
      </c>
      <c r="I858" s="13" t="n">
        <f aca="false">H858-G858</f>
        <v>0</v>
      </c>
      <c r="J858" s="13" t="n">
        <f aca="false">H858-F858</f>
        <v>0</v>
      </c>
    </row>
    <row r="859" customFormat="false" ht="15" hidden="false" customHeight="false" outlineLevel="0" collapsed="false">
      <c r="A859" s="13" t="s">
        <v>125</v>
      </c>
      <c r="B859" s="13" t="s">
        <v>126</v>
      </c>
      <c r="C859" s="13" t="n">
        <v>18</v>
      </c>
      <c r="D859" s="13" t="s">
        <v>23</v>
      </c>
      <c r="E859" s="13" t="s">
        <v>29</v>
      </c>
      <c r="F859" s="13" t="n">
        <v>0</v>
      </c>
      <c r="G859" s="13" t="n">
        <v>0</v>
      </c>
      <c r="H859" s="13" t="n">
        <v>0</v>
      </c>
      <c r="I859" s="13" t="n">
        <f aca="false">H859-G859</f>
        <v>0</v>
      </c>
      <c r="J859" s="13" t="n">
        <f aca="false">H859-F859</f>
        <v>0</v>
      </c>
    </row>
    <row r="860" customFormat="false" ht="15" hidden="false" customHeight="false" outlineLevel="0" collapsed="false">
      <c r="A860" s="13" t="s">
        <v>125</v>
      </c>
      <c r="B860" s="13" t="s">
        <v>126</v>
      </c>
      <c r="C860" s="13" t="n">
        <v>18</v>
      </c>
      <c r="D860" s="13" t="s">
        <v>23</v>
      </c>
      <c r="E860" s="13" t="s">
        <v>30</v>
      </c>
      <c r="F860" s="13" t="n">
        <v>18</v>
      </c>
      <c r="G860" s="13" t="n">
        <v>18</v>
      </c>
      <c r="H860" s="13" t="n">
        <v>18</v>
      </c>
      <c r="I860" s="13" t="n">
        <f aca="false">H860-G860</f>
        <v>0</v>
      </c>
      <c r="J860" s="13" t="n">
        <f aca="false">H860-F860</f>
        <v>0</v>
      </c>
    </row>
    <row r="861" customFormat="false" ht="15" hidden="false" customHeight="false" outlineLevel="0" collapsed="false">
      <c r="A861" s="13" t="s">
        <v>125</v>
      </c>
      <c r="B861" s="13" t="s">
        <v>126</v>
      </c>
      <c r="C861" s="13" t="n">
        <v>18</v>
      </c>
      <c r="D861" s="13" t="s">
        <v>23</v>
      </c>
      <c r="E861" s="13" t="s">
        <v>31</v>
      </c>
      <c r="F861" s="13" t="n">
        <v>0</v>
      </c>
      <c r="G861" s="13" t="n">
        <v>0</v>
      </c>
      <c r="H861" s="13" t="n">
        <v>0</v>
      </c>
      <c r="I861" s="13" t="n">
        <f aca="false">H861-G861</f>
        <v>0</v>
      </c>
      <c r="J861" s="13" t="n">
        <f aca="false">H861-F861</f>
        <v>0</v>
      </c>
    </row>
    <row r="862" customFormat="false" ht="15" hidden="false" customHeight="false" outlineLevel="0" collapsed="false">
      <c r="A862" s="13" t="s">
        <v>125</v>
      </c>
      <c r="B862" s="13" t="s">
        <v>126</v>
      </c>
      <c r="C862" s="13" t="n">
        <v>18</v>
      </c>
      <c r="D862" s="13" t="s">
        <v>23</v>
      </c>
      <c r="E862" s="13" t="s">
        <v>32</v>
      </c>
      <c r="F862" s="13" t="n">
        <v>0</v>
      </c>
      <c r="G862" s="13" t="n">
        <v>0</v>
      </c>
      <c r="H862" s="13" t="n">
        <v>0</v>
      </c>
      <c r="I862" s="13" t="n">
        <f aca="false">H862-G862</f>
        <v>0</v>
      </c>
      <c r="J862" s="13" t="n">
        <f aca="false">H862-F862</f>
        <v>0</v>
      </c>
    </row>
    <row r="863" customFormat="false" ht="15" hidden="false" customHeight="false" outlineLevel="0" collapsed="false">
      <c r="A863" s="13" t="s">
        <v>125</v>
      </c>
      <c r="B863" s="13" t="s">
        <v>126</v>
      </c>
      <c r="C863" s="13" t="n">
        <v>18</v>
      </c>
      <c r="D863" s="13" t="s">
        <v>23</v>
      </c>
      <c r="E863" s="13" t="s">
        <v>33</v>
      </c>
      <c r="F863" s="13" t="n">
        <v>0</v>
      </c>
      <c r="G863" s="13" t="n">
        <v>0</v>
      </c>
      <c r="H863" s="13" t="n">
        <v>0</v>
      </c>
      <c r="I863" s="13" t="n">
        <f aca="false">H863-G863</f>
        <v>0</v>
      </c>
      <c r="J863" s="13" t="n">
        <f aca="false">H863-F863</f>
        <v>0</v>
      </c>
    </row>
    <row r="864" customFormat="false" ht="15" hidden="false" customHeight="false" outlineLevel="0" collapsed="false">
      <c r="A864" s="13" t="s">
        <v>125</v>
      </c>
      <c r="B864" s="13" t="s">
        <v>126</v>
      </c>
      <c r="C864" s="13" t="n">
        <v>18</v>
      </c>
      <c r="D864" s="13" t="s">
        <v>23</v>
      </c>
      <c r="E864" s="13" t="s">
        <v>34</v>
      </c>
      <c r="F864" s="13" t="n">
        <v>17</v>
      </c>
      <c r="G864" s="13" t="n">
        <v>17</v>
      </c>
      <c r="H864" s="13" t="n">
        <v>17</v>
      </c>
      <c r="I864" s="13" t="n">
        <f aca="false">H864-G864</f>
        <v>0</v>
      </c>
      <c r="J864" s="13" t="n">
        <f aca="false">H864-F864</f>
        <v>0</v>
      </c>
    </row>
    <row r="865" customFormat="false" ht="15" hidden="false" customHeight="false" outlineLevel="0" collapsed="false">
      <c r="A865" s="13" t="s">
        <v>125</v>
      </c>
      <c r="B865" s="13" t="s">
        <v>126</v>
      </c>
      <c r="C865" s="13" t="n">
        <v>18</v>
      </c>
      <c r="D865" s="13" t="s">
        <v>23</v>
      </c>
      <c r="E865" s="13" t="s">
        <v>35</v>
      </c>
      <c r="F865" s="13" t="n">
        <v>0</v>
      </c>
      <c r="G865" s="13" t="n">
        <v>0</v>
      </c>
      <c r="H865" s="13" t="n">
        <v>0</v>
      </c>
      <c r="I865" s="13" t="n">
        <f aca="false">H865-G865</f>
        <v>0</v>
      </c>
      <c r="J865" s="13" t="n">
        <f aca="false">H865-F865</f>
        <v>0</v>
      </c>
    </row>
    <row r="866" customFormat="false" ht="15" hidden="false" customHeight="false" outlineLevel="0" collapsed="false">
      <c r="A866" s="13" t="s">
        <v>125</v>
      </c>
      <c r="B866" s="13" t="s">
        <v>126</v>
      </c>
      <c r="C866" s="13" t="n">
        <v>18</v>
      </c>
      <c r="D866" s="13" t="s">
        <v>23</v>
      </c>
      <c r="E866" s="13" t="s">
        <v>36</v>
      </c>
      <c r="F866" s="13" t="n">
        <v>0</v>
      </c>
      <c r="G866" s="13" t="n">
        <v>0</v>
      </c>
      <c r="H866" s="13" t="n">
        <v>0</v>
      </c>
      <c r="I866" s="13" t="n">
        <f aca="false">H866-G866</f>
        <v>0</v>
      </c>
      <c r="J866" s="13" t="n">
        <f aca="false">H866-F866</f>
        <v>0</v>
      </c>
    </row>
    <row r="867" customFormat="false" ht="15" hidden="false" customHeight="false" outlineLevel="0" collapsed="false">
      <c r="A867" s="13" t="s">
        <v>125</v>
      </c>
      <c r="B867" s="13" t="s">
        <v>126</v>
      </c>
      <c r="C867" s="13" t="n">
        <v>18</v>
      </c>
      <c r="D867" s="13" t="s">
        <v>155</v>
      </c>
      <c r="E867" s="13" t="s">
        <v>37</v>
      </c>
      <c r="F867" s="13" t="n">
        <v>1</v>
      </c>
      <c r="G867" s="13" t="n">
        <v>1</v>
      </c>
      <c r="H867" s="13" t="n">
        <v>1</v>
      </c>
      <c r="I867" s="13" t="n">
        <f aca="false">H867-G867</f>
        <v>0</v>
      </c>
      <c r="J867" s="13" t="n">
        <f aca="false">H867-F867</f>
        <v>0</v>
      </c>
    </row>
    <row r="868" customFormat="false" ht="15" hidden="false" customHeight="false" outlineLevel="0" collapsed="false">
      <c r="A868" s="13" t="s">
        <v>125</v>
      </c>
      <c r="B868" s="13" t="s">
        <v>126</v>
      </c>
      <c r="C868" s="13" t="n">
        <v>18</v>
      </c>
      <c r="D868" s="13" t="s">
        <v>155</v>
      </c>
      <c r="E868" s="13" t="s">
        <v>39</v>
      </c>
      <c r="F868" s="13" t="n">
        <v>0</v>
      </c>
      <c r="G868" s="13" t="n">
        <v>0</v>
      </c>
      <c r="H868" s="13" t="n">
        <v>0</v>
      </c>
      <c r="I868" s="13" t="n">
        <f aca="false">H868-G868</f>
        <v>0</v>
      </c>
      <c r="J868" s="13" t="n">
        <f aca="false">H868-F868</f>
        <v>0</v>
      </c>
    </row>
    <row r="869" customFormat="false" ht="15" hidden="false" customHeight="false" outlineLevel="0" collapsed="false">
      <c r="A869" s="13" t="s">
        <v>125</v>
      </c>
      <c r="B869" s="13" t="s">
        <v>126</v>
      </c>
      <c r="C869" s="13" t="n">
        <v>18</v>
      </c>
      <c r="D869" s="13" t="s">
        <v>155</v>
      </c>
      <c r="E869" s="13" t="s">
        <v>40</v>
      </c>
      <c r="F869" s="13" t="n">
        <v>0</v>
      </c>
      <c r="G869" s="13" t="n">
        <v>0</v>
      </c>
      <c r="H869" s="13" t="n">
        <v>0</v>
      </c>
      <c r="I869" s="13" t="n">
        <f aca="false">H869-G869</f>
        <v>0</v>
      </c>
      <c r="J869" s="13" t="n">
        <f aca="false">H869-F869</f>
        <v>0</v>
      </c>
    </row>
    <row r="870" customFormat="false" ht="15" hidden="false" customHeight="false" outlineLevel="0" collapsed="false">
      <c r="A870" s="13" t="s">
        <v>125</v>
      </c>
      <c r="B870" s="13" t="s">
        <v>126</v>
      </c>
      <c r="C870" s="13" t="n">
        <v>18</v>
      </c>
      <c r="D870" s="13" t="s">
        <v>155</v>
      </c>
      <c r="E870" s="13" t="s">
        <v>41</v>
      </c>
      <c r="F870" s="13" t="n">
        <v>0</v>
      </c>
      <c r="G870" s="13" t="n">
        <v>0</v>
      </c>
      <c r="H870" s="13" t="n">
        <v>0</v>
      </c>
      <c r="I870" s="13" t="n">
        <f aca="false">H870-G870</f>
        <v>0</v>
      </c>
      <c r="J870" s="13" t="n">
        <f aca="false">H870-F870</f>
        <v>0</v>
      </c>
    </row>
    <row r="871" customFormat="false" ht="15" hidden="false" customHeight="false" outlineLevel="0" collapsed="false">
      <c r="A871" s="13" t="s">
        <v>125</v>
      </c>
      <c r="B871" s="13" t="s">
        <v>126</v>
      </c>
      <c r="C871" s="13" t="n">
        <v>18</v>
      </c>
      <c r="D871" s="13" t="s">
        <v>155</v>
      </c>
      <c r="E871" s="13" t="s">
        <v>42</v>
      </c>
      <c r="F871" s="13" t="n">
        <v>1</v>
      </c>
      <c r="G871" s="13" t="n">
        <v>1</v>
      </c>
      <c r="H871" s="13" t="n">
        <v>1</v>
      </c>
      <c r="I871" s="13" t="n">
        <f aca="false">H871-G871</f>
        <v>0</v>
      </c>
      <c r="J871" s="13" t="n">
        <f aca="false">H871-F871</f>
        <v>0</v>
      </c>
    </row>
    <row r="872" customFormat="false" ht="15" hidden="false" customHeight="false" outlineLevel="0" collapsed="false">
      <c r="A872" s="13" t="s">
        <v>125</v>
      </c>
      <c r="B872" s="13" t="s">
        <v>126</v>
      </c>
      <c r="C872" s="13" t="n">
        <v>18</v>
      </c>
      <c r="D872" s="13" t="s">
        <v>155</v>
      </c>
      <c r="E872" s="13" t="s">
        <v>43</v>
      </c>
      <c r="F872" s="13" t="n">
        <v>1</v>
      </c>
      <c r="G872" s="13" t="n">
        <v>1</v>
      </c>
      <c r="H872" s="13" t="n">
        <v>1</v>
      </c>
      <c r="I872" s="13" t="n">
        <f aca="false">H872-G872</f>
        <v>0</v>
      </c>
      <c r="J872" s="13" t="n">
        <f aca="false">H872-F872</f>
        <v>0</v>
      </c>
    </row>
    <row r="873" customFormat="false" ht="15" hidden="false" customHeight="false" outlineLevel="0" collapsed="false">
      <c r="A873" s="13" t="s">
        <v>125</v>
      </c>
      <c r="B873" s="13" t="s">
        <v>126</v>
      </c>
      <c r="C873" s="13" t="n">
        <v>18</v>
      </c>
      <c r="D873" s="13" t="s">
        <v>155</v>
      </c>
      <c r="E873" s="13" t="s">
        <v>44</v>
      </c>
      <c r="F873" s="13" t="n">
        <v>1</v>
      </c>
      <c r="G873" s="13" t="n">
        <v>1</v>
      </c>
      <c r="H873" s="13" t="n">
        <v>1</v>
      </c>
      <c r="I873" s="13" t="n">
        <f aca="false">H873-G873</f>
        <v>0</v>
      </c>
      <c r="J873" s="13" t="n">
        <f aca="false">H873-F873</f>
        <v>0</v>
      </c>
    </row>
    <row r="874" customFormat="false" ht="15" hidden="false" customHeight="false" outlineLevel="0" collapsed="false">
      <c r="A874" s="13" t="s">
        <v>125</v>
      </c>
      <c r="B874" s="13" t="s">
        <v>126</v>
      </c>
      <c r="C874" s="13" t="n">
        <v>18</v>
      </c>
      <c r="D874" s="13" t="s">
        <v>155</v>
      </c>
      <c r="E874" s="13" t="s">
        <v>45</v>
      </c>
      <c r="F874" s="13" t="n">
        <v>1</v>
      </c>
      <c r="G874" s="13" t="n">
        <v>1</v>
      </c>
      <c r="H874" s="13" t="n">
        <v>1</v>
      </c>
      <c r="I874" s="13" t="n">
        <f aca="false">H874-G874</f>
        <v>0</v>
      </c>
      <c r="J874" s="13" t="n">
        <f aca="false">H874-F874</f>
        <v>0</v>
      </c>
    </row>
    <row r="875" customFormat="false" ht="15" hidden="false" customHeight="false" outlineLevel="0" collapsed="false">
      <c r="A875" s="13" t="s">
        <v>125</v>
      </c>
      <c r="B875" s="13" t="s">
        <v>126</v>
      </c>
      <c r="C875" s="13" t="n">
        <v>18</v>
      </c>
      <c r="D875" s="13" t="s">
        <v>155</v>
      </c>
      <c r="E875" s="13" t="s">
        <v>46</v>
      </c>
      <c r="F875" s="13" t="n">
        <v>0</v>
      </c>
      <c r="G875" s="13" t="n">
        <v>0</v>
      </c>
      <c r="H875" s="13" t="n">
        <v>0</v>
      </c>
      <c r="I875" s="13" t="n">
        <f aca="false">H875-G875</f>
        <v>0</v>
      </c>
      <c r="J875" s="13" t="n">
        <f aca="false">H875-F875</f>
        <v>0</v>
      </c>
    </row>
    <row r="876" customFormat="false" ht="15" hidden="false" customHeight="false" outlineLevel="0" collapsed="false">
      <c r="A876" s="13" t="s">
        <v>127</v>
      </c>
      <c r="B876" s="13" t="s">
        <v>128</v>
      </c>
      <c r="C876" s="13" t="n">
        <v>14</v>
      </c>
      <c r="D876" s="13" t="s">
        <v>23</v>
      </c>
      <c r="E876" s="13" t="s">
        <v>22</v>
      </c>
      <c r="F876" s="13" t="n">
        <v>1</v>
      </c>
      <c r="G876" s="13" t="n">
        <v>13</v>
      </c>
      <c r="H876" s="13" t="n">
        <v>13</v>
      </c>
      <c r="I876" s="13" t="n">
        <f aca="false">H876-G876</f>
        <v>0</v>
      </c>
      <c r="J876" s="13" t="n">
        <f aca="false">H876-F876</f>
        <v>12</v>
      </c>
    </row>
    <row r="877" customFormat="false" ht="15" hidden="false" customHeight="false" outlineLevel="0" collapsed="false">
      <c r="A877" s="13" t="s">
        <v>127</v>
      </c>
      <c r="B877" s="13" t="s">
        <v>128</v>
      </c>
      <c r="C877" s="13" t="n">
        <v>14</v>
      </c>
      <c r="D877" s="13" t="s">
        <v>23</v>
      </c>
      <c r="E877" s="13" t="s">
        <v>24</v>
      </c>
      <c r="F877" s="13" t="n">
        <v>2</v>
      </c>
      <c r="G877" s="13" t="n">
        <v>14</v>
      </c>
      <c r="H877" s="13" t="n">
        <v>14</v>
      </c>
      <c r="I877" s="13" t="n">
        <f aca="false">H877-G877</f>
        <v>0</v>
      </c>
      <c r="J877" s="13" t="n">
        <f aca="false">H877-F877</f>
        <v>12</v>
      </c>
    </row>
    <row r="878" customFormat="false" ht="15" hidden="false" customHeight="false" outlineLevel="0" collapsed="false">
      <c r="A878" s="13" t="s">
        <v>127</v>
      </c>
      <c r="B878" s="13" t="s">
        <v>128</v>
      </c>
      <c r="C878" s="13" t="n">
        <v>14</v>
      </c>
      <c r="D878" s="13" t="s">
        <v>23</v>
      </c>
      <c r="E878" s="13" t="s">
        <v>25</v>
      </c>
      <c r="F878" s="13" t="n">
        <v>2</v>
      </c>
      <c r="G878" s="13" t="n">
        <v>14</v>
      </c>
      <c r="H878" s="13" t="n">
        <v>14</v>
      </c>
      <c r="I878" s="13" t="n">
        <f aca="false">H878-G878</f>
        <v>0</v>
      </c>
      <c r="J878" s="13" t="n">
        <f aca="false">H878-F878</f>
        <v>12</v>
      </c>
    </row>
    <row r="879" customFormat="false" ht="15" hidden="false" customHeight="false" outlineLevel="0" collapsed="false">
      <c r="A879" s="13" t="s">
        <v>127</v>
      </c>
      <c r="B879" s="13" t="s">
        <v>128</v>
      </c>
      <c r="C879" s="13" t="n">
        <v>14</v>
      </c>
      <c r="D879" s="13" t="s">
        <v>23</v>
      </c>
      <c r="E879" s="13" t="s">
        <v>26</v>
      </c>
      <c r="F879" s="13" t="n">
        <v>1</v>
      </c>
      <c r="G879" s="13" t="n">
        <v>11</v>
      </c>
      <c r="H879" s="13" t="n">
        <v>11</v>
      </c>
      <c r="I879" s="13" t="n">
        <f aca="false">H879-G879</f>
        <v>0</v>
      </c>
      <c r="J879" s="13" t="n">
        <f aca="false">H879-F879</f>
        <v>10</v>
      </c>
    </row>
    <row r="880" customFormat="false" ht="15" hidden="false" customHeight="false" outlineLevel="0" collapsed="false">
      <c r="A880" s="13" t="s">
        <v>127</v>
      </c>
      <c r="B880" s="13" t="s">
        <v>128</v>
      </c>
      <c r="C880" s="13" t="n">
        <v>14</v>
      </c>
      <c r="D880" s="13" t="s">
        <v>23</v>
      </c>
      <c r="E880" s="13" t="s">
        <v>27</v>
      </c>
      <c r="F880" s="13" t="n">
        <v>1</v>
      </c>
      <c r="G880" s="13" t="n">
        <v>13</v>
      </c>
      <c r="H880" s="13" t="n">
        <v>13</v>
      </c>
      <c r="I880" s="13" t="n">
        <f aca="false">H880-G880</f>
        <v>0</v>
      </c>
      <c r="J880" s="13" t="n">
        <f aca="false">H880-F880</f>
        <v>12</v>
      </c>
    </row>
    <row r="881" customFormat="false" ht="15" hidden="false" customHeight="false" outlineLevel="0" collapsed="false">
      <c r="A881" s="13" t="s">
        <v>127</v>
      </c>
      <c r="B881" s="13" t="s">
        <v>128</v>
      </c>
      <c r="C881" s="13" t="n">
        <v>14</v>
      </c>
      <c r="D881" s="13" t="s">
        <v>23</v>
      </c>
      <c r="E881" s="13" t="s">
        <v>28</v>
      </c>
      <c r="F881" s="13" t="n">
        <v>0</v>
      </c>
      <c r="G881" s="13" t="n">
        <v>10</v>
      </c>
      <c r="H881" s="13" t="n">
        <v>10</v>
      </c>
      <c r="I881" s="13" t="n">
        <f aca="false">H881-G881</f>
        <v>0</v>
      </c>
      <c r="J881" s="13" t="n">
        <f aca="false">H881-F881</f>
        <v>10</v>
      </c>
    </row>
    <row r="882" customFormat="false" ht="15" hidden="false" customHeight="false" outlineLevel="0" collapsed="false">
      <c r="A882" s="13" t="s">
        <v>127</v>
      </c>
      <c r="B882" s="13" t="s">
        <v>128</v>
      </c>
      <c r="C882" s="13" t="n">
        <v>14</v>
      </c>
      <c r="D882" s="13" t="s">
        <v>23</v>
      </c>
      <c r="E882" s="13" t="s">
        <v>29</v>
      </c>
      <c r="F882" s="13" t="n">
        <v>0</v>
      </c>
      <c r="G882" s="13" t="n">
        <v>10</v>
      </c>
      <c r="H882" s="13" t="n">
        <v>10</v>
      </c>
      <c r="I882" s="13" t="n">
        <f aca="false">H882-G882</f>
        <v>0</v>
      </c>
      <c r="J882" s="13" t="n">
        <f aca="false">H882-F882</f>
        <v>10</v>
      </c>
    </row>
    <row r="883" customFormat="false" ht="15" hidden="false" customHeight="false" outlineLevel="0" collapsed="false">
      <c r="A883" s="13" t="s">
        <v>127</v>
      </c>
      <c r="B883" s="13" t="s">
        <v>128</v>
      </c>
      <c r="C883" s="13" t="n">
        <v>14</v>
      </c>
      <c r="D883" s="13" t="s">
        <v>23</v>
      </c>
      <c r="E883" s="13" t="s">
        <v>30</v>
      </c>
      <c r="F883" s="13" t="n">
        <v>2</v>
      </c>
      <c r="G883" s="13" t="n">
        <v>14</v>
      </c>
      <c r="H883" s="13" t="n">
        <v>14</v>
      </c>
      <c r="I883" s="13" t="n">
        <f aca="false">H883-G883</f>
        <v>0</v>
      </c>
      <c r="J883" s="13" t="n">
        <f aca="false">H883-F883</f>
        <v>12</v>
      </c>
    </row>
    <row r="884" customFormat="false" ht="15" hidden="false" customHeight="false" outlineLevel="0" collapsed="false">
      <c r="A884" s="13" t="s">
        <v>127</v>
      </c>
      <c r="B884" s="13" t="s">
        <v>128</v>
      </c>
      <c r="C884" s="13" t="n">
        <v>14</v>
      </c>
      <c r="D884" s="13" t="s">
        <v>23</v>
      </c>
      <c r="E884" s="13" t="s">
        <v>31</v>
      </c>
      <c r="F884" s="13" t="n">
        <v>0</v>
      </c>
      <c r="G884" s="13" t="n">
        <v>7</v>
      </c>
      <c r="H884" s="13" t="n">
        <v>7</v>
      </c>
      <c r="I884" s="13" t="n">
        <f aca="false">H884-G884</f>
        <v>0</v>
      </c>
      <c r="J884" s="13" t="n">
        <f aca="false">H884-F884</f>
        <v>7</v>
      </c>
    </row>
    <row r="885" customFormat="false" ht="15" hidden="false" customHeight="false" outlineLevel="0" collapsed="false">
      <c r="A885" s="13" t="s">
        <v>127</v>
      </c>
      <c r="B885" s="13" t="s">
        <v>128</v>
      </c>
      <c r="C885" s="13" t="n">
        <v>14</v>
      </c>
      <c r="D885" s="13" t="s">
        <v>23</v>
      </c>
      <c r="E885" s="13" t="s">
        <v>32</v>
      </c>
      <c r="F885" s="13" t="n">
        <v>0</v>
      </c>
      <c r="G885" s="13" t="n">
        <v>1</v>
      </c>
      <c r="H885" s="13" t="n">
        <v>1</v>
      </c>
      <c r="I885" s="13" t="n">
        <f aca="false">H885-G885</f>
        <v>0</v>
      </c>
      <c r="J885" s="13" t="n">
        <f aca="false">H885-F885</f>
        <v>1</v>
      </c>
    </row>
    <row r="886" customFormat="false" ht="15" hidden="false" customHeight="false" outlineLevel="0" collapsed="false">
      <c r="A886" s="13" t="s">
        <v>127</v>
      </c>
      <c r="B886" s="13" t="s">
        <v>128</v>
      </c>
      <c r="C886" s="13" t="n">
        <v>14</v>
      </c>
      <c r="D886" s="13" t="s">
        <v>23</v>
      </c>
      <c r="E886" s="13" t="s">
        <v>33</v>
      </c>
      <c r="F886" s="13" t="n">
        <v>0</v>
      </c>
      <c r="G886" s="13" t="n">
        <v>0</v>
      </c>
      <c r="H886" s="13" t="n">
        <v>0</v>
      </c>
      <c r="I886" s="13" t="n">
        <f aca="false">H886-G886</f>
        <v>0</v>
      </c>
      <c r="J886" s="13" t="n">
        <f aca="false">H886-F886</f>
        <v>0</v>
      </c>
    </row>
    <row r="887" customFormat="false" ht="15" hidden="false" customHeight="false" outlineLevel="0" collapsed="false">
      <c r="A887" s="13" t="s">
        <v>127</v>
      </c>
      <c r="B887" s="13" t="s">
        <v>128</v>
      </c>
      <c r="C887" s="13" t="n">
        <v>14</v>
      </c>
      <c r="D887" s="13" t="s">
        <v>23</v>
      </c>
      <c r="E887" s="13" t="s">
        <v>34</v>
      </c>
      <c r="F887" s="13" t="n">
        <v>0</v>
      </c>
      <c r="G887" s="13" t="n">
        <v>3</v>
      </c>
      <c r="H887" s="13" t="n">
        <v>3</v>
      </c>
      <c r="I887" s="13" t="n">
        <f aca="false">H887-G887</f>
        <v>0</v>
      </c>
      <c r="J887" s="13" t="n">
        <f aca="false">H887-F887</f>
        <v>3</v>
      </c>
    </row>
    <row r="888" customFormat="false" ht="15" hidden="false" customHeight="false" outlineLevel="0" collapsed="false">
      <c r="A888" s="13" t="s">
        <v>127</v>
      </c>
      <c r="B888" s="13" t="s">
        <v>128</v>
      </c>
      <c r="C888" s="13" t="n">
        <v>14</v>
      </c>
      <c r="D888" s="13" t="s">
        <v>23</v>
      </c>
      <c r="E888" s="13" t="s">
        <v>35</v>
      </c>
      <c r="F888" s="13" t="n">
        <v>0</v>
      </c>
      <c r="G888" s="13" t="n">
        <v>0</v>
      </c>
      <c r="H888" s="13" t="n">
        <v>0</v>
      </c>
      <c r="I888" s="13" t="n">
        <f aca="false">H888-G888</f>
        <v>0</v>
      </c>
      <c r="J888" s="13" t="n">
        <f aca="false">H888-F888</f>
        <v>0</v>
      </c>
    </row>
    <row r="889" customFormat="false" ht="15" hidden="false" customHeight="false" outlineLevel="0" collapsed="false">
      <c r="A889" s="13" t="s">
        <v>127</v>
      </c>
      <c r="B889" s="13" t="s">
        <v>128</v>
      </c>
      <c r="C889" s="13" t="n">
        <v>14</v>
      </c>
      <c r="D889" s="13" t="s">
        <v>23</v>
      </c>
      <c r="E889" s="13" t="s">
        <v>36</v>
      </c>
      <c r="F889" s="13" t="n">
        <v>0</v>
      </c>
      <c r="G889" s="13" t="n">
        <v>0</v>
      </c>
      <c r="H889" s="13" t="n">
        <v>0</v>
      </c>
      <c r="I889" s="13" t="n">
        <f aca="false">H889-G889</f>
        <v>0</v>
      </c>
      <c r="J889" s="13" t="n">
        <f aca="false">H889-F889</f>
        <v>0</v>
      </c>
    </row>
    <row r="890" customFormat="false" ht="15" hidden="false" customHeight="false" outlineLevel="0" collapsed="false">
      <c r="A890" s="13" t="s">
        <v>127</v>
      </c>
      <c r="B890" s="13" t="s">
        <v>128</v>
      </c>
      <c r="C890" s="13" t="n">
        <v>14</v>
      </c>
      <c r="D890" s="13" t="s">
        <v>155</v>
      </c>
      <c r="E890" s="13" t="s">
        <v>37</v>
      </c>
      <c r="F890" s="13" t="n">
        <v>1</v>
      </c>
      <c r="G890" s="13" t="n">
        <v>1</v>
      </c>
      <c r="H890" s="13" t="n">
        <v>1</v>
      </c>
      <c r="I890" s="13" t="n">
        <f aca="false">H890-G890</f>
        <v>0</v>
      </c>
      <c r="J890" s="13" t="n">
        <f aca="false">H890-F890</f>
        <v>0</v>
      </c>
    </row>
    <row r="891" customFormat="false" ht="15" hidden="false" customHeight="false" outlineLevel="0" collapsed="false">
      <c r="A891" s="13" t="s">
        <v>127</v>
      </c>
      <c r="B891" s="13" t="s">
        <v>128</v>
      </c>
      <c r="C891" s="13" t="n">
        <v>14</v>
      </c>
      <c r="D891" s="13" t="s">
        <v>155</v>
      </c>
      <c r="E891" s="13" t="s">
        <v>39</v>
      </c>
      <c r="F891" s="13" t="n">
        <v>0</v>
      </c>
      <c r="G891" s="13" t="n">
        <v>0</v>
      </c>
      <c r="H891" s="13" t="n">
        <v>0</v>
      </c>
      <c r="I891" s="13" t="n">
        <f aca="false">H891-G891</f>
        <v>0</v>
      </c>
      <c r="J891" s="13" t="n">
        <f aca="false">H891-F891</f>
        <v>0</v>
      </c>
    </row>
    <row r="892" customFormat="false" ht="15" hidden="false" customHeight="false" outlineLevel="0" collapsed="false">
      <c r="A892" s="13" t="s">
        <v>127</v>
      </c>
      <c r="B892" s="13" t="s">
        <v>128</v>
      </c>
      <c r="C892" s="13" t="n">
        <v>14</v>
      </c>
      <c r="D892" s="13" t="s">
        <v>155</v>
      </c>
      <c r="E892" s="13" t="s">
        <v>40</v>
      </c>
      <c r="F892" s="13" t="n">
        <v>0</v>
      </c>
      <c r="G892" s="13" t="n">
        <v>1</v>
      </c>
      <c r="H892" s="13" t="n">
        <v>1</v>
      </c>
      <c r="I892" s="13" t="n">
        <f aca="false">H892-G892</f>
        <v>0</v>
      </c>
      <c r="J892" s="13" t="n">
        <f aca="false">H892-F892</f>
        <v>1</v>
      </c>
    </row>
    <row r="893" customFormat="false" ht="15" hidden="false" customHeight="false" outlineLevel="0" collapsed="false">
      <c r="A893" s="13" t="s">
        <v>127</v>
      </c>
      <c r="B893" s="13" t="s">
        <v>128</v>
      </c>
      <c r="C893" s="13" t="n">
        <v>14</v>
      </c>
      <c r="D893" s="13" t="s">
        <v>155</v>
      </c>
      <c r="E893" s="13" t="s">
        <v>41</v>
      </c>
      <c r="F893" s="13" t="n">
        <v>0</v>
      </c>
      <c r="G893" s="13" t="n">
        <v>0</v>
      </c>
      <c r="H893" s="13" t="n">
        <v>0</v>
      </c>
      <c r="I893" s="13" t="n">
        <f aca="false">H893-G893</f>
        <v>0</v>
      </c>
      <c r="J893" s="13" t="n">
        <f aca="false">H893-F893</f>
        <v>0</v>
      </c>
    </row>
    <row r="894" customFormat="false" ht="15" hidden="false" customHeight="false" outlineLevel="0" collapsed="false">
      <c r="A894" s="13" t="s">
        <v>127</v>
      </c>
      <c r="B894" s="13" t="s">
        <v>128</v>
      </c>
      <c r="C894" s="13" t="n">
        <v>14</v>
      </c>
      <c r="D894" s="13" t="s">
        <v>155</v>
      </c>
      <c r="E894" s="13" t="s">
        <v>42</v>
      </c>
      <c r="F894" s="13" t="n">
        <v>1</v>
      </c>
      <c r="G894" s="13" t="n">
        <v>1</v>
      </c>
      <c r="H894" s="13" t="n">
        <v>1</v>
      </c>
      <c r="I894" s="13" t="n">
        <f aca="false">H894-G894</f>
        <v>0</v>
      </c>
      <c r="J894" s="13" t="n">
        <f aca="false">H894-F894</f>
        <v>0</v>
      </c>
    </row>
    <row r="895" customFormat="false" ht="15" hidden="false" customHeight="false" outlineLevel="0" collapsed="false">
      <c r="A895" s="13" t="s">
        <v>127</v>
      </c>
      <c r="B895" s="13" t="s">
        <v>128</v>
      </c>
      <c r="C895" s="13" t="n">
        <v>14</v>
      </c>
      <c r="D895" s="13" t="s">
        <v>155</v>
      </c>
      <c r="E895" s="13" t="s">
        <v>43</v>
      </c>
      <c r="F895" s="13" t="n">
        <v>1</v>
      </c>
      <c r="G895" s="13" t="n">
        <v>1</v>
      </c>
      <c r="H895" s="13" t="n">
        <v>1</v>
      </c>
      <c r="I895" s="13" t="n">
        <f aca="false">H895-G895</f>
        <v>0</v>
      </c>
      <c r="J895" s="13" t="n">
        <f aca="false">H895-F895</f>
        <v>0</v>
      </c>
    </row>
    <row r="896" customFormat="false" ht="15" hidden="false" customHeight="false" outlineLevel="0" collapsed="false">
      <c r="A896" s="13" t="s">
        <v>127</v>
      </c>
      <c r="B896" s="13" t="s">
        <v>128</v>
      </c>
      <c r="C896" s="13" t="n">
        <v>14</v>
      </c>
      <c r="D896" s="13" t="s">
        <v>155</v>
      </c>
      <c r="E896" s="13" t="s">
        <v>44</v>
      </c>
      <c r="F896" s="13" t="n">
        <v>1</v>
      </c>
      <c r="G896" s="13" t="n">
        <v>1</v>
      </c>
      <c r="H896" s="13" t="n">
        <v>1</v>
      </c>
      <c r="I896" s="13" t="n">
        <f aca="false">H896-G896</f>
        <v>0</v>
      </c>
      <c r="J896" s="13" t="n">
        <f aca="false">H896-F896</f>
        <v>0</v>
      </c>
    </row>
    <row r="897" customFormat="false" ht="15" hidden="false" customHeight="false" outlineLevel="0" collapsed="false">
      <c r="A897" s="13" t="s">
        <v>127</v>
      </c>
      <c r="B897" s="13" t="s">
        <v>128</v>
      </c>
      <c r="C897" s="13" t="n">
        <v>14</v>
      </c>
      <c r="D897" s="13" t="s">
        <v>155</v>
      </c>
      <c r="E897" s="13" t="s">
        <v>45</v>
      </c>
      <c r="F897" s="13" t="n">
        <v>0</v>
      </c>
      <c r="G897" s="13" t="n">
        <v>0</v>
      </c>
      <c r="H897" s="13" t="n">
        <v>0</v>
      </c>
      <c r="I897" s="13" t="n">
        <f aca="false">H897-G897</f>
        <v>0</v>
      </c>
      <c r="J897" s="13" t="n">
        <f aca="false">H897-F897</f>
        <v>0</v>
      </c>
    </row>
    <row r="898" customFormat="false" ht="15" hidden="false" customHeight="false" outlineLevel="0" collapsed="false">
      <c r="A898" s="13" t="s">
        <v>127</v>
      </c>
      <c r="B898" s="13" t="s">
        <v>128</v>
      </c>
      <c r="C898" s="13" t="n">
        <v>14</v>
      </c>
      <c r="D898" s="13" t="s">
        <v>155</v>
      </c>
      <c r="E898" s="13" t="s">
        <v>46</v>
      </c>
      <c r="F898" s="13" t="n">
        <v>0</v>
      </c>
      <c r="G898" s="13" t="n">
        <v>0</v>
      </c>
      <c r="H898" s="13" t="n">
        <v>0</v>
      </c>
      <c r="I898" s="13" t="n">
        <f aca="false">H898-G898</f>
        <v>0</v>
      </c>
      <c r="J898" s="13" t="n">
        <f aca="false">H898-F898</f>
        <v>0</v>
      </c>
    </row>
    <row r="899" customFormat="false" ht="15" hidden="false" customHeight="false" outlineLevel="0" collapsed="false">
      <c r="A899" s="13" t="s">
        <v>129</v>
      </c>
      <c r="B899" s="13" t="s">
        <v>130</v>
      </c>
      <c r="C899" s="13" t="n">
        <v>13</v>
      </c>
      <c r="D899" s="13" t="s">
        <v>23</v>
      </c>
      <c r="E899" s="13" t="s">
        <v>22</v>
      </c>
      <c r="F899" s="13" t="n">
        <v>12</v>
      </c>
      <c r="G899" s="13" t="n">
        <v>12</v>
      </c>
      <c r="H899" s="13" t="n">
        <v>12</v>
      </c>
      <c r="I899" s="13" t="n">
        <f aca="false">H899-G899</f>
        <v>0</v>
      </c>
      <c r="J899" s="13" t="n">
        <f aca="false">H899-F899</f>
        <v>0</v>
      </c>
    </row>
    <row r="900" customFormat="false" ht="15" hidden="false" customHeight="false" outlineLevel="0" collapsed="false">
      <c r="A900" s="13" t="s">
        <v>129</v>
      </c>
      <c r="B900" s="13" t="s">
        <v>130</v>
      </c>
      <c r="C900" s="13" t="n">
        <v>13</v>
      </c>
      <c r="D900" s="13" t="s">
        <v>23</v>
      </c>
      <c r="E900" s="13" t="s">
        <v>24</v>
      </c>
      <c r="F900" s="13" t="n">
        <v>13</v>
      </c>
      <c r="G900" s="13" t="n">
        <v>13</v>
      </c>
      <c r="H900" s="13" t="n">
        <v>13</v>
      </c>
      <c r="I900" s="13" t="n">
        <f aca="false">H900-G900</f>
        <v>0</v>
      </c>
      <c r="J900" s="13" t="n">
        <f aca="false">H900-F900</f>
        <v>0</v>
      </c>
    </row>
    <row r="901" customFormat="false" ht="15" hidden="false" customHeight="false" outlineLevel="0" collapsed="false">
      <c r="A901" s="13" t="s">
        <v>129</v>
      </c>
      <c r="B901" s="13" t="s">
        <v>130</v>
      </c>
      <c r="C901" s="13" t="n">
        <v>13</v>
      </c>
      <c r="D901" s="13" t="s">
        <v>23</v>
      </c>
      <c r="E901" s="13" t="s">
        <v>25</v>
      </c>
      <c r="F901" s="13" t="n">
        <v>13</v>
      </c>
      <c r="G901" s="13" t="n">
        <v>13</v>
      </c>
      <c r="H901" s="13" t="n">
        <v>13</v>
      </c>
      <c r="I901" s="13" t="n">
        <f aca="false">H901-G901</f>
        <v>0</v>
      </c>
      <c r="J901" s="13" t="n">
        <f aca="false">H901-F901</f>
        <v>0</v>
      </c>
    </row>
    <row r="902" customFormat="false" ht="15" hidden="false" customHeight="false" outlineLevel="0" collapsed="false">
      <c r="A902" s="13" t="s">
        <v>129</v>
      </c>
      <c r="B902" s="13" t="s">
        <v>130</v>
      </c>
      <c r="C902" s="13" t="n">
        <v>13</v>
      </c>
      <c r="D902" s="13" t="s">
        <v>23</v>
      </c>
      <c r="E902" s="13" t="s">
        <v>26</v>
      </c>
      <c r="F902" s="13" t="n">
        <v>1</v>
      </c>
      <c r="G902" s="13" t="n">
        <v>1</v>
      </c>
      <c r="H902" s="13" t="n">
        <v>1</v>
      </c>
      <c r="I902" s="13" t="n">
        <f aca="false">H902-G902</f>
        <v>0</v>
      </c>
      <c r="J902" s="13" t="n">
        <f aca="false">H902-F902</f>
        <v>0</v>
      </c>
    </row>
    <row r="903" customFormat="false" ht="15" hidden="false" customHeight="false" outlineLevel="0" collapsed="false">
      <c r="A903" s="13" t="s">
        <v>129</v>
      </c>
      <c r="B903" s="13" t="s">
        <v>130</v>
      </c>
      <c r="C903" s="13" t="n">
        <v>13</v>
      </c>
      <c r="D903" s="13" t="s">
        <v>23</v>
      </c>
      <c r="E903" s="13" t="s">
        <v>27</v>
      </c>
      <c r="F903" s="13" t="n">
        <v>10</v>
      </c>
      <c r="G903" s="13" t="n">
        <v>9</v>
      </c>
      <c r="H903" s="13" t="n">
        <v>9</v>
      </c>
      <c r="I903" s="13" t="n">
        <f aca="false">H903-G903</f>
        <v>0</v>
      </c>
      <c r="J903" s="13" t="n">
        <f aca="false">H903-F903</f>
        <v>-1</v>
      </c>
    </row>
    <row r="904" customFormat="false" ht="15" hidden="false" customHeight="false" outlineLevel="0" collapsed="false">
      <c r="A904" s="13" t="s">
        <v>129</v>
      </c>
      <c r="B904" s="13" t="s">
        <v>130</v>
      </c>
      <c r="C904" s="13" t="n">
        <v>13</v>
      </c>
      <c r="D904" s="13" t="s">
        <v>23</v>
      </c>
      <c r="E904" s="13" t="s">
        <v>28</v>
      </c>
      <c r="F904" s="13" t="n">
        <v>10</v>
      </c>
      <c r="G904" s="13" t="n">
        <v>9</v>
      </c>
      <c r="H904" s="13" t="n">
        <v>9</v>
      </c>
      <c r="I904" s="13" t="n">
        <f aca="false">H904-G904</f>
        <v>0</v>
      </c>
      <c r="J904" s="13" t="n">
        <f aca="false">H904-F904</f>
        <v>-1</v>
      </c>
    </row>
    <row r="905" customFormat="false" ht="15" hidden="false" customHeight="false" outlineLevel="0" collapsed="false">
      <c r="A905" s="13" t="s">
        <v>129</v>
      </c>
      <c r="B905" s="13" t="s">
        <v>130</v>
      </c>
      <c r="C905" s="13" t="n">
        <v>13</v>
      </c>
      <c r="D905" s="13" t="s">
        <v>23</v>
      </c>
      <c r="E905" s="13" t="s">
        <v>29</v>
      </c>
      <c r="F905" s="13" t="n">
        <v>0</v>
      </c>
      <c r="G905" s="13" t="n">
        <v>0</v>
      </c>
      <c r="H905" s="13" t="n">
        <v>0</v>
      </c>
      <c r="I905" s="13" t="n">
        <f aca="false">H905-G905</f>
        <v>0</v>
      </c>
      <c r="J905" s="13" t="n">
        <f aca="false">H905-F905</f>
        <v>0</v>
      </c>
    </row>
    <row r="906" customFormat="false" ht="15" hidden="false" customHeight="false" outlineLevel="0" collapsed="false">
      <c r="A906" s="13" t="s">
        <v>129</v>
      </c>
      <c r="B906" s="13" t="s">
        <v>130</v>
      </c>
      <c r="C906" s="13" t="n">
        <v>13</v>
      </c>
      <c r="D906" s="13" t="s">
        <v>23</v>
      </c>
      <c r="E906" s="13" t="s">
        <v>30</v>
      </c>
      <c r="F906" s="13" t="n">
        <v>13</v>
      </c>
      <c r="G906" s="13" t="n">
        <v>13</v>
      </c>
      <c r="H906" s="13" t="n">
        <v>13</v>
      </c>
      <c r="I906" s="13" t="n">
        <f aca="false">H906-G906</f>
        <v>0</v>
      </c>
      <c r="J906" s="13" t="n">
        <f aca="false">H906-F906</f>
        <v>0</v>
      </c>
    </row>
    <row r="907" customFormat="false" ht="15" hidden="false" customHeight="false" outlineLevel="0" collapsed="false">
      <c r="A907" s="13" t="s">
        <v>129</v>
      </c>
      <c r="B907" s="13" t="s">
        <v>130</v>
      </c>
      <c r="C907" s="13" t="n">
        <v>13</v>
      </c>
      <c r="D907" s="13" t="s">
        <v>23</v>
      </c>
      <c r="E907" s="13" t="s">
        <v>31</v>
      </c>
      <c r="F907" s="13" t="n">
        <v>0</v>
      </c>
      <c r="G907" s="13" t="n">
        <v>0</v>
      </c>
      <c r="H907" s="13" t="n">
        <v>0</v>
      </c>
      <c r="I907" s="13" t="n">
        <f aca="false">H907-G907</f>
        <v>0</v>
      </c>
      <c r="J907" s="13" t="n">
        <f aca="false">H907-F907</f>
        <v>0</v>
      </c>
    </row>
    <row r="908" customFormat="false" ht="15" hidden="false" customHeight="false" outlineLevel="0" collapsed="false">
      <c r="A908" s="13" t="s">
        <v>129</v>
      </c>
      <c r="B908" s="13" t="s">
        <v>130</v>
      </c>
      <c r="C908" s="13" t="n">
        <v>13</v>
      </c>
      <c r="D908" s="13" t="s">
        <v>23</v>
      </c>
      <c r="E908" s="13" t="s">
        <v>32</v>
      </c>
      <c r="F908" s="13" t="n">
        <v>2</v>
      </c>
      <c r="G908" s="13" t="n">
        <v>2</v>
      </c>
      <c r="H908" s="13" t="n">
        <v>2</v>
      </c>
      <c r="I908" s="13" t="n">
        <f aca="false">H908-G908</f>
        <v>0</v>
      </c>
      <c r="J908" s="13" t="n">
        <f aca="false">H908-F908</f>
        <v>0</v>
      </c>
    </row>
    <row r="909" customFormat="false" ht="15" hidden="false" customHeight="false" outlineLevel="0" collapsed="false">
      <c r="A909" s="13" t="s">
        <v>129</v>
      </c>
      <c r="B909" s="13" t="s">
        <v>130</v>
      </c>
      <c r="C909" s="13" t="n">
        <v>13</v>
      </c>
      <c r="D909" s="13" t="s">
        <v>23</v>
      </c>
      <c r="E909" s="13" t="s">
        <v>33</v>
      </c>
      <c r="F909" s="13" t="n">
        <v>0</v>
      </c>
      <c r="G909" s="13" t="n">
        <v>0</v>
      </c>
      <c r="H909" s="13" t="n">
        <v>0</v>
      </c>
      <c r="I909" s="13" t="n">
        <f aca="false">H909-G909</f>
        <v>0</v>
      </c>
      <c r="J909" s="13" t="n">
        <f aca="false">H909-F909</f>
        <v>0</v>
      </c>
    </row>
    <row r="910" customFormat="false" ht="15" hidden="false" customHeight="false" outlineLevel="0" collapsed="false">
      <c r="A910" s="13" t="s">
        <v>129</v>
      </c>
      <c r="B910" s="13" t="s">
        <v>130</v>
      </c>
      <c r="C910" s="13" t="n">
        <v>13</v>
      </c>
      <c r="D910" s="13" t="s">
        <v>23</v>
      </c>
      <c r="E910" s="13" t="s">
        <v>34</v>
      </c>
      <c r="F910" s="13" t="n">
        <v>13</v>
      </c>
      <c r="G910" s="13" t="n">
        <v>13</v>
      </c>
      <c r="H910" s="13" t="n">
        <v>13</v>
      </c>
      <c r="I910" s="13" t="n">
        <f aca="false">H910-G910</f>
        <v>0</v>
      </c>
      <c r="J910" s="13" t="n">
        <f aca="false">H910-F910</f>
        <v>0</v>
      </c>
    </row>
    <row r="911" customFormat="false" ht="15" hidden="false" customHeight="false" outlineLevel="0" collapsed="false">
      <c r="A911" s="13" t="s">
        <v>129</v>
      </c>
      <c r="B911" s="13" t="s">
        <v>130</v>
      </c>
      <c r="C911" s="13" t="n">
        <v>13</v>
      </c>
      <c r="D911" s="13" t="s">
        <v>23</v>
      </c>
      <c r="E911" s="13" t="s">
        <v>35</v>
      </c>
      <c r="F911" s="13" t="n">
        <v>0</v>
      </c>
      <c r="G911" s="13" t="n">
        <v>0</v>
      </c>
      <c r="H911" s="13" t="n">
        <v>0</v>
      </c>
      <c r="I911" s="13" t="n">
        <f aca="false">H911-G911</f>
        <v>0</v>
      </c>
      <c r="J911" s="13" t="n">
        <f aca="false">H911-F911</f>
        <v>0</v>
      </c>
    </row>
    <row r="912" customFormat="false" ht="15" hidden="false" customHeight="false" outlineLevel="0" collapsed="false">
      <c r="A912" s="13" t="s">
        <v>129</v>
      </c>
      <c r="B912" s="13" t="s">
        <v>130</v>
      </c>
      <c r="C912" s="13" t="n">
        <v>13</v>
      </c>
      <c r="D912" s="13" t="s">
        <v>23</v>
      </c>
      <c r="E912" s="13" t="s">
        <v>36</v>
      </c>
      <c r="F912" s="13" t="n">
        <v>0</v>
      </c>
      <c r="G912" s="13" t="n">
        <v>0</v>
      </c>
      <c r="H912" s="13" t="n">
        <v>0</v>
      </c>
      <c r="I912" s="13" t="n">
        <f aca="false">H912-G912</f>
        <v>0</v>
      </c>
      <c r="J912" s="13" t="n">
        <f aca="false">H912-F912</f>
        <v>0</v>
      </c>
    </row>
    <row r="913" customFormat="false" ht="15" hidden="false" customHeight="false" outlineLevel="0" collapsed="false">
      <c r="A913" s="13" t="s">
        <v>129</v>
      </c>
      <c r="B913" s="13" t="s">
        <v>130</v>
      </c>
      <c r="C913" s="13" t="n">
        <v>13</v>
      </c>
      <c r="D913" s="13" t="s">
        <v>155</v>
      </c>
      <c r="E913" s="13" t="s">
        <v>37</v>
      </c>
      <c r="F913" s="13" t="n">
        <v>1</v>
      </c>
      <c r="G913" s="13" t="n">
        <v>1</v>
      </c>
      <c r="H913" s="13" t="n">
        <v>1</v>
      </c>
      <c r="I913" s="13" t="n">
        <f aca="false">H913-G913</f>
        <v>0</v>
      </c>
      <c r="J913" s="13" t="n">
        <f aca="false">H913-F913</f>
        <v>0</v>
      </c>
    </row>
    <row r="914" customFormat="false" ht="15" hidden="false" customHeight="false" outlineLevel="0" collapsed="false">
      <c r="A914" s="13" t="s">
        <v>129</v>
      </c>
      <c r="B914" s="13" t="s">
        <v>130</v>
      </c>
      <c r="C914" s="13" t="n">
        <v>13</v>
      </c>
      <c r="D914" s="13" t="s">
        <v>155</v>
      </c>
      <c r="E914" s="13" t="s">
        <v>39</v>
      </c>
      <c r="F914" s="13" t="n">
        <v>0</v>
      </c>
      <c r="G914" s="13" t="n">
        <v>0</v>
      </c>
      <c r="H914" s="13" t="n">
        <v>0</v>
      </c>
      <c r="I914" s="13" t="n">
        <f aca="false">H914-G914</f>
        <v>0</v>
      </c>
      <c r="J914" s="13" t="n">
        <f aca="false">H914-F914</f>
        <v>0</v>
      </c>
    </row>
    <row r="915" customFormat="false" ht="15" hidden="false" customHeight="false" outlineLevel="0" collapsed="false">
      <c r="A915" s="13" t="s">
        <v>129</v>
      </c>
      <c r="B915" s="13" t="s">
        <v>130</v>
      </c>
      <c r="C915" s="13" t="n">
        <v>13</v>
      </c>
      <c r="D915" s="13" t="s">
        <v>155</v>
      </c>
      <c r="E915" s="13" t="s">
        <v>40</v>
      </c>
      <c r="F915" s="13" t="n">
        <v>1</v>
      </c>
      <c r="G915" s="13" t="n">
        <v>1</v>
      </c>
      <c r="H915" s="13" t="n">
        <v>1</v>
      </c>
      <c r="I915" s="13" t="n">
        <f aca="false">H915-G915</f>
        <v>0</v>
      </c>
      <c r="J915" s="13" t="n">
        <f aca="false">H915-F915</f>
        <v>0</v>
      </c>
    </row>
    <row r="916" customFormat="false" ht="15" hidden="false" customHeight="false" outlineLevel="0" collapsed="false">
      <c r="A916" s="13" t="s">
        <v>129</v>
      </c>
      <c r="B916" s="13" t="s">
        <v>130</v>
      </c>
      <c r="C916" s="13" t="n">
        <v>13</v>
      </c>
      <c r="D916" s="13" t="s">
        <v>155</v>
      </c>
      <c r="E916" s="13" t="s">
        <v>41</v>
      </c>
      <c r="F916" s="13" t="n">
        <v>0</v>
      </c>
      <c r="G916" s="13" t="n">
        <v>0</v>
      </c>
      <c r="H916" s="13" t="n">
        <v>0</v>
      </c>
      <c r="I916" s="13" t="n">
        <f aca="false">H916-G916</f>
        <v>0</v>
      </c>
      <c r="J916" s="13" t="n">
        <f aca="false">H916-F916</f>
        <v>0</v>
      </c>
    </row>
    <row r="917" customFormat="false" ht="15" hidden="false" customHeight="false" outlineLevel="0" collapsed="false">
      <c r="A917" s="13" t="s">
        <v>129</v>
      </c>
      <c r="B917" s="13" t="s">
        <v>130</v>
      </c>
      <c r="C917" s="13" t="n">
        <v>13</v>
      </c>
      <c r="D917" s="13" t="s">
        <v>155</v>
      </c>
      <c r="E917" s="13" t="s">
        <v>42</v>
      </c>
      <c r="F917" s="13" t="n">
        <v>1</v>
      </c>
      <c r="G917" s="13" t="n">
        <v>1</v>
      </c>
      <c r="H917" s="13" t="n">
        <v>1</v>
      </c>
      <c r="I917" s="13" t="n">
        <f aca="false">H917-G917</f>
        <v>0</v>
      </c>
      <c r="J917" s="13" t="n">
        <f aca="false">H917-F917</f>
        <v>0</v>
      </c>
    </row>
    <row r="918" customFormat="false" ht="15" hidden="false" customHeight="false" outlineLevel="0" collapsed="false">
      <c r="A918" s="13" t="s">
        <v>129</v>
      </c>
      <c r="B918" s="13" t="s">
        <v>130</v>
      </c>
      <c r="C918" s="13" t="n">
        <v>13</v>
      </c>
      <c r="D918" s="13" t="s">
        <v>155</v>
      </c>
      <c r="E918" s="13" t="s">
        <v>43</v>
      </c>
      <c r="F918" s="13" t="n">
        <v>1</v>
      </c>
      <c r="G918" s="13" t="n">
        <v>1</v>
      </c>
      <c r="H918" s="13" t="n">
        <v>1</v>
      </c>
      <c r="I918" s="13" t="n">
        <f aca="false">H918-G918</f>
        <v>0</v>
      </c>
      <c r="J918" s="13" t="n">
        <f aca="false">H918-F918</f>
        <v>0</v>
      </c>
    </row>
    <row r="919" customFormat="false" ht="15" hidden="false" customHeight="false" outlineLevel="0" collapsed="false">
      <c r="A919" s="13" t="s">
        <v>129</v>
      </c>
      <c r="B919" s="13" t="s">
        <v>130</v>
      </c>
      <c r="C919" s="13" t="n">
        <v>13</v>
      </c>
      <c r="D919" s="13" t="s">
        <v>155</v>
      </c>
      <c r="E919" s="13" t="s">
        <v>44</v>
      </c>
      <c r="F919" s="13" t="n">
        <v>1</v>
      </c>
      <c r="G919" s="13" t="n">
        <v>1</v>
      </c>
      <c r="H919" s="13" t="n">
        <v>1</v>
      </c>
      <c r="I919" s="13" t="n">
        <f aca="false">H919-G919</f>
        <v>0</v>
      </c>
      <c r="J919" s="13" t="n">
        <f aca="false">H919-F919</f>
        <v>0</v>
      </c>
    </row>
    <row r="920" customFormat="false" ht="15" hidden="false" customHeight="false" outlineLevel="0" collapsed="false">
      <c r="A920" s="13" t="s">
        <v>129</v>
      </c>
      <c r="B920" s="13" t="s">
        <v>130</v>
      </c>
      <c r="C920" s="13" t="n">
        <v>13</v>
      </c>
      <c r="D920" s="13" t="s">
        <v>155</v>
      </c>
      <c r="E920" s="13" t="s">
        <v>45</v>
      </c>
      <c r="F920" s="13" t="n">
        <v>0</v>
      </c>
      <c r="G920" s="13" t="n">
        <v>0</v>
      </c>
      <c r="H920" s="13" t="n">
        <v>0</v>
      </c>
      <c r="I920" s="13" t="n">
        <f aca="false">H920-G920</f>
        <v>0</v>
      </c>
      <c r="J920" s="13" t="n">
        <f aca="false">H920-F920</f>
        <v>0</v>
      </c>
    </row>
    <row r="921" customFormat="false" ht="15" hidden="false" customHeight="false" outlineLevel="0" collapsed="false">
      <c r="A921" s="13" t="s">
        <v>129</v>
      </c>
      <c r="B921" s="13" t="s">
        <v>130</v>
      </c>
      <c r="C921" s="13" t="n">
        <v>13</v>
      </c>
      <c r="D921" s="13" t="s">
        <v>155</v>
      </c>
      <c r="E921" s="13" t="s">
        <v>46</v>
      </c>
      <c r="F921" s="13" t="n">
        <v>0</v>
      </c>
      <c r="G921" s="13" t="n">
        <v>0</v>
      </c>
      <c r="H921" s="13" t="n">
        <v>0</v>
      </c>
      <c r="I921" s="13" t="n">
        <f aca="false">H921-G921</f>
        <v>0</v>
      </c>
      <c r="J921" s="13" t="n">
        <f aca="false">H921-F921</f>
        <v>0</v>
      </c>
    </row>
    <row r="922" customFormat="false" ht="15" hidden="false" customHeight="false" outlineLevel="0" collapsed="false">
      <c r="A922" s="13" t="s">
        <v>131</v>
      </c>
      <c r="B922" s="13" t="s">
        <v>132</v>
      </c>
      <c r="C922" s="13" t="n">
        <v>12</v>
      </c>
      <c r="D922" s="13" t="s">
        <v>23</v>
      </c>
      <c r="E922" s="13" t="s">
        <v>22</v>
      </c>
      <c r="F922" s="13" t="n">
        <v>10</v>
      </c>
      <c r="G922" s="13" t="n">
        <v>10</v>
      </c>
      <c r="H922" s="13" t="n">
        <v>10</v>
      </c>
      <c r="I922" s="13" t="n">
        <f aca="false">H922-G922</f>
        <v>0</v>
      </c>
      <c r="J922" s="13" t="n">
        <f aca="false">H922-F922</f>
        <v>0</v>
      </c>
    </row>
    <row r="923" customFormat="false" ht="15" hidden="false" customHeight="false" outlineLevel="0" collapsed="false">
      <c r="A923" s="13" t="s">
        <v>131</v>
      </c>
      <c r="B923" s="13" t="s">
        <v>132</v>
      </c>
      <c r="C923" s="13" t="n">
        <v>12</v>
      </c>
      <c r="D923" s="13" t="s">
        <v>23</v>
      </c>
      <c r="E923" s="13" t="s">
        <v>24</v>
      </c>
      <c r="F923" s="13" t="n">
        <v>12</v>
      </c>
      <c r="G923" s="13" t="n">
        <v>12</v>
      </c>
      <c r="H923" s="13" t="n">
        <v>12</v>
      </c>
      <c r="I923" s="13" t="n">
        <f aca="false">H923-G923</f>
        <v>0</v>
      </c>
      <c r="J923" s="13" t="n">
        <f aca="false">H923-F923</f>
        <v>0</v>
      </c>
    </row>
    <row r="924" customFormat="false" ht="15" hidden="false" customHeight="false" outlineLevel="0" collapsed="false">
      <c r="A924" s="13" t="s">
        <v>131</v>
      </c>
      <c r="B924" s="13" t="s">
        <v>132</v>
      </c>
      <c r="C924" s="13" t="n">
        <v>12</v>
      </c>
      <c r="D924" s="13" t="s">
        <v>23</v>
      </c>
      <c r="E924" s="13" t="s">
        <v>25</v>
      </c>
      <c r="F924" s="13" t="n">
        <v>12</v>
      </c>
      <c r="G924" s="13" t="n">
        <v>12</v>
      </c>
      <c r="H924" s="13" t="n">
        <v>12</v>
      </c>
      <c r="I924" s="13" t="n">
        <f aca="false">H924-G924</f>
        <v>0</v>
      </c>
      <c r="J924" s="13" t="n">
        <f aca="false">H924-F924</f>
        <v>0</v>
      </c>
    </row>
    <row r="925" customFormat="false" ht="15" hidden="false" customHeight="false" outlineLevel="0" collapsed="false">
      <c r="A925" s="13" t="s">
        <v>131</v>
      </c>
      <c r="B925" s="13" t="s">
        <v>132</v>
      </c>
      <c r="C925" s="13" t="n">
        <v>12</v>
      </c>
      <c r="D925" s="13" t="s">
        <v>23</v>
      </c>
      <c r="E925" s="13" t="s">
        <v>26</v>
      </c>
      <c r="F925" s="13" t="n">
        <v>0</v>
      </c>
      <c r="G925" s="13" t="n">
        <v>0</v>
      </c>
      <c r="H925" s="13" t="n">
        <v>0</v>
      </c>
      <c r="I925" s="13" t="n">
        <f aca="false">H925-G925</f>
        <v>0</v>
      </c>
      <c r="J925" s="13" t="n">
        <f aca="false">H925-F925</f>
        <v>0</v>
      </c>
    </row>
    <row r="926" customFormat="false" ht="15" hidden="false" customHeight="false" outlineLevel="0" collapsed="false">
      <c r="A926" s="13" t="s">
        <v>131</v>
      </c>
      <c r="B926" s="13" t="s">
        <v>132</v>
      </c>
      <c r="C926" s="13" t="n">
        <v>12</v>
      </c>
      <c r="D926" s="13" t="s">
        <v>23</v>
      </c>
      <c r="E926" s="13" t="s">
        <v>27</v>
      </c>
      <c r="F926" s="13" t="n">
        <v>0</v>
      </c>
      <c r="G926" s="13" t="n">
        <v>0</v>
      </c>
      <c r="H926" s="13" t="n">
        <v>0</v>
      </c>
      <c r="I926" s="13" t="n">
        <f aca="false">H926-G926</f>
        <v>0</v>
      </c>
      <c r="J926" s="13" t="n">
        <f aca="false">H926-F926</f>
        <v>0</v>
      </c>
    </row>
    <row r="927" customFormat="false" ht="15" hidden="false" customHeight="false" outlineLevel="0" collapsed="false">
      <c r="A927" s="13" t="s">
        <v>131</v>
      </c>
      <c r="B927" s="13" t="s">
        <v>132</v>
      </c>
      <c r="C927" s="13" t="n">
        <v>12</v>
      </c>
      <c r="D927" s="13" t="s">
        <v>23</v>
      </c>
      <c r="E927" s="13" t="s">
        <v>28</v>
      </c>
      <c r="F927" s="13" t="n">
        <v>0</v>
      </c>
      <c r="G927" s="13" t="n">
        <v>0</v>
      </c>
      <c r="H927" s="13" t="n">
        <v>0</v>
      </c>
      <c r="I927" s="13" t="n">
        <f aca="false">H927-G927</f>
        <v>0</v>
      </c>
      <c r="J927" s="13" t="n">
        <f aca="false">H927-F927</f>
        <v>0</v>
      </c>
    </row>
    <row r="928" customFormat="false" ht="15" hidden="false" customHeight="false" outlineLevel="0" collapsed="false">
      <c r="A928" s="13" t="s">
        <v>131</v>
      </c>
      <c r="B928" s="13" t="s">
        <v>132</v>
      </c>
      <c r="C928" s="13" t="n">
        <v>12</v>
      </c>
      <c r="D928" s="13" t="s">
        <v>23</v>
      </c>
      <c r="E928" s="13" t="s">
        <v>29</v>
      </c>
      <c r="F928" s="13" t="n">
        <v>0</v>
      </c>
      <c r="G928" s="13" t="n">
        <v>0</v>
      </c>
      <c r="H928" s="13" t="n">
        <v>0</v>
      </c>
      <c r="I928" s="13" t="n">
        <f aca="false">H928-G928</f>
        <v>0</v>
      </c>
      <c r="J928" s="13" t="n">
        <f aca="false">H928-F928</f>
        <v>0</v>
      </c>
    </row>
    <row r="929" customFormat="false" ht="15" hidden="false" customHeight="false" outlineLevel="0" collapsed="false">
      <c r="A929" s="13" t="s">
        <v>131</v>
      </c>
      <c r="B929" s="13" t="s">
        <v>132</v>
      </c>
      <c r="C929" s="13" t="n">
        <v>12</v>
      </c>
      <c r="D929" s="13" t="s">
        <v>23</v>
      </c>
      <c r="E929" s="13" t="s">
        <v>30</v>
      </c>
      <c r="F929" s="13" t="n">
        <v>12</v>
      </c>
      <c r="G929" s="13" t="n">
        <v>12</v>
      </c>
      <c r="H929" s="13" t="n">
        <v>12</v>
      </c>
      <c r="I929" s="13" t="n">
        <f aca="false">H929-G929</f>
        <v>0</v>
      </c>
      <c r="J929" s="13" t="n">
        <f aca="false">H929-F929</f>
        <v>0</v>
      </c>
    </row>
    <row r="930" customFormat="false" ht="15" hidden="false" customHeight="false" outlineLevel="0" collapsed="false">
      <c r="A930" s="13" t="s">
        <v>131</v>
      </c>
      <c r="B930" s="13" t="s">
        <v>132</v>
      </c>
      <c r="C930" s="13" t="n">
        <v>12</v>
      </c>
      <c r="D930" s="13" t="s">
        <v>23</v>
      </c>
      <c r="E930" s="13" t="s">
        <v>31</v>
      </c>
      <c r="F930" s="13" t="n">
        <v>0</v>
      </c>
      <c r="G930" s="13" t="n">
        <v>0</v>
      </c>
      <c r="H930" s="13" t="n">
        <v>0</v>
      </c>
      <c r="I930" s="13" t="n">
        <f aca="false">H930-G930</f>
        <v>0</v>
      </c>
      <c r="J930" s="13" t="n">
        <f aca="false">H930-F930</f>
        <v>0</v>
      </c>
    </row>
    <row r="931" customFormat="false" ht="15" hidden="false" customHeight="false" outlineLevel="0" collapsed="false">
      <c r="A931" s="13" t="s">
        <v>131</v>
      </c>
      <c r="B931" s="13" t="s">
        <v>132</v>
      </c>
      <c r="C931" s="13" t="n">
        <v>12</v>
      </c>
      <c r="D931" s="13" t="s">
        <v>23</v>
      </c>
      <c r="E931" s="13" t="s">
        <v>32</v>
      </c>
      <c r="F931" s="13" t="n">
        <v>0</v>
      </c>
      <c r="G931" s="13" t="n">
        <v>0</v>
      </c>
      <c r="H931" s="13" t="n">
        <v>0</v>
      </c>
      <c r="I931" s="13" t="n">
        <f aca="false">H931-G931</f>
        <v>0</v>
      </c>
      <c r="J931" s="13" t="n">
        <f aca="false">H931-F931</f>
        <v>0</v>
      </c>
    </row>
    <row r="932" customFormat="false" ht="15" hidden="false" customHeight="false" outlineLevel="0" collapsed="false">
      <c r="A932" s="13" t="s">
        <v>131</v>
      </c>
      <c r="B932" s="13" t="s">
        <v>132</v>
      </c>
      <c r="C932" s="13" t="n">
        <v>12</v>
      </c>
      <c r="D932" s="13" t="s">
        <v>23</v>
      </c>
      <c r="E932" s="13" t="s">
        <v>33</v>
      </c>
      <c r="F932" s="13" t="n">
        <v>0</v>
      </c>
      <c r="G932" s="13" t="n">
        <v>0</v>
      </c>
      <c r="H932" s="13" t="n">
        <v>0</v>
      </c>
      <c r="I932" s="13" t="n">
        <f aca="false">H932-G932</f>
        <v>0</v>
      </c>
      <c r="J932" s="13" t="n">
        <f aca="false">H932-F932</f>
        <v>0</v>
      </c>
    </row>
    <row r="933" customFormat="false" ht="15" hidden="false" customHeight="false" outlineLevel="0" collapsed="false">
      <c r="A933" s="13" t="s">
        <v>131</v>
      </c>
      <c r="B933" s="13" t="s">
        <v>132</v>
      </c>
      <c r="C933" s="13" t="n">
        <v>12</v>
      </c>
      <c r="D933" s="13" t="s">
        <v>23</v>
      </c>
      <c r="E933" s="13" t="s">
        <v>34</v>
      </c>
      <c r="F933" s="13" t="n">
        <v>0</v>
      </c>
      <c r="G933" s="13" t="n">
        <v>0</v>
      </c>
      <c r="H933" s="13" t="n">
        <v>0</v>
      </c>
      <c r="I933" s="13" t="n">
        <f aca="false">H933-G933</f>
        <v>0</v>
      </c>
      <c r="J933" s="13" t="n">
        <f aca="false">H933-F933</f>
        <v>0</v>
      </c>
    </row>
    <row r="934" customFormat="false" ht="15" hidden="false" customHeight="false" outlineLevel="0" collapsed="false">
      <c r="A934" s="13" t="s">
        <v>131</v>
      </c>
      <c r="B934" s="13" t="s">
        <v>132</v>
      </c>
      <c r="C934" s="13" t="n">
        <v>12</v>
      </c>
      <c r="D934" s="13" t="s">
        <v>23</v>
      </c>
      <c r="E934" s="13" t="s">
        <v>35</v>
      </c>
      <c r="F934" s="13" t="n">
        <v>0</v>
      </c>
      <c r="G934" s="13" t="n">
        <v>0</v>
      </c>
      <c r="H934" s="13" t="n">
        <v>0</v>
      </c>
      <c r="I934" s="13" t="n">
        <f aca="false">H934-G934</f>
        <v>0</v>
      </c>
      <c r="J934" s="13" t="n">
        <f aca="false">H934-F934</f>
        <v>0</v>
      </c>
    </row>
    <row r="935" customFormat="false" ht="15" hidden="false" customHeight="false" outlineLevel="0" collapsed="false">
      <c r="A935" s="13" t="s">
        <v>131</v>
      </c>
      <c r="B935" s="13" t="s">
        <v>132</v>
      </c>
      <c r="C935" s="13" t="n">
        <v>12</v>
      </c>
      <c r="D935" s="13" t="s">
        <v>23</v>
      </c>
      <c r="E935" s="13" t="s">
        <v>36</v>
      </c>
      <c r="F935" s="13" t="n">
        <v>0</v>
      </c>
      <c r="G935" s="13" t="n">
        <v>0</v>
      </c>
      <c r="H935" s="13" t="n">
        <v>0</v>
      </c>
      <c r="I935" s="13" t="n">
        <f aca="false">H935-G935</f>
        <v>0</v>
      </c>
      <c r="J935" s="13" t="n">
        <f aca="false">H935-F935</f>
        <v>0</v>
      </c>
    </row>
    <row r="936" customFormat="false" ht="15" hidden="false" customHeight="false" outlineLevel="0" collapsed="false">
      <c r="A936" s="13" t="s">
        <v>131</v>
      </c>
      <c r="B936" s="13" t="s">
        <v>132</v>
      </c>
      <c r="C936" s="13" t="n">
        <v>12</v>
      </c>
      <c r="D936" s="13" t="s">
        <v>155</v>
      </c>
      <c r="E936" s="13" t="s">
        <v>37</v>
      </c>
      <c r="F936" s="13" t="n">
        <v>1</v>
      </c>
      <c r="G936" s="13" t="n">
        <v>1</v>
      </c>
      <c r="H936" s="13" t="n">
        <v>1</v>
      </c>
      <c r="I936" s="13" t="n">
        <f aca="false">H936-G936</f>
        <v>0</v>
      </c>
      <c r="J936" s="13" t="n">
        <f aca="false">H936-F936</f>
        <v>0</v>
      </c>
    </row>
    <row r="937" customFormat="false" ht="15" hidden="false" customHeight="false" outlineLevel="0" collapsed="false">
      <c r="A937" s="13" t="s">
        <v>131</v>
      </c>
      <c r="B937" s="13" t="s">
        <v>132</v>
      </c>
      <c r="C937" s="13" t="n">
        <v>12</v>
      </c>
      <c r="D937" s="13" t="s">
        <v>155</v>
      </c>
      <c r="E937" s="13" t="s">
        <v>39</v>
      </c>
      <c r="F937" s="13" t="n">
        <v>0</v>
      </c>
      <c r="G937" s="13" t="n">
        <v>0</v>
      </c>
      <c r="H937" s="13" t="n">
        <v>0</v>
      </c>
      <c r="I937" s="13" t="n">
        <f aca="false">H937-G937</f>
        <v>0</v>
      </c>
      <c r="J937" s="13" t="n">
        <f aca="false">H937-F937</f>
        <v>0</v>
      </c>
    </row>
    <row r="938" customFormat="false" ht="15" hidden="false" customHeight="false" outlineLevel="0" collapsed="false">
      <c r="A938" s="13" t="s">
        <v>131</v>
      </c>
      <c r="B938" s="13" t="s">
        <v>132</v>
      </c>
      <c r="C938" s="13" t="n">
        <v>12</v>
      </c>
      <c r="D938" s="13" t="s">
        <v>155</v>
      </c>
      <c r="E938" s="13" t="s">
        <v>40</v>
      </c>
      <c r="F938" s="13" t="n">
        <v>0</v>
      </c>
      <c r="G938" s="13" t="n">
        <v>0</v>
      </c>
      <c r="H938" s="13" t="n">
        <v>0</v>
      </c>
      <c r="I938" s="13" t="n">
        <f aca="false">H938-G938</f>
        <v>0</v>
      </c>
      <c r="J938" s="13" t="n">
        <f aca="false">H938-F938</f>
        <v>0</v>
      </c>
    </row>
    <row r="939" customFormat="false" ht="15" hidden="false" customHeight="false" outlineLevel="0" collapsed="false">
      <c r="A939" s="13" t="s">
        <v>131</v>
      </c>
      <c r="B939" s="13" t="s">
        <v>132</v>
      </c>
      <c r="C939" s="13" t="n">
        <v>12</v>
      </c>
      <c r="D939" s="13" t="s">
        <v>155</v>
      </c>
      <c r="E939" s="13" t="s">
        <v>41</v>
      </c>
      <c r="F939" s="13" t="n">
        <v>0</v>
      </c>
      <c r="G939" s="13" t="n">
        <v>0</v>
      </c>
      <c r="H939" s="13" t="n">
        <v>0</v>
      </c>
      <c r="I939" s="13" t="n">
        <f aca="false">H939-G939</f>
        <v>0</v>
      </c>
      <c r="J939" s="13" t="n">
        <f aca="false">H939-F939</f>
        <v>0</v>
      </c>
    </row>
    <row r="940" customFormat="false" ht="15" hidden="false" customHeight="false" outlineLevel="0" collapsed="false">
      <c r="A940" s="13" t="s">
        <v>131</v>
      </c>
      <c r="B940" s="13" t="s">
        <v>132</v>
      </c>
      <c r="C940" s="13" t="n">
        <v>12</v>
      </c>
      <c r="D940" s="13" t="s">
        <v>155</v>
      </c>
      <c r="E940" s="13" t="s">
        <v>42</v>
      </c>
      <c r="F940" s="13" t="n">
        <v>1</v>
      </c>
      <c r="G940" s="13" t="n">
        <v>1</v>
      </c>
      <c r="H940" s="13" t="n">
        <v>1</v>
      </c>
      <c r="I940" s="13" t="n">
        <f aca="false">H940-G940</f>
        <v>0</v>
      </c>
      <c r="J940" s="13" t="n">
        <f aca="false">H940-F940</f>
        <v>0</v>
      </c>
    </row>
    <row r="941" customFormat="false" ht="15" hidden="false" customHeight="false" outlineLevel="0" collapsed="false">
      <c r="A941" s="13" t="s">
        <v>131</v>
      </c>
      <c r="B941" s="13" t="s">
        <v>132</v>
      </c>
      <c r="C941" s="13" t="n">
        <v>12</v>
      </c>
      <c r="D941" s="13" t="s">
        <v>155</v>
      </c>
      <c r="E941" s="13" t="s">
        <v>43</v>
      </c>
      <c r="F941" s="13" t="n">
        <v>0</v>
      </c>
      <c r="G941" s="13" t="n">
        <v>0</v>
      </c>
      <c r="H941" s="13" t="n">
        <v>0</v>
      </c>
      <c r="I941" s="13" t="n">
        <f aca="false">H941-G941</f>
        <v>0</v>
      </c>
      <c r="J941" s="13" t="n">
        <f aca="false">H941-F941</f>
        <v>0</v>
      </c>
    </row>
    <row r="942" customFormat="false" ht="15" hidden="false" customHeight="false" outlineLevel="0" collapsed="false">
      <c r="A942" s="13" t="s">
        <v>131</v>
      </c>
      <c r="B942" s="13" t="s">
        <v>132</v>
      </c>
      <c r="C942" s="13" t="n">
        <v>12</v>
      </c>
      <c r="D942" s="13" t="s">
        <v>155</v>
      </c>
      <c r="E942" s="13" t="s">
        <v>44</v>
      </c>
      <c r="F942" s="13" t="n">
        <v>0</v>
      </c>
      <c r="G942" s="13" t="n">
        <v>0</v>
      </c>
      <c r="H942" s="13" t="n">
        <v>0</v>
      </c>
      <c r="I942" s="13" t="n">
        <f aca="false">H942-G942</f>
        <v>0</v>
      </c>
      <c r="J942" s="13" t="n">
        <f aca="false">H942-F942</f>
        <v>0</v>
      </c>
    </row>
    <row r="943" customFormat="false" ht="15" hidden="false" customHeight="false" outlineLevel="0" collapsed="false">
      <c r="A943" s="13" t="s">
        <v>131</v>
      </c>
      <c r="B943" s="13" t="s">
        <v>132</v>
      </c>
      <c r="C943" s="13" t="n">
        <v>12</v>
      </c>
      <c r="D943" s="13" t="s">
        <v>155</v>
      </c>
      <c r="E943" s="13" t="s">
        <v>45</v>
      </c>
      <c r="F943" s="13" t="n">
        <v>0</v>
      </c>
      <c r="G943" s="13" t="n">
        <v>0</v>
      </c>
      <c r="H943" s="13" t="n">
        <v>0</v>
      </c>
      <c r="I943" s="13" t="n">
        <f aca="false">H943-G943</f>
        <v>0</v>
      </c>
      <c r="J943" s="13" t="n">
        <f aca="false">H943-F943</f>
        <v>0</v>
      </c>
    </row>
    <row r="944" customFormat="false" ht="15" hidden="false" customHeight="false" outlineLevel="0" collapsed="false">
      <c r="A944" s="13" t="s">
        <v>131</v>
      </c>
      <c r="B944" s="13" t="s">
        <v>132</v>
      </c>
      <c r="C944" s="13" t="n">
        <v>12</v>
      </c>
      <c r="D944" s="13" t="s">
        <v>155</v>
      </c>
      <c r="E944" s="13" t="s">
        <v>46</v>
      </c>
      <c r="F944" s="13" t="n">
        <v>0</v>
      </c>
      <c r="G944" s="13" t="n">
        <v>0</v>
      </c>
      <c r="H944" s="13" t="n">
        <v>0</v>
      </c>
      <c r="I944" s="13" t="n">
        <f aca="false">H944-G944</f>
        <v>0</v>
      </c>
      <c r="J944" s="13" t="n">
        <f aca="false">H944-F944</f>
        <v>0</v>
      </c>
    </row>
    <row r="945" customFormat="false" ht="15" hidden="false" customHeight="false" outlineLevel="0" collapsed="false">
      <c r="A945" s="13" t="s">
        <v>133</v>
      </c>
      <c r="B945" s="13" t="s">
        <v>134</v>
      </c>
      <c r="C945" s="13" t="n">
        <v>11</v>
      </c>
      <c r="D945" s="13" t="s">
        <v>23</v>
      </c>
      <c r="E945" s="13" t="s">
        <v>22</v>
      </c>
      <c r="F945" s="13" t="n">
        <v>36</v>
      </c>
      <c r="G945" s="13" t="n">
        <v>11</v>
      </c>
      <c r="H945" s="13" t="n">
        <v>11</v>
      </c>
      <c r="I945" s="13" t="n">
        <f aca="false">H945-G945</f>
        <v>0</v>
      </c>
      <c r="J945" s="13" t="n">
        <f aca="false">H945-F945</f>
        <v>-25</v>
      </c>
    </row>
    <row r="946" customFormat="false" ht="15" hidden="false" customHeight="false" outlineLevel="0" collapsed="false">
      <c r="A946" s="13" t="s">
        <v>133</v>
      </c>
      <c r="B946" s="13" t="s">
        <v>134</v>
      </c>
      <c r="C946" s="13" t="n">
        <v>11</v>
      </c>
      <c r="D946" s="13" t="s">
        <v>23</v>
      </c>
      <c r="E946" s="13" t="s">
        <v>24</v>
      </c>
      <c r="F946" s="13" t="n">
        <v>4</v>
      </c>
      <c r="G946" s="13" t="n">
        <v>11</v>
      </c>
      <c r="H946" s="13" t="n">
        <v>11</v>
      </c>
      <c r="I946" s="13" t="n">
        <f aca="false">H946-G946</f>
        <v>0</v>
      </c>
      <c r="J946" s="13" t="n">
        <f aca="false">H946-F946</f>
        <v>7</v>
      </c>
    </row>
    <row r="947" customFormat="false" ht="15" hidden="false" customHeight="false" outlineLevel="0" collapsed="false">
      <c r="A947" s="13" t="s">
        <v>133</v>
      </c>
      <c r="B947" s="13" t="s">
        <v>134</v>
      </c>
      <c r="C947" s="13" t="n">
        <v>11</v>
      </c>
      <c r="D947" s="13" t="s">
        <v>23</v>
      </c>
      <c r="E947" s="13" t="s">
        <v>25</v>
      </c>
      <c r="F947" s="13" t="n">
        <v>29</v>
      </c>
      <c r="G947" s="13" t="n">
        <v>10</v>
      </c>
      <c r="H947" s="13" t="n">
        <v>10</v>
      </c>
      <c r="I947" s="13" t="n">
        <f aca="false">H947-G947</f>
        <v>0</v>
      </c>
      <c r="J947" s="13" t="n">
        <f aca="false">H947-F947</f>
        <v>-19</v>
      </c>
    </row>
    <row r="948" customFormat="false" ht="15" hidden="false" customHeight="false" outlineLevel="0" collapsed="false">
      <c r="A948" s="13" t="s">
        <v>133</v>
      </c>
      <c r="B948" s="13" t="s">
        <v>134</v>
      </c>
      <c r="C948" s="13" t="n">
        <v>11</v>
      </c>
      <c r="D948" s="13" t="s">
        <v>23</v>
      </c>
      <c r="E948" s="13" t="s">
        <v>26</v>
      </c>
      <c r="F948" s="13" t="n">
        <v>20</v>
      </c>
      <c r="G948" s="13" t="n">
        <v>7</v>
      </c>
      <c r="H948" s="13" t="n">
        <v>7</v>
      </c>
      <c r="I948" s="13" t="n">
        <f aca="false">H948-G948</f>
        <v>0</v>
      </c>
      <c r="J948" s="13" t="n">
        <f aca="false">H948-F948</f>
        <v>-13</v>
      </c>
    </row>
    <row r="949" customFormat="false" ht="15" hidden="false" customHeight="false" outlineLevel="0" collapsed="false">
      <c r="A949" s="13" t="s">
        <v>133</v>
      </c>
      <c r="B949" s="13" t="s">
        <v>134</v>
      </c>
      <c r="C949" s="13" t="n">
        <v>11</v>
      </c>
      <c r="D949" s="13" t="s">
        <v>23</v>
      </c>
      <c r="E949" s="13" t="s">
        <v>27</v>
      </c>
      <c r="F949" s="13" t="n">
        <v>34</v>
      </c>
      <c r="G949" s="13" t="n">
        <v>11</v>
      </c>
      <c r="H949" s="13" t="n">
        <v>11</v>
      </c>
      <c r="I949" s="13" t="n">
        <f aca="false">H949-G949</f>
        <v>0</v>
      </c>
      <c r="J949" s="13" t="n">
        <f aca="false">H949-F949</f>
        <v>-23</v>
      </c>
    </row>
    <row r="950" customFormat="false" ht="15" hidden="false" customHeight="false" outlineLevel="0" collapsed="false">
      <c r="A950" s="13" t="s">
        <v>133</v>
      </c>
      <c r="B950" s="13" t="s">
        <v>134</v>
      </c>
      <c r="C950" s="13" t="n">
        <v>11</v>
      </c>
      <c r="D950" s="13" t="s">
        <v>23</v>
      </c>
      <c r="E950" s="13" t="s">
        <v>28</v>
      </c>
      <c r="F950" s="13" t="n">
        <v>32</v>
      </c>
      <c r="G950" s="13" t="n">
        <v>11</v>
      </c>
      <c r="H950" s="13" t="n">
        <v>11</v>
      </c>
      <c r="I950" s="13" t="n">
        <f aca="false">H950-G950</f>
        <v>0</v>
      </c>
      <c r="J950" s="13" t="n">
        <f aca="false">H950-F950</f>
        <v>-21</v>
      </c>
    </row>
    <row r="951" customFormat="false" ht="15" hidden="false" customHeight="false" outlineLevel="0" collapsed="false">
      <c r="A951" s="13" t="s">
        <v>133</v>
      </c>
      <c r="B951" s="13" t="s">
        <v>134</v>
      </c>
      <c r="C951" s="13" t="n">
        <v>11</v>
      </c>
      <c r="D951" s="13" t="s">
        <v>23</v>
      </c>
      <c r="E951" s="13" t="s">
        <v>29</v>
      </c>
      <c r="F951" s="13" t="n">
        <v>32</v>
      </c>
      <c r="G951" s="13" t="n">
        <v>11</v>
      </c>
      <c r="H951" s="13" t="n">
        <v>11</v>
      </c>
      <c r="I951" s="13" t="n">
        <f aca="false">H951-G951</f>
        <v>0</v>
      </c>
      <c r="J951" s="13" t="n">
        <f aca="false">H951-F951</f>
        <v>-21</v>
      </c>
    </row>
    <row r="952" customFormat="false" ht="15" hidden="false" customHeight="false" outlineLevel="0" collapsed="false">
      <c r="A952" s="13" t="s">
        <v>133</v>
      </c>
      <c r="B952" s="13" t="s">
        <v>134</v>
      </c>
      <c r="C952" s="13" t="n">
        <v>11</v>
      </c>
      <c r="D952" s="13" t="s">
        <v>23</v>
      </c>
      <c r="E952" s="13" t="s">
        <v>30</v>
      </c>
      <c r="F952" s="13" t="n">
        <v>36</v>
      </c>
      <c r="G952" s="13" t="n">
        <v>11</v>
      </c>
      <c r="H952" s="13" t="n">
        <v>11</v>
      </c>
      <c r="I952" s="13" t="n">
        <f aca="false">H952-G952</f>
        <v>0</v>
      </c>
      <c r="J952" s="13" t="n">
        <f aca="false">H952-F952</f>
        <v>-25</v>
      </c>
    </row>
    <row r="953" customFormat="false" ht="15" hidden="false" customHeight="false" outlineLevel="0" collapsed="false">
      <c r="A953" s="13" t="s">
        <v>133</v>
      </c>
      <c r="B953" s="13" t="s">
        <v>134</v>
      </c>
      <c r="C953" s="13" t="n">
        <v>11</v>
      </c>
      <c r="D953" s="13" t="s">
        <v>23</v>
      </c>
      <c r="E953" s="13" t="s">
        <v>31</v>
      </c>
      <c r="F953" s="13" t="n">
        <v>0</v>
      </c>
      <c r="G953" s="13" t="n">
        <v>0</v>
      </c>
      <c r="H953" s="13" t="n">
        <v>0</v>
      </c>
      <c r="I953" s="13" t="n">
        <f aca="false">H953-G953</f>
        <v>0</v>
      </c>
      <c r="J953" s="13" t="n">
        <f aca="false">H953-F953</f>
        <v>0</v>
      </c>
    </row>
    <row r="954" customFormat="false" ht="15" hidden="false" customHeight="false" outlineLevel="0" collapsed="false">
      <c r="A954" s="13" t="s">
        <v>133</v>
      </c>
      <c r="B954" s="13" t="s">
        <v>134</v>
      </c>
      <c r="C954" s="13" t="n">
        <v>11</v>
      </c>
      <c r="D954" s="13" t="s">
        <v>23</v>
      </c>
      <c r="E954" s="13" t="s">
        <v>32</v>
      </c>
      <c r="F954" s="13" t="n">
        <v>0</v>
      </c>
      <c r="G954" s="13" t="n">
        <v>9</v>
      </c>
      <c r="H954" s="13" t="n">
        <v>9</v>
      </c>
      <c r="I954" s="13" t="n">
        <f aca="false">H954-G954</f>
        <v>0</v>
      </c>
      <c r="J954" s="13" t="n">
        <f aca="false">H954-F954</f>
        <v>9</v>
      </c>
    </row>
    <row r="955" customFormat="false" ht="15" hidden="false" customHeight="false" outlineLevel="0" collapsed="false">
      <c r="A955" s="13" t="s">
        <v>133</v>
      </c>
      <c r="B955" s="13" t="s">
        <v>134</v>
      </c>
      <c r="C955" s="13" t="n">
        <v>11</v>
      </c>
      <c r="D955" s="13" t="s">
        <v>23</v>
      </c>
      <c r="E955" s="13" t="s">
        <v>33</v>
      </c>
      <c r="F955" s="13" t="n">
        <v>0</v>
      </c>
      <c r="G955" s="13" t="n">
        <v>0</v>
      </c>
      <c r="H955" s="13" t="n">
        <v>0</v>
      </c>
      <c r="I955" s="13" t="n">
        <f aca="false">H955-G955</f>
        <v>0</v>
      </c>
      <c r="J955" s="13" t="n">
        <f aca="false">H955-F955</f>
        <v>0</v>
      </c>
    </row>
    <row r="956" customFormat="false" ht="15" hidden="false" customHeight="false" outlineLevel="0" collapsed="false">
      <c r="A956" s="13" t="s">
        <v>133</v>
      </c>
      <c r="B956" s="13" t="s">
        <v>134</v>
      </c>
      <c r="C956" s="13" t="n">
        <v>11</v>
      </c>
      <c r="D956" s="13" t="s">
        <v>23</v>
      </c>
      <c r="E956" s="13" t="s">
        <v>34</v>
      </c>
      <c r="F956" s="13" t="n">
        <v>0</v>
      </c>
      <c r="G956" s="13" t="n">
        <v>0</v>
      </c>
      <c r="H956" s="13" t="n">
        <v>0</v>
      </c>
      <c r="I956" s="13" t="n">
        <f aca="false">H956-G956</f>
        <v>0</v>
      </c>
      <c r="J956" s="13" t="n">
        <f aca="false">H956-F956</f>
        <v>0</v>
      </c>
    </row>
    <row r="957" customFormat="false" ht="15" hidden="false" customHeight="false" outlineLevel="0" collapsed="false">
      <c r="A957" s="13" t="s">
        <v>133</v>
      </c>
      <c r="B957" s="13" t="s">
        <v>134</v>
      </c>
      <c r="C957" s="13" t="n">
        <v>11</v>
      </c>
      <c r="D957" s="13" t="s">
        <v>23</v>
      </c>
      <c r="E957" s="13" t="s">
        <v>35</v>
      </c>
      <c r="F957" s="13" t="n">
        <v>0</v>
      </c>
      <c r="G957" s="13" t="n">
        <v>0</v>
      </c>
      <c r="H957" s="13" t="n">
        <v>0</v>
      </c>
      <c r="I957" s="13" t="n">
        <f aca="false">H957-G957</f>
        <v>0</v>
      </c>
      <c r="J957" s="13" t="n">
        <f aca="false">H957-F957</f>
        <v>0</v>
      </c>
    </row>
    <row r="958" customFormat="false" ht="15" hidden="false" customHeight="false" outlineLevel="0" collapsed="false">
      <c r="A958" s="13" t="s">
        <v>133</v>
      </c>
      <c r="B958" s="13" t="s">
        <v>134</v>
      </c>
      <c r="C958" s="13" t="n">
        <v>11</v>
      </c>
      <c r="D958" s="13" t="s">
        <v>23</v>
      </c>
      <c r="E958" s="13" t="s">
        <v>36</v>
      </c>
      <c r="F958" s="13" t="n">
        <v>0</v>
      </c>
      <c r="G958" s="13" t="n">
        <v>0</v>
      </c>
      <c r="H958" s="13" t="n">
        <v>0</v>
      </c>
      <c r="I958" s="13" t="n">
        <f aca="false">H958-G958</f>
        <v>0</v>
      </c>
      <c r="J958" s="13" t="n">
        <f aca="false">H958-F958</f>
        <v>0</v>
      </c>
    </row>
    <row r="959" customFormat="false" ht="15" hidden="false" customHeight="false" outlineLevel="0" collapsed="false">
      <c r="A959" s="13" t="s">
        <v>133</v>
      </c>
      <c r="B959" s="13" t="s">
        <v>134</v>
      </c>
      <c r="C959" s="13" t="n">
        <v>11</v>
      </c>
      <c r="D959" s="13" t="s">
        <v>155</v>
      </c>
      <c r="E959" s="13" t="s">
        <v>37</v>
      </c>
      <c r="F959" s="13" t="n">
        <v>1</v>
      </c>
      <c r="G959" s="13" t="n">
        <v>1</v>
      </c>
      <c r="H959" s="13" t="n">
        <v>1</v>
      </c>
      <c r="I959" s="13" t="n">
        <f aca="false">H959-G959</f>
        <v>0</v>
      </c>
      <c r="J959" s="13" t="n">
        <f aca="false">H959-F959</f>
        <v>0</v>
      </c>
    </row>
    <row r="960" customFormat="false" ht="15" hidden="false" customHeight="false" outlineLevel="0" collapsed="false">
      <c r="A960" s="13" t="s">
        <v>133</v>
      </c>
      <c r="B960" s="13" t="s">
        <v>134</v>
      </c>
      <c r="C960" s="13" t="n">
        <v>11</v>
      </c>
      <c r="D960" s="13" t="s">
        <v>155</v>
      </c>
      <c r="E960" s="13" t="s">
        <v>39</v>
      </c>
      <c r="F960" s="13" t="n">
        <v>0</v>
      </c>
      <c r="G960" s="13" t="n">
        <v>0</v>
      </c>
      <c r="H960" s="13" t="n">
        <v>0</v>
      </c>
      <c r="I960" s="13" t="n">
        <f aca="false">H960-G960</f>
        <v>0</v>
      </c>
      <c r="J960" s="13" t="n">
        <f aca="false">H960-F960</f>
        <v>0</v>
      </c>
    </row>
    <row r="961" customFormat="false" ht="15" hidden="false" customHeight="false" outlineLevel="0" collapsed="false">
      <c r="A961" s="13" t="s">
        <v>133</v>
      </c>
      <c r="B961" s="13" t="s">
        <v>134</v>
      </c>
      <c r="C961" s="13" t="n">
        <v>11</v>
      </c>
      <c r="D961" s="13" t="s">
        <v>155</v>
      </c>
      <c r="E961" s="13" t="s">
        <v>40</v>
      </c>
      <c r="F961" s="13" t="n">
        <v>1</v>
      </c>
      <c r="G961" s="13" t="n">
        <v>1</v>
      </c>
      <c r="H961" s="13" t="n">
        <v>1</v>
      </c>
      <c r="I961" s="13" t="n">
        <f aca="false">H961-G961</f>
        <v>0</v>
      </c>
      <c r="J961" s="13" t="n">
        <f aca="false">H961-F961</f>
        <v>0</v>
      </c>
    </row>
    <row r="962" customFormat="false" ht="15" hidden="false" customHeight="false" outlineLevel="0" collapsed="false">
      <c r="A962" s="13" t="s">
        <v>133</v>
      </c>
      <c r="B962" s="13" t="s">
        <v>134</v>
      </c>
      <c r="C962" s="13" t="n">
        <v>11</v>
      </c>
      <c r="D962" s="13" t="s">
        <v>155</v>
      </c>
      <c r="E962" s="13" t="s">
        <v>41</v>
      </c>
      <c r="F962" s="13" t="n">
        <v>0</v>
      </c>
      <c r="G962" s="13" t="n">
        <v>0</v>
      </c>
      <c r="H962" s="13" t="n">
        <v>0</v>
      </c>
      <c r="I962" s="13" t="n">
        <f aca="false">H962-G962</f>
        <v>0</v>
      </c>
      <c r="J962" s="13" t="n">
        <f aca="false">H962-F962</f>
        <v>0</v>
      </c>
    </row>
    <row r="963" customFormat="false" ht="15" hidden="false" customHeight="false" outlineLevel="0" collapsed="false">
      <c r="A963" s="13" t="s">
        <v>133</v>
      </c>
      <c r="B963" s="13" t="s">
        <v>134</v>
      </c>
      <c r="C963" s="13" t="n">
        <v>11</v>
      </c>
      <c r="D963" s="13" t="s">
        <v>155</v>
      </c>
      <c r="E963" s="13" t="s">
        <v>42</v>
      </c>
      <c r="F963" s="13" t="n">
        <v>1</v>
      </c>
      <c r="G963" s="13" t="n">
        <v>1</v>
      </c>
      <c r="H963" s="13" t="n">
        <v>1</v>
      </c>
      <c r="I963" s="13" t="n">
        <f aca="false">H963-G963</f>
        <v>0</v>
      </c>
      <c r="J963" s="13" t="n">
        <f aca="false">H963-F963</f>
        <v>0</v>
      </c>
    </row>
    <row r="964" customFormat="false" ht="15" hidden="false" customHeight="false" outlineLevel="0" collapsed="false">
      <c r="A964" s="13" t="s">
        <v>133</v>
      </c>
      <c r="B964" s="13" t="s">
        <v>134</v>
      </c>
      <c r="C964" s="13" t="n">
        <v>11</v>
      </c>
      <c r="D964" s="13" t="s">
        <v>155</v>
      </c>
      <c r="E964" s="13" t="s">
        <v>43</v>
      </c>
      <c r="F964" s="13" t="n">
        <v>1</v>
      </c>
      <c r="G964" s="13" t="n">
        <v>1</v>
      </c>
      <c r="H964" s="13" t="n">
        <v>1</v>
      </c>
      <c r="I964" s="13" t="n">
        <f aca="false">H964-G964</f>
        <v>0</v>
      </c>
      <c r="J964" s="13" t="n">
        <f aca="false">H964-F964</f>
        <v>0</v>
      </c>
    </row>
    <row r="965" customFormat="false" ht="15" hidden="false" customHeight="false" outlineLevel="0" collapsed="false">
      <c r="A965" s="13" t="s">
        <v>133</v>
      </c>
      <c r="B965" s="13" t="s">
        <v>134</v>
      </c>
      <c r="C965" s="13" t="n">
        <v>11</v>
      </c>
      <c r="D965" s="13" t="s">
        <v>155</v>
      </c>
      <c r="E965" s="13" t="s">
        <v>44</v>
      </c>
      <c r="F965" s="13" t="n">
        <v>1</v>
      </c>
      <c r="G965" s="13" t="n">
        <v>1</v>
      </c>
      <c r="H965" s="13" t="n">
        <v>1</v>
      </c>
      <c r="I965" s="13" t="n">
        <f aca="false">H965-G965</f>
        <v>0</v>
      </c>
      <c r="J965" s="13" t="n">
        <f aca="false">H965-F965</f>
        <v>0</v>
      </c>
    </row>
    <row r="966" customFormat="false" ht="15" hidden="false" customHeight="false" outlineLevel="0" collapsed="false">
      <c r="A966" s="13" t="s">
        <v>133</v>
      </c>
      <c r="B966" s="13" t="s">
        <v>134</v>
      </c>
      <c r="C966" s="13" t="n">
        <v>11</v>
      </c>
      <c r="D966" s="13" t="s">
        <v>155</v>
      </c>
      <c r="E966" s="13" t="s">
        <v>45</v>
      </c>
      <c r="F966" s="13" t="n">
        <v>0</v>
      </c>
      <c r="G966" s="13" t="n">
        <v>0</v>
      </c>
      <c r="H966" s="13" t="n">
        <v>0</v>
      </c>
      <c r="I966" s="13" t="n">
        <f aca="false">H966-G966</f>
        <v>0</v>
      </c>
      <c r="J966" s="13" t="n">
        <f aca="false">H966-F966</f>
        <v>0</v>
      </c>
    </row>
    <row r="967" customFormat="false" ht="15" hidden="false" customHeight="false" outlineLevel="0" collapsed="false">
      <c r="A967" s="13" t="s">
        <v>133</v>
      </c>
      <c r="B967" s="13" t="s">
        <v>134</v>
      </c>
      <c r="C967" s="13" t="n">
        <v>11</v>
      </c>
      <c r="D967" s="13" t="s">
        <v>155</v>
      </c>
      <c r="E967" s="13" t="s">
        <v>46</v>
      </c>
      <c r="F967" s="13" t="n">
        <v>0</v>
      </c>
      <c r="G967" s="13" t="n">
        <v>0</v>
      </c>
      <c r="H967" s="13" t="n">
        <v>0</v>
      </c>
      <c r="I967" s="13" t="n">
        <f aca="false">H967-G967</f>
        <v>0</v>
      </c>
      <c r="J967" s="13" t="n">
        <f aca="false">H967-F967</f>
        <v>0</v>
      </c>
    </row>
    <row r="968" customFormat="false" ht="15" hidden="false" customHeight="false" outlineLevel="0" collapsed="false">
      <c r="A968" s="13" t="s">
        <v>135</v>
      </c>
      <c r="B968" s="13" t="s">
        <v>136</v>
      </c>
      <c r="C968" s="13" t="n">
        <v>8</v>
      </c>
      <c r="D968" s="13" t="s">
        <v>23</v>
      </c>
      <c r="E968" s="13" t="s">
        <v>22</v>
      </c>
      <c r="F968" s="13" t="n">
        <v>2</v>
      </c>
      <c r="G968" s="13" t="n">
        <v>6</v>
      </c>
      <c r="H968" s="13" t="n">
        <v>6</v>
      </c>
      <c r="I968" s="13" t="n">
        <f aca="false">H968-G968</f>
        <v>0</v>
      </c>
      <c r="J968" s="13" t="n">
        <f aca="false">H968-F968</f>
        <v>4</v>
      </c>
    </row>
    <row r="969" customFormat="false" ht="15" hidden="false" customHeight="false" outlineLevel="0" collapsed="false">
      <c r="A969" s="13" t="s">
        <v>135</v>
      </c>
      <c r="B969" s="13" t="s">
        <v>136</v>
      </c>
      <c r="C969" s="13" t="n">
        <v>8</v>
      </c>
      <c r="D969" s="13" t="s">
        <v>23</v>
      </c>
      <c r="E969" s="13" t="s">
        <v>24</v>
      </c>
      <c r="F969" s="13" t="n">
        <v>4</v>
      </c>
      <c r="G969" s="13" t="n">
        <v>8</v>
      </c>
      <c r="H969" s="13" t="n">
        <v>8</v>
      </c>
      <c r="I969" s="13" t="n">
        <f aca="false">H969-G969</f>
        <v>0</v>
      </c>
      <c r="J969" s="13" t="n">
        <f aca="false">H969-F969</f>
        <v>4</v>
      </c>
    </row>
    <row r="970" customFormat="false" ht="15" hidden="false" customHeight="false" outlineLevel="0" collapsed="false">
      <c r="A970" s="13" t="s">
        <v>135</v>
      </c>
      <c r="B970" s="13" t="s">
        <v>136</v>
      </c>
      <c r="C970" s="13" t="n">
        <v>8</v>
      </c>
      <c r="D970" s="13" t="s">
        <v>23</v>
      </c>
      <c r="E970" s="13" t="s">
        <v>25</v>
      </c>
      <c r="F970" s="13" t="n">
        <v>4</v>
      </c>
      <c r="G970" s="13" t="n">
        <v>8</v>
      </c>
      <c r="H970" s="13" t="n">
        <v>8</v>
      </c>
      <c r="I970" s="13" t="n">
        <f aca="false">H970-G970</f>
        <v>0</v>
      </c>
      <c r="J970" s="13" t="n">
        <f aca="false">H970-F970</f>
        <v>4</v>
      </c>
    </row>
    <row r="971" customFormat="false" ht="15" hidden="false" customHeight="false" outlineLevel="0" collapsed="false">
      <c r="A971" s="13" t="s">
        <v>135</v>
      </c>
      <c r="B971" s="13" t="s">
        <v>136</v>
      </c>
      <c r="C971" s="13" t="n">
        <v>8</v>
      </c>
      <c r="D971" s="13" t="s">
        <v>23</v>
      </c>
      <c r="E971" s="13" t="s">
        <v>26</v>
      </c>
      <c r="F971" s="13" t="n">
        <v>2</v>
      </c>
      <c r="G971" s="13" t="n">
        <v>5</v>
      </c>
      <c r="H971" s="13" t="n">
        <v>5</v>
      </c>
      <c r="I971" s="13" t="n">
        <f aca="false">H971-G971</f>
        <v>0</v>
      </c>
      <c r="J971" s="13" t="n">
        <f aca="false">H971-F971</f>
        <v>3</v>
      </c>
    </row>
    <row r="972" customFormat="false" ht="15" hidden="false" customHeight="false" outlineLevel="0" collapsed="false">
      <c r="A972" s="13" t="s">
        <v>135</v>
      </c>
      <c r="B972" s="13" t="s">
        <v>136</v>
      </c>
      <c r="C972" s="13" t="n">
        <v>8</v>
      </c>
      <c r="D972" s="13" t="s">
        <v>23</v>
      </c>
      <c r="E972" s="13" t="s">
        <v>27</v>
      </c>
      <c r="F972" s="13" t="n">
        <v>1</v>
      </c>
      <c r="G972" s="13" t="n">
        <v>6</v>
      </c>
      <c r="H972" s="13" t="n">
        <v>6</v>
      </c>
      <c r="I972" s="13" t="n">
        <f aca="false">H972-G972</f>
        <v>0</v>
      </c>
      <c r="J972" s="13" t="n">
        <f aca="false">H972-F972</f>
        <v>5</v>
      </c>
    </row>
    <row r="973" customFormat="false" ht="15" hidden="false" customHeight="false" outlineLevel="0" collapsed="false">
      <c r="A973" s="13" t="s">
        <v>135</v>
      </c>
      <c r="B973" s="13" t="s">
        <v>136</v>
      </c>
      <c r="C973" s="13" t="n">
        <v>8</v>
      </c>
      <c r="D973" s="13" t="s">
        <v>23</v>
      </c>
      <c r="E973" s="13" t="s">
        <v>28</v>
      </c>
      <c r="F973" s="13" t="n">
        <v>2</v>
      </c>
      <c r="G973" s="13" t="n">
        <v>7</v>
      </c>
      <c r="H973" s="13" t="n">
        <v>7</v>
      </c>
      <c r="I973" s="13" t="n">
        <f aca="false">H973-G973</f>
        <v>0</v>
      </c>
      <c r="J973" s="13" t="n">
        <f aca="false">H973-F973</f>
        <v>5</v>
      </c>
    </row>
    <row r="974" customFormat="false" ht="15" hidden="false" customHeight="false" outlineLevel="0" collapsed="false">
      <c r="A974" s="13" t="s">
        <v>135</v>
      </c>
      <c r="B974" s="13" t="s">
        <v>136</v>
      </c>
      <c r="C974" s="13" t="n">
        <v>8</v>
      </c>
      <c r="D974" s="13" t="s">
        <v>23</v>
      </c>
      <c r="E974" s="13" t="s">
        <v>29</v>
      </c>
      <c r="F974" s="13" t="n">
        <v>0</v>
      </c>
      <c r="G974" s="13" t="n">
        <v>0</v>
      </c>
      <c r="H974" s="13" t="n">
        <v>0</v>
      </c>
      <c r="I974" s="13" t="n">
        <f aca="false">H974-G974</f>
        <v>0</v>
      </c>
      <c r="J974" s="13" t="n">
        <f aca="false">H974-F974</f>
        <v>0</v>
      </c>
    </row>
    <row r="975" customFormat="false" ht="15" hidden="false" customHeight="false" outlineLevel="0" collapsed="false">
      <c r="A975" s="13" t="s">
        <v>135</v>
      </c>
      <c r="B975" s="13" t="s">
        <v>136</v>
      </c>
      <c r="C975" s="13" t="n">
        <v>8</v>
      </c>
      <c r="D975" s="13" t="s">
        <v>23</v>
      </c>
      <c r="E975" s="13" t="s">
        <v>30</v>
      </c>
      <c r="F975" s="13" t="n">
        <v>4</v>
      </c>
      <c r="G975" s="13" t="n">
        <v>8</v>
      </c>
      <c r="H975" s="13" t="n">
        <v>8</v>
      </c>
      <c r="I975" s="13" t="n">
        <f aca="false">H975-G975</f>
        <v>0</v>
      </c>
      <c r="J975" s="13" t="n">
        <f aca="false">H975-F975</f>
        <v>4</v>
      </c>
    </row>
    <row r="976" customFormat="false" ht="15" hidden="false" customHeight="false" outlineLevel="0" collapsed="false">
      <c r="A976" s="13" t="s">
        <v>135</v>
      </c>
      <c r="B976" s="13" t="s">
        <v>136</v>
      </c>
      <c r="C976" s="13" t="n">
        <v>8</v>
      </c>
      <c r="D976" s="13" t="s">
        <v>23</v>
      </c>
      <c r="E976" s="13" t="s">
        <v>31</v>
      </c>
      <c r="F976" s="13" t="n">
        <v>0</v>
      </c>
      <c r="G976" s="13" t="n">
        <v>0</v>
      </c>
      <c r="H976" s="13" t="n">
        <v>0</v>
      </c>
      <c r="I976" s="13" t="n">
        <f aca="false">H976-G976</f>
        <v>0</v>
      </c>
      <c r="J976" s="13" t="n">
        <f aca="false">H976-F976</f>
        <v>0</v>
      </c>
    </row>
    <row r="977" customFormat="false" ht="15" hidden="false" customHeight="false" outlineLevel="0" collapsed="false">
      <c r="A977" s="13" t="s">
        <v>135</v>
      </c>
      <c r="B977" s="13" t="s">
        <v>136</v>
      </c>
      <c r="C977" s="13" t="n">
        <v>8</v>
      </c>
      <c r="D977" s="13" t="s">
        <v>23</v>
      </c>
      <c r="E977" s="13" t="s">
        <v>32</v>
      </c>
      <c r="F977" s="13" t="n">
        <v>2</v>
      </c>
      <c r="G977" s="13" t="n">
        <v>6</v>
      </c>
      <c r="H977" s="13" t="n">
        <v>6</v>
      </c>
      <c r="I977" s="13" t="n">
        <f aca="false">H977-G977</f>
        <v>0</v>
      </c>
      <c r="J977" s="13" t="n">
        <f aca="false">H977-F977</f>
        <v>4</v>
      </c>
    </row>
    <row r="978" customFormat="false" ht="15" hidden="false" customHeight="false" outlineLevel="0" collapsed="false">
      <c r="A978" s="13" t="s">
        <v>135</v>
      </c>
      <c r="B978" s="13" t="s">
        <v>136</v>
      </c>
      <c r="C978" s="13" t="n">
        <v>8</v>
      </c>
      <c r="D978" s="13" t="s">
        <v>23</v>
      </c>
      <c r="E978" s="13" t="s">
        <v>33</v>
      </c>
      <c r="F978" s="13" t="n">
        <v>0</v>
      </c>
      <c r="G978" s="13" t="n">
        <v>0</v>
      </c>
      <c r="H978" s="13" t="n">
        <v>0</v>
      </c>
      <c r="I978" s="13" t="n">
        <f aca="false">H978-G978</f>
        <v>0</v>
      </c>
      <c r="J978" s="13" t="n">
        <f aca="false">H978-F978</f>
        <v>0</v>
      </c>
    </row>
    <row r="979" customFormat="false" ht="15" hidden="false" customHeight="false" outlineLevel="0" collapsed="false">
      <c r="A979" s="13" t="s">
        <v>135</v>
      </c>
      <c r="B979" s="13" t="s">
        <v>136</v>
      </c>
      <c r="C979" s="13" t="n">
        <v>8</v>
      </c>
      <c r="D979" s="13" t="s">
        <v>23</v>
      </c>
      <c r="E979" s="13" t="s">
        <v>34</v>
      </c>
      <c r="F979" s="13" t="n">
        <v>0</v>
      </c>
      <c r="G979" s="13" t="n">
        <v>0</v>
      </c>
      <c r="H979" s="13" t="n">
        <v>0</v>
      </c>
      <c r="I979" s="13" t="n">
        <f aca="false">H979-G979</f>
        <v>0</v>
      </c>
      <c r="J979" s="13" t="n">
        <f aca="false">H979-F979</f>
        <v>0</v>
      </c>
    </row>
    <row r="980" customFormat="false" ht="15" hidden="false" customHeight="false" outlineLevel="0" collapsed="false">
      <c r="A980" s="13" t="s">
        <v>135</v>
      </c>
      <c r="B980" s="13" t="s">
        <v>136</v>
      </c>
      <c r="C980" s="13" t="n">
        <v>8</v>
      </c>
      <c r="D980" s="13" t="s">
        <v>23</v>
      </c>
      <c r="E980" s="13" t="s">
        <v>35</v>
      </c>
      <c r="F980" s="13" t="n">
        <v>0</v>
      </c>
      <c r="G980" s="13" t="n">
        <v>0</v>
      </c>
      <c r="H980" s="13" t="n">
        <v>0</v>
      </c>
      <c r="I980" s="13" t="n">
        <f aca="false">H980-G980</f>
        <v>0</v>
      </c>
      <c r="J980" s="13" t="n">
        <f aca="false">H980-F980</f>
        <v>0</v>
      </c>
    </row>
    <row r="981" customFormat="false" ht="15" hidden="false" customHeight="false" outlineLevel="0" collapsed="false">
      <c r="A981" s="13" t="s">
        <v>135</v>
      </c>
      <c r="B981" s="13" t="s">
        <v>136</v>
      </c>
      <c r="C981" s="13" t="n">
        <v>8</v>
      </c>
      <c r="D981" s="13" t="s">
        <v>23</v>
      </c>
      <c r="E981" s="13" t="s">
        <v>36</v>
      </c>
      <c r="F981" s="13" t="n">
        <v>0</v>
      </c>
      <c r="G981" s="13" t="n">
        <v>0</v>
      </c>
      <c r="H981" s="13" t="n">
        <v>0</v>
      </c>
      <c r="I981" s="13" t="n">
        <f aca="false">H981-G981</f>
        <v>0</v>
      </c>
      <c r="J981" s="13" t="n">
        <f aca="false">H981-F981</f>
        <v>0</v>
      </c>
    </row>
    <row r="982" customFormat="false" ht="15" hidden="false" customHeight="false" outlineLevel="0" collapsed="false">
      <c r="A982" s="13" t="s">
        <v>135</v>
      </c>
      <c r="B982" s="13" t="s">
        <v>136</v>
      </c>
      <c r="C982" s="13" t="n">
        <v>8</v>
      </c>
      <c r="D982" s="13" t="s">
        <v>155</v>
      </c>
      <c r="E982" s="13" t="s">
        <v>37</v>
      </c>
      <c r="F982" s="13" t="n">
        <v>1</v>
      </c>
      <c r="G982" s="13" t="n">
        <v>1</v>
      </c>
      <c r="H982" s="13" t="n">
        <v>1</v>
      </c>
      <c r="I982" s="13" t="n">
        <f aca="false">H982-G982</f>
        <v>0</v>
      </c>
      <c r="J982" s="13" t="n">
        <f aca="false">H982-F982</f>
        <v>0</v>
      </c>
    </row>
    <row r="983" customFormat="false" ht="15" hidden="false" customHeight="false" outlineLevel="0" collapsed="false">
      <c r="A983" s="13" t="s">
        <v>135</v>
      </c>
      <c r="B983" s="13" t="s">
        <v>136</v>
      </c>
      <c r="C983" s="13" t="n">
        <v>8</v>
      </c>
      <c r="D983" s="13" t="s">
        <v>155</v>
      </c>
      <c r="E983" s="13" t="s">
        <v>39</v>
      </c>
      <c r="F983" s="13" t="n">
        <v>0</v>
      </c>
      <c r="G983" s="13" t="n">
        <v>0</v>
      </c>
      <c r="H983" s="13" t="n">
        <v>0</v>
      </c>
      <c r="I983" s="13" t="n">
        <f aca="false">H983-G983</f>
        <v>0</v>
      </c>
      <c r="J983" s="13" t="n">
        <f aca="false">H983-F983</f>
        <v>0</v>
      </c>
    </row>
    <row r="984" customFormat="false" ht="15" hidden="false" customHeight="false" outlineLevel="0" collapsed="false">
      <c r="A984" s="13" t="s">
        <v>135</v>
      </c>
      <c r="B984" s="13" t="s">
        <v>136</v>
      </c>
      <c r="C984" s="13" t="n">
        <v>8</v>
      </c>
      <c r="D984" s="13" t="s">
        <v>155</v>
      </c>
      <c r="E984" s="13" t="s">
        <v>40</v>
      </c>
      <c r="F984" s="13" t="n">
        <v>1</v>
      </c>
      <c r="G984" s="13" t="n">
        <v>1</v>
      </c>
      <c r="H984" s="13" t="n">
        <v>1</v>
      </c>
      <c r="I984" s="13" t="n">
        <f aca="false">H984-G984</f>
        <v>0</v>
      </c>
      <c r="J984" s="13" t="n">
        <f aca="false">H984-F984</f>
        <v>0</v>
      </c>
    </row>
    <row r="985" customFormat="false" ht="15" hidden="false" customHeight="false" outlineLevel="0" collapsed="false">
      <c r="A985" s="13" t="s">
        <v>135</v>
      </c>
      <c r="B985" s="13" t="s">
        <v>136</v>
      </c>
      <c r="C985" s="13" t="n">
        <v>8</v>
      </c>
      <c r="D985" s="13" t="s">
        <v>155</v>
      </c>
      <c r="E985" s="13" t="s">
        <v>41</v>
      </c>
      <c r="F985" s="13" t="n">
        <v>0</v>
      </c>
      <c r="G985" s="13" t="n">
        <v>0</v>
      </c>
      <c r="H985" s="13" t="n">
        <v>0</v>
      </c>
      <c r="I985" s="13" t="n">
        <f aca="false">H985-G985</f>
        <v>0</v>
      </c>
      <c r="J985" s="13" t="n">
        <f aca="false">H985-F985</f>
        <v>0</v>
      </c>
    </row>
    <row r="986" customFormat="false" ht="15" hidden="false" customHeight="false" outlineLevel="0" collapsed="false">
      <c r="A986" s="13" t="s">
        <v>135</v>
      </c>
      <c r="B986" s="13" t="s">
        <v>136</v>
      </c>
      <c r="C986" s="13" t="n">
        <v>8</v>
      </c>
      <c r="D986" s="13" t="s">
        <v>155</v>
      </c>
      <c r="E986" s="13" t="s">
        <v>42</v>
      </c>
      <c r="F986" s="13" t="n">
        <v>1</v>
      </c>
      <c r="G986" s="13" t="n">
        <v>1</v>
      </c>
      <c r="H986" s="13" t="n">
        <v>1</v>
      </c>
      <c r="I986" s="13" t="n">
        <f aca="false">H986-G986</f>
        <v>0</v>
      </c>
      <c r="J986" s="13" t="n">
        <f aca="false">H986-F986</f>
        <v>0</v>
      </c>
    </row>
    <row r="987" customFormat="false" ht="15" hidden="false" customHeight="false" outlineLevel="0" collapsed="false">
      <c r="A987" s="13" t="s">
        <v>135</v>
      </c>
      <c r="B987" s="13" t="s">
        <v>136</v>
      </c>
      <c r="C987" s="13" t="n">
        <v>8</v>
      </c>
      <c r="D987" s="13" t="s">
        <v>155</v>
      </c>
      <c r="E987" s="13" t="s">
        <v>43</v>
      </c>
      <c r="F987" s="13" t="n">
        <v>1</v>
      </c>
      <c r="G987" s="13" t="n">
        <v>1</v>
      </c>
      <c r="H987" s="13" t="n">
        <v>1</v>
      </c>
      <c r="I987" s="13" t="n">
        <f aca="false">H987-G987</f>
        <v>0</v>
      </c>
      <c r="J987" s="13" t="n">
        <f aca="false">H987-F987</f>
        <v>0</v>
      </c>
    </row>
    <row r="988" customFormat="false" ht="15" hidden="false" customHeight="false" outlineLevel="0" collapsed="false">
      <c r="A988" s="13" t="s">
        <v>135</v>
      </c>
      <c r="B988" s="13" t="s">
        <v>136</v>
      </c>
      <c r="C988" s="13" t="n">
        <v>8</v>
      </c>
      <c r="D988" s="13" t="s">
        <v>155</v>
      </c>
      <c r="E988" s="13" t="s">
        <v>44</v>
      </c>
      <c r="F988" s="13" t="n">
        <v>1</v>
      </c>
      <c r="G988" s="13" t="n">
        <v>1</v>
      </c>
      <c r="H988" s="13" t="n">
        <v>1</v>
      </c>
      <c r="I988" s="13" t="n">
        <f aca="false">H988-G988</f>
        <v>0</v>
      </c>
      <c r="J988" s="13" t="n">
        <f aca="false">H988-F988</f>
        <v>0</v>
      </c>
    </row>
    <row r="989" customFormat="false" ht="15" hidden="false" customHeight="false" outlineLevel="0" collapsed="false">
      <c r="A989" s="13" t="s">
        <v>135</v>
      </c>
      <c r="B989" s="13" t="s">
        <v>136</v>
      </c>
      <c r="C989" s="13" t="n">
        <v>8</v>
      </c>
      <c r="D989" s="13" t="s">
        <v>155</v>
      </c>
      <c r="E989" s="13" t="s">
        <v>45</v>
      </c>
      <c r="F989" s="13" t="n">
        <v>0</v>
      </c>
      <c r="G989" s="13" t="n">
        <v>0</v>
      </c>
      <c r="H989" s="13" t="n">
        <v>0</v>
      </c>
      <c r="I989" s="13" t="n">
        <f aca="false">H989-G989</f>
        <v>0</v>
      </c>
      <c r="J989" s="13" t="n">
        <f aca="false">H989-F989</f>
        <v>0</v>
      </c>
    </row>
    <row r="990" customFormat="false" ht="15" hidden="false" customHeight="false" outlineLevel="0" collapsed="false">
      <c r="A990" s="13" t="s">
        <v>135</v>
      </c>
      <c r="B990" s="13" t="s">
        <v>136</v>
      </c>
      <c r="C990" s="13" t="n">
        <v>8</v>
      </c>
      <c r="D990" s="13" t="s">
        <v>155</v>
      </c>
      <c r="E990" s="13" t="s">
        <v>46</v>
      </c>
      <c r="F990" s="13" t="n">
        <v>0</v>
      </c>
      <c r="G990" s="13" t="n">
        <v>0</v>
      </c>
      <c r="H990" s="13" t="n">
        <v>0</v>
      </c>
      <c r="I990" s="13" t="n">
        <f aca="false">H990-G990</f>
        <v>0</v>
      </c>
      <c r="J990" s="13" t="n">
        <f aca="false">H990-F990</f>
        <v>0</v>
      </c>
    </row>
    <row r="991" customFormat="false" ht="15" hidden="false" customHeight="false" outlineLevel="0" collapsed="false">
      <c r="A991" s="13" t="s">
        <v>137</v>
      </c>
      <c r="B991" s="13" t="s">
        <v>138</v>
      </c>
      <c r="C991" s="13" t="n">
        <v>5</v>
      </c>
      <c r="D991" s="13" t="s">
        <v>23</v>
      </c>
      <c r="E991" s="13" t="s">
        <v>22</v>
      </c>
      <c r="F991" s="13" t="n">
        <v>0</v>
      </c>
      <c r="G991" s="13" t="n">
        <v>0</v>
      </c>
      <c r="H991" s="13" t="n">
        <v>0</v>
      </c>
      <c r="I991" s="13" t="n">
        <f aca="false">H991-G991</f>
        <v>0</v>
      </c>
      <c r="J991" s="13" t="n">
        <f aca="false">H991-F991</f>
        <v>0</v>
      </c>
    </row>
    <row r="992" customFormat="false" ht="15" hidden="false" customHeight="false" outlineLevel="0" collapsed="false">
      <c r="A992" s="13" t="s">
        <v>137</v>
      </c>
      <c r="B992" s="13" t="s">
        <v>138</v>
      </c>
      <c r="C992" s="13" t="n">
        <v>5</v>
      </c>
      <c r="D992" s="13" t="s">
        <v>23</v>
      </c>
      <c r="E992" s="13" t="s">
        <v>24</v>
      </c>
      <c r="F992" s="13" t="n">
        <v>5</v>
      </c>
      <c r="G992" s="13" t="n">
        <v>5</v>
      </c>
      <c r="H992" s="13" t="n">
        <v>5</v>
      </c>
      <c r="I992" s="13" t="n">
        <f aca="false">H992-G992</f>
        <v>0</v>
      </c>
      <c r="J992" s="13" t="n">
        <f aca="false">H992-F992</f>
        <v>0</v>
      </c>
    </row>
    <row r="993" customFormat="false" ht="15" hidden="false" customHeight="false" outlineLevel="0" collapsed="false">
      <c r="A993" s="13" t="s">
        <v>137</v>
      </c>
      <c r="B993" s="13" t="s">
        <v>138</v>
      </c>
      <c r="C993" s="13" t="n">
        <v>5</v>
      </c>
      <c r="D993" s="13" t="s">
        <v>23</v>
      </c>
      <c r="E993" s="13" t="s">
        <v>25</v>
      </c>
      <c r="F993" s="13" t="n">
        <v>5</v>
      </c>
      <c r="G993" s="13" t="n">
        <v>5</v>
      </c>
      <c r="H993" s="13" t="n">
        <v>5</v>
      </c>
      <c r="I993" s="13" t="n">
        <f aca="false">H993-G993</f>
        <v>0</v>
      </c>
      <c r="J993" s="13" t="n">
        <f aca="false">H993-F993</f>
        <v>0</v>
      </c>
    </row>
    <row r="994" customFormat="false" ht="15" hidden="false" customHeight="false" outlineLevel="0" collapsed="false">
      <c r="A994" s="13" t="s">
        <v>137</v>
      </c>
      <c r="B994" s="13" t="s">
        <v>138</v>
      </c>
      <c r="C994" s="13" t="n">
        <v>5</v>
      </c>
      <c r="D994" s="13" t="s">
        <v>23</v>
      </c>
      <c r="E994" s="13" t="s">
        <v>26</v>
      </c>
      <c r="F994" s="13" t="n">
        <v>0</v>
      </c>
      <c r="G994" s="13" t="n">
        <v>0</v>
      </c>
      <c r="H994" s="13" t="n">
        <v>0</v>
      </c>
      <c r="I994" s="13" t="n">
        <f aca="false">H994-G994</f>
        <v>0</v>
      </c>
      <c r="J994" s="13" t="n">
        <f aca="false">H994-F994</f>
        <v>0</v>
      </c>
    </row>
    <row r="995" customFormat="false" ht="15" hidden="false" customHeight="false" outlineLevel="0" collapsed="false">
      <c r="A995" s="13" t="s">
        <v>137</v>
      </c>
      <c r="B995" s="13" t="s">
        <v>138</v>
      </c>
      <c r="C995" s="13" t="n">
        <v>5</v>
      </c>
      <c r="D995" s="13" t="s">
        <v>23</v>
      </c>
      <c r="E995" s="13" t="s">
        <v>27</v>
      </c>
      <c r="F995" s="13" t="n">
        <v>1</v>
      </c>
      <c r="G995" s="13" t="n">
        <v>0</v>
      </c>
      <c r="H995" s="13" t="n">
        <v>0</v>
      </c>
      <c r="I995" s="13" t="n">
        <f aca="false">H995-G995</f>
        <v>0</v>
      </c>
      <c r="J995" s="13" t="n">
        <f aca="false">H995-F995</f>
        <v>-1</v>
      </c>
    </row>
    <row r="996" customFormat="false" ht="15" hidden="false" customHeight="false" outlineLevel="0" collapsed="false">
      <c r="A996" s="13" t="s">
        <v>137</v>
      </c>
      <c r="B996" s="13" t="s">
        <v>138</v>
      </c>
      <c r="C996" s="13" t="n">
        <v>5</v>
      </c>
      <c r="D996" s="13" t="s">
        <v>23</v>
      </c>
      <c r="E996" s="13" t="s">
        <v>28</v>
      </c>
      <c r="F996" s="13" t="n">
        <v>0</v>
      </c>
      <c r="G996" s="13" t="n">
        <v>0</v>
      </c>
      <c r="H996" s="13" t="n">
        <v>0</v>
      </c>
      <c r="I996" s="13" t="n">
        <f aca="false">H996-G996</f>
        <v>0</v>
      </c>
      <c r="J996" s="13" t="n">
        <f aca="false">H996-F996</f>
        <v>0</v>
      </c>
    </row>
    <row r="997" customFormat="false" ht="15" hidden="false" customHeight="false" outlineLevel="0" collapsed="false">
      <c r="A997" s="13" t="s">
        <v>137</v>
      </c>
      <c r="B997" s="13" t="s">
        <v>138</v>
      </c>
      <c r="C997" s="13" t="n">
        <v>5</v>
      </c>
      <c r="D997" s="13" t="s">
        <v>23</v>
      </c>
      <c r="E997" s="13" t="s">
        <v>29</v>
      </c>
      <c r="F997" s="13" t="n">
        <v>0</v>
      </c>
      <c r="G997" s="13" t="n">
        <v>0</v>
      </c>
      <c r="H997" s="13" t="n">
        <v>0</v>
      </c>
      <c r="I997" s="13" t="n">
        <f aca="false">H997-G997</f>
        <v>0</v>
      </c>
      <c r="J997" s="13" t="n">
        <f aca="false">H997-F997</f>
        <v>0</v>
      </c>
    </row>
    <row r="998" customFormat="false" ht="15" hidden="false" customHeight="false" outlineLevel="0" collapsed="false">
      <c r="A998" s="13" t="s">
        <v>137</v>
      </c>
      <c r="B998" s="13" t="s">
        <v>138</v>
      </c>
      <c r="C998" s="13" t="n">
        <v>5</v>
      </c>
      <c r="D998" s="13" t="s">
        <v>23</v>
      </c>
      <c r="E998" s="13" t="s">
        <v>30</v>
      </c>
      <c r="F998" s="13" t="n">
        <v>5</v>
      </c>
      <c r="G998" s="13" t="n">
        <v>5</v>
      </c>
      <c r="H998" s="13" t="n">
        <v>5</v>
      </c>
      <c r="I998" s="13" t="n">
        <f aca="false">H998-G998</f>
        <v>0</v>
      </c>
      <c r="J998" s="13" t="n">
        <f aca="false">H998-F998</f>
        <v>0</v>
      </c>
    </row>
    <row r="999" customFormat="false" ht="15" hidden="false" customHeight="false" outlineLevel="0" collapsed="false">
      <c r="A999" s="13" t="s">
        <v>137</v>
      </c>
      <c r="B999" s="13" t="s">
        <v>138</v>
      </c>
      <c r="C999" s="13" t="n">
        <v>5</v>
      </c>
      <c r="D999" s="13" t="s">
        <v>23</v>
      </c>
      <c r="E999" s="13" t="s">
        <v>31</v>
      </c>
      <c r="F999" s="13" t="n">
        <v>0</v>
      </c>
      <c r="G999" s="13" t="n">
        <v>0</v>
      </c>
      <c r="H999" s="13" t="n">
        <v>0</v>
      </c>
      <c r="I999" s="13" t="n">
        <f aca="false">H999-G999</f>
        <v>0</v>
      </c>
      <c r="J999" s="13" t="n">
        <f aca="false">H999-F999</f>
        <v>0</v>
      </c>
    </row>
    <row r="1000" customFormat="false" ht="15" hidden="false" customHeight="false" outlineLevel="0" collapsed="false">
      <c r="A1000" s="13" t="s">
        <v>137</v>
      </c>
      <c r="B1000" s="13" t="s">
        <v>138</v>
      </c>
      <c r="C1000" s="13" t="n">
        <v>5</v>
      </c>
      <c r="D1000" s="13" t="s">
        <v>23</v>
      </c>
      <c r="E1000" s="13" t="s">
        <v>32</v>
      </c>
      <c r="F1000" s="13" t="n">
        <v>0</v>
      </c>
      <c r="G1000" s="13" t="n">
        <v>0</v>
      </c>
      <c r="H1000" s="13" t="n">
        <v>0</v>
      </c>
      <c r="I1000" s="13" t="n">
        <f aca="false">H1000-G1000</f>
        <v>0</v>
      </c>
      <c r="J1000" s="13" t="n">
        <f aca="false">H1000-F1000</f>
        <v>0</v>
      </c>
    </row>
    <row r="1001" customFormat="false" ht="15" hidden="false" customHeight="false" outlineLevel="0" collapsed="false">
      <c r="A1001" s="13" t="s">
        <v>137</v>
      </c>
      <c r="B1001" s="13" t="s">
        <v>138</v>
      </c>
      <c r="C1001" s="13" t="n">
        <v>5</v>
      </c>
      <c r="D1001" s="13" t="s">
        <v>23</v>
      </c>
      <c r="E1001" s="13" t="s">
        <v>33</v>
      </c>
      <c r="F1001" s="13" t="n">
        <v>0</v>
      </c>
      <c r="G1001" s="13" t="n">
        <v>0</v>
      </c>
      <c r="H1001" s="13" t="n">
        <v>0</v>
      </c>
      <c r="I1001" s="13" t="n">
        <f aca="false">H1001-G1001</f>
        <v>0</v>
      </c>
      <c r="J1001" s="13" t="n">
        <f aca="false">H1001-F1001</f>
        <v>0</v>
      </c>
    </row>
    <row r="1002" customFormat="false" ht="15" hidden="false" customHeight="false" outlineLevel="0" collapsed="false">
      <c r="A1002" s="13" t="s">
        <v>137</v>
      </c>
      <c r="B1002" s="13" t="s">
        <v>138</v>
      </c>
      <c r="C1002" s="13" t="n">
        <v>5</v>
      </c>
      <c r="D1002" s="13" t="s">
        <v>23</v>
      </c>
      <c r="E1002" s="13" t="s">
        <v>34</v>
      </c>
      <c r="F1002" s="13" t="n">
        <v>0</v>
      </c>
      <c r="G1002" s="13" t="n">
        <v>0</v>
      </c>
      <c r="H1002" s="13" t="n">
        <v>0</v>
      </c>
      <c r="I1002" s="13" t="n">
        <f aca="false">H1002-G1002</f>
        <v>0</v>
      </c>
      <c r="J1002" s="13" t="n">
        <f aca="false">H1002-F1002</f>
        <v>0</v>
      </c>
    </row>
    <row r="1003" customFormat="false" ht="15" hidden="false" customHeight="false" outlineLevel="0" collapsed="false">
      <c r="A1003" s="13" t="s">
        <v>137</v>
      </c>
      <c r="B1003" s="13" t="s">
        <v>138</v>
      </c>
      <c r="C1003" s="13" t="n">
        <v>5</v>
      </c>
      <c r="D1003" s="13" t="s">
        <v>23</v>
      </c>
      <c r="E1003" s="13" t="s">
        <v>35</v>
      </c>
      <c r="F1003" s="13" t="n">
        <v>0</v>
      </c>
      <c r="G1003" s="13" t="n">
        <v>0</v>
      </c>
      <c r="H1003" s="13" t="n">
        <v>0</v>
      </c>
      <c r="I1003" s="13" t="n">
        <f aca="false">H1003-G1003</f>
        <v>0</v>
      </c>
      <c r="J1003" s="13" t="n">
        <f aca="false">H1003-F1003</f>
        <v>0</v>
      </c>
    </row>
    <row r="1004" customFormat="false" ht="15" hidden="false" customHeight="false" outlineLevel="0" collapsed="false">
      <c r="A1004" s="13" t="s">
        <v>137</v>
      </c>
      <c r="B1004" s="13" t="s">
        <v>138</v>
      </c>
      <c r="C1004" s="13" t="n">
        <v>5</v>
      </c>
      <c r="D1004" s="13" t="s">
        <v>23</v>
      </c>
      <c r="E1004" s="13" t="s">
        <v>36</v>
      </c>
      <c r="F1004" s="13" t="n">
        <v>0</v>
      </c>
      <c r="G1004" s="13" t="n">
        <v>0</v>
      </c>
      <c r="H1004" s="13" t="n">
        <v>0</v>
      </c>
      <c r="I1004" s="13" t="n">
        <f aca="false">H1004-G1004</f>
        <v>0</v>
      </c>
      <c r="J1004" s="13" t="n">
        <f aca="false">H1004-F1004</f>
        <v>0</v>
      </c>
    </row>
    <row r="1005" customFormat="false" ht="15" hidden="false" customHeight="false" outlineLevel="0" collapsed="false">
      <c r="A1005" s="13" t="s">
        <v>137</v>
      </c>
      <c r="B1005" s="13" t="s">
        <v>138</v>
      </c>
      <c r="C1005" s="13" t="n">
        <v>5</v>
      </c>
      <c r="D1005" s="13" t="s">
        <v>155</v>
      </c>
      <c r="E1005" s="13" t="s">
        <v>37</v>
      </c>
      <c r="F1005" s="13" t="n">
        <v>1</v>
      </c>
      <c r="G1005" s="13" t="n">
        <v>1</v>
      </c>
      <c r="H1005" s="13" t="n">
        <v>1</v>
      </c>
      <c r="I1005" s="13" t="n">
        <f aca="false">H1005-G1005</f>
        <v>0</v>
      </c>
      <c r="J1005" s="13" t="n">
        <f aca="false">H1005-F1005</f>
        <v>0</v>
      </c>
    </row>
    <row r="1006" customFormat="false" ht="15" hidden="false" customHeight="false" outlineLevel="0" collapsed="false">
      <c r="A1006" s="13" t="s">
        <v>137</v>
      </c>
      <c r="B1006" s="13" t="s">
        <v>138</v>
      </c>
      <c r="C1006" s="13" t="n">
        <v>5</v>
      </c>
      <c r="D1006" s="13" t="s">
        <v>155</v>
      </c>
      <c r="E1006" s="13" t="s">
        <v>39</v>
      </c>
      <c r="F1006" s="13" t="n">
        <v>0</v>
      </c>
      <c r="G1006" s="13" t="n">
        <v>0</v>
      </c>
      <c r="H1006" s="13" t="n">
        <v>0</v>
      </c>
      <c r="I1006" s="13" t="n">
        <f aca="false">H1006-G1006</f>
        <v>0</v>
      </c>
      <c r="J1006" s="13" t="n">
        <f aca="false">H1006-F1006</f>
        <v>0</v>
      </c>
    </row>
    <row r="1007" customFormat="false" ht="15" hidden="false" customHeight="false" outlineLevel="0" collapsed="false">
      <c r="A1007" s="13" t="s">
        <v>137</v>
      </c>
      <c r="B1007" s="13" t="s">
        <v>138</v>
      </c>
      <c r="C1007" s="13" t="n">
        <v>5</v>
      </c>
      <c r="D1007" s="13" t="s">
        <v>155</v>
      </c>
      <c r="E1007" s="13" t="s">
        <v>40</v>
      </c>
      <c r="F1007" s="13" t="n">
        <v>0</v>
      </c>
      <c r="G1007" s="13" t="n">
        <v>0</v>
      </c>
      <c r="H1007" s="13" t="n">
        <v>0</v>
      </c>
      <c r="I1007" s="13" t="n">
        <f aca="false">H1007-G1007</f>
        <v>0</v>
      </c>
      <c r="J1007" s="13" t="n">
        <f aca="false">H1007-F1007</f>
        <v>0</v>
      </c>
    </row>
    <row r="1008" customFormat="false" ht="15" hidden="false" customHeight="false" outlineLevel="0" collapsed="false">
      <c r="A1008" s="13" t="s">
        <v>137</v>
      </c>
      <c r="B1008" s="13" t="s">
        <v>138</v>
      </c>
      <c r="C1008" s="13" t="n">
        <v>5</v>
      </c>
      <c r="D1008" s="13" t="s">
        <v>155</v>
      </c>
      <c r="E1008" s="13" t="s">
        <v>41</v>
      </c>
      <c r="F1008" s="13" t="n">
        <v>0</v>
      </c>
      <c r="G1008" s="13" t="n">
        <v>0</v>
      </c>
      <c r="H1008" s="13" t="n">
        <v>0</v>
      </c>
      <c r="I1008" s="13" t="n">
        <f aca="false">H1008-G1008</f>
        <v>0</v>
      </c>
      <c r="J1008" s="13" t="n">
        <f aca="false">H1008-F1008</f>
        <v>0</v>
      </c>
    </row>
    <row r="1009" customFormat="false" ht="15" hidden="false" customHeight="false" outlineLevel="0" collapsed="false">
      <c r="A1009" s="13" t="s">
        <v>137</v>
      </c>
      <c r="B1009" s="13" t="s">
        <v>138</v>
      </c>
      <c r="C1009" s="13" t="n">
        <v>5</v>
      </c>
      <c r="D1009" s="13" t="s">
        <v>155</v>
      </c>
      <c r="E1009" s="13" t="s">
        <v>42</v>
      </c>
      <c r="F1009" s="13" t="n">
        <v>1</v>
      </c>
      <c r="G1009" s="13" t="n">
        <v>1</v>
      </c>
      <c r="H1009" s="13" t="n">
        <v>1</v>
      </c>
      <c r="I1009" s="13" t="n">
        <f aca="false">H1009-G1009</f>
        <v>0</v>
      </c>
      <c r="J1009" s="13" t="n">
        <f aca="false">H1009-F1009</f>
        <v>0</v>
      </c>
    </row>
    <row r="1010" customFormat="false" ht="15" hidden="false" customHeight="false" outlineLevel="0" collapsed="false">
      <c r="A1010" s="13" t="s">
        <v>137</v>
      </c>
      <c r="B1010" s="13" t="s">
        <v>138</v>
      </c>
      <c r="C1010" s="13" t="n">
        <v>5</v>
      </c>
      <c r="D1010" s="13" t="s">
        <v>155</v>
      </c>
      <c r="E1010" s="13" t="s">
        <v>43</v>
      </c>
      <c r="F1010" s="13" t="n">
        <v>1</v>
      </c>
      <c r="G1010" s="13" t="n">
        <v>1</v>
      </c>
      <c r="H1010" s="13" t="n">
        <v>1</v>
      </c>
      <c r="I1010" s="13" t="n">
        <f aca="false">H1010-G1010</f>
        <v>0</v>
      </c>
      <c r="J1010" s="13" t="n">
        <f aca="false">H1010-F1010</f>
        <v>0</v>
      </c>
    </row>
    <row r="1011" customFormat="false" ht="15" hidden="false" customHeight="false" outlineLevel="0" collapsed="false">
      <c r="A1011" s="13" t="s">
        <v>137</v>
      </c>
      <c r="B1011" s="13" t="s">
        <v>138</v>
      </c>
      <c r="C1011" s="13" t="n">
        <v>5</v>
      </c>
      <c r="D1011" s="13" t="s">
        <v>155</v>
      </c>
      <c r="E1011" s="13" t="s">
        <v>44</v>
      </c>
      <c r="F1011" s="13" t="n">
        <v>1</v>
      </c>
      <c r="G1011" s="13" t="n">
        <v>1</v>
      </c>
      <c r="H1011" s="13" t="n">
        <v>1</v>
      </c>
      <c r="I1011" s="13" t="n">
        <f aca="false">H1011-G1011</f>
        <v>0</v>
      </c>
      <c r="J1011" s="13" t="n">
        <f aca="false">H1011-F1011</f>
        <v>0</v>
      </c>
    </row>
    <row r="1012" customFormat="false" ht="15" hidden="false" customHeight="false" outlineLevel="0" collapsed="false">
      <c r="A1012" s="13" t="s">
        <v>137</v>
      </c>
      <c r="B1012" s="13" t="s">
        <v>138</v>
      </c>
      <c r="C1012" s="13" t="n">
        <v>5</v>
      </c>
      <c r="D1012" s="13" t="s">
        <v>155</v>
      </c>
      <c r="E1012" s="13" t="s">
        <v>45</v>
      </c>
      <c r="F1012" s="13" t="n">
        <v>0</v>
      </c>
      <c r="G1012" s="13" t="n">
        <v>0</v>
      </c>
      <c r="H1012" s="13" t="n">
        <v>0</v>
      </c>
      <c r="I1012" s="13" t="n">
        <f aca="false">H1012-G1012</f>
        <v>0</v>
      </c>
      <c r="J1012" s="13" t="n">
        <f aca="false">H1012-F1012</f>
        <v>0</v>
      </c>
    </row>
    <row r="1013" customFormat="false" ht="15" hidden="false" customHeight="false" outlineLevel="0" collapsed="false">
      <c r="A1013" s="13" t="s">
        <v>137</v>
      </c>
      <c r="B1013" s="13" t="s">
        <v>138</v>
      </c>
      <c r="C1013" s="13" t="n">
        <v>5</v>
      </c>
      <c r="D1013" s="13" t="s">
        <v>155</v>
      </c>
      <c r="E1013" s="13" t="s">
        <v>46</v>
      </c>
      <c r="F1013" s="13" t="n">
        <v>0</v>
      </c>
      <c r="G1013" s="13" t="n">
        <v>0</v>
      </c>
      <c r="H1013" s="13" t="n">
        <v>0</v>
      </c>
      <c r="I1013" s="13" t="n">
        <f aca="false">H1013-G1013</f>
        <v>0</v>
      </c>
      <c r="J1013" s="13" t="n">
        <f aca="false">H1013-F1013</f>
        <v>0</v>
      </c>
    </row>
    <row r="1014" customFormat="false" ht="15" hidden="false" customHeight="false" outlineLevel="0" collapsed="false">
      <c r="A1014" s="13" t="s">
        <v>139</v>
      </c>
      <c r="B1014" s="13" t="s">
        <v>140</v>
      </c>
      <c r="C1014" s="13" t="n">
        <v>4</v>
      </c>
      <c r="D1014" s="13" t="s">
        <v>23</v>
      </c>
      <c r="E1014" s="13" t="s">
        <v>22</v>
      </c>
      <c r="F1014" s="13" t="n">
        <v>4</v>
      </c>
      <c r="G1014" s="13" t="n">
        <v>4</v>
      </c>
      <c r="H1014" s="13" t="n">
        <v>4</v>
      </c>
      <c r="I1014" s="13" t="n">
        <f aca="false">H1014-G1014</f>
        <v>0</v>
      </c>
      <c r="J1014" s="13" t="n">
        <f aca="false">H1014-F1014</f>
        <v>0</v>
      </c>
    </row>
    <row r="1015" customFormat="false" ht="15" hidden="false" customHeight="false" outlineLevel="0" collapsed="false">
      <c r="A1015" s="13" t="s">
        <v>139</v>
      </c>
      <c r="B1015" s="13" t="s">
        <v>140</v>
      </c>
      <c r="C1015" s="13" t="n">
        <v>4</v>
      </c>
      <c r="D1015" s="13" t="s">
        <v>23</v>
      </c>
      <c r="E1015" s="13" t="s">
        <v>24</v>
      </c>
      <c r="F1015" s="13" t="n">
        <v>4</v>
      </c>
      <c r="G1015" s="13" t="n">
        <v>4</v>
      </c>
      <c r="H1015" s="13" t="n">
        <v>4</v>
      </c>
      <c r="I1015" s="13" t="n">
        <f aca="false">H1015-G1015</f>
        <v>0</v>
      </c>
      <c r="J1015" s="13" t="n">
        <f aca="false">H1015-F1015</f>
        <v>0</v>
      </c>
    </row>
    <row r="1016" customFormat="false" ht="15" hidden="false" customHeight="false" outlineLevel="0" collapsed="false">
      <c r="A1016" s="13" t="s">
        <v>139</v>
      </c>
      <c r="B1016" s="13" t="s">
        <v>140</v>
      </c>
      <c r="C1016" s="13" t="n">
        <v>4</v>
      </c>
      <c r="D1016" s="13" t="s">
        <v>23</v>
      </c>
      <c r="E1016" s="13" t="s">
        <v>25</v>
      </c>
      <c r="F1016" s="13" t="n">
        <v>4</v>
      </c>
      <c r="G1016" s="13" t="n">
        <v>4</v>
      </c>
      <c r="H1016" s="13" t="n">
        <v>4</v>
      </c>
      <c r="I1016" s="13" t="n">
        <f aca="false">H1016-G1016</f>
        <v>0</v>
      </c>
      <c r="J1016" s="13" t="n">
        <f aca="false">H1016-F1016</f>
        <v>0</v>
      </c>
    </row>
    <row r="1017" customFormat="false" ht="15" hidden="false" customHeight="false" outlineLevel="0" collapsed="false">
      <c r="A1017" s="13" t="s">
        <v>139</v>
      </c>
      <c r="B1017" s="13" t="s">
        <v>140</v>
      </c>
      <c r="C1017" s="13" t="n">
        <v>4</v>
      </c>
      <c r="D1017" s="13" t="s">
        <v>23</v>
      </c>
      <c r="E1017" s="13" t="s">
        <v>26</v>
      </c>
      <c r="F1017" s="13" t="n">
        <v>4</v>
      </c>
      <c r="G1017" s="13" t="n">
        <v>4</v>
      </c>
      <c r="H1017" s="13" t="n">
        <v>4</v>
      </c>
      <c r="I1017" s="13" t="n">
        <f aca="false">H1017-G1017</f>
        <v>0</v>
      </c>
      <c r="J1017" s="13" t="n">
        <f aca="false">H1017-F1017</f>
        <v>0</v>
      </c>
    </row>
    <row r="1018" customFormat="false" ht="15" hidden="false" customHeight="false" outlineLevel="0" collapsed="false">
      <c r="A1018" s="13" t="s">
        <v>139</v>
      </c>
      <c r="B1018" s="13" t="s">
        <v>140</v>
      </c>
      <c r="C1018" s="13" t="n">
        <v>4</v>
      </c>
      <c r="D1018" s="13" t="s">
        <v>23</v>
      </c>
      <c r="E1018" s="13" t="s">
        <v>27</v>
      </c>
      <c r="F1018" s="13" t="n">
        <v>4</v>
      </c>
      <c r="G1018" s="13" t="n">
        <v>4</v>
      </c>
      <c r="H1018" s="13" t="n">
        <v>4</v>
      </c>
      <c r="I1018" s="13" t="n">
        <f aca="false">H1018-G1018</f>
        <v>0</v>
      </c>
      <c r="J1018" s="13" t="n">
        <f aca="false">H1018-F1018</f>
        <v>0</v>
      </c>
    </row>
    <row r="1019" customFormat="false" ht="15" hidden="false" customHeight="false" outlineLevel="0" collapsed="false">
      <c r="A1019" s="13" t="s">
        <v>139</v>
      </c>
      <c r="B1019" s="13" t="s">
        <v>140</v>
      </c>
      <c r="C1019" s="13" t="n">
        <v>4</v>
      </c>
      <c r="D1019" s="13" t="s">
        <v>23</v>
      </c>
      <c r="E1019" s="13" t="s">
        <v>28</v>
      </c>
      <c r="F1019" s="13" t="n">
        <v>4</v>
      </c>
      <c r="G1019" s="13" t="n">
        <v>4</v>
      </c>
      <c r="H1019" s="13" t="n">
        <v>4</v>
      </c>
      <c r="I1019" s="13" t="n">
        <f aca="false">H1019-G1019</f>
        <v>0</v>
      </c>
      <c r="J1019" s="13" t="n">
        <f aca="false">H1019-F1019</f>
        <v>0</v>
      </c>
    </row>
    <row r="1020" customFormat="false" ht="15" hidden="false" customHeight="false" outlineLevel="0" collapsed="false">
      <c r="A1020" s="13" t="s">
        <v>139</v>
      </c>
      <c r="B1020" s="13" t="s">
        <v>140</v>
      </c>
      <c r="C1020" s="13" t="n">
        <v>4</v>
      </c>
      <c r="D1020" s="13" t="s">
        <v>23</v>
      </c>
      <c r="E1020" s="13" t="s">
        <v>29</v>
      </c>
      <c r="F1020" s="13" t="n">
        <v>0</v>
      </c>
      <c r="G1020" s="13" t="n">
        <v>0</v>
      </c>
      <c r="H1020" s="13" t="n">
        <v>0</v>
      </c>
      <c r="I1020" s="13" t="n">
        <f aca="false">H1020-G1020</f>
        <v>0</v>
      </c>
      <c r="J1020" s="13" t="n">
        <f aca="false">H1020-F1020</f>
        <v>0</v>
      </c>
    </row>
    <row r="1021" customFormat="false" ht="15" hidden="false" customHeight="false" outlineLevel="0" collapsed="false">
      <c r="A1021" s="13" t="s">
        <v>139</v>
      </c>
      <c r="B1021" s="13" t="s">
        <v>140</v>
      </c>
      <c r="C1021" s="13" t="n">
        <v>4</v>
      </c>
      <c r="D1021" s="13" t="s">
        <v>23</v>
      </c>
      <c r="E1021" s="13" t="s">
        <v>30</v>
      </c>
      <c r="F1021" s="13" t="n">
        <v>4</v>
      </c>
      <c r="G1021" s="13" t="n">
        <v>4</v>
      </c>
      <c r="H1021" s="13" t="n">
        <v>4</v>
      </c>
      <c r="I1021" s="13" t="n">
        <f aca="false">H1021-G1021</f>
        <v>0</v>
      </c>
      <c r="J1021" s="13" t="n">
        <f aca="false">H1021-F1021</f>
        <v>0</v>
      </c>
    </row>
    <row r="1022" customFormat="false" ht="15" hidden="false" customHeight="false" outlineLevel="0" collapsed="false">
      <c r="A1022" s="13" t="s">
        <v>139</v>
      </c>
      <c r="B1022" s="13" t="s">
        <v>140</v>
      </c>
      <c r="C1022" s="13" t="n">
        <v>4</v>
      </c>
      <c r="D1022" s="13" t="s">
        <v>23</v>
      </c>
      <c r="E1022" s="13" t="s">
        <v>31</v>
      </c>
      <c r="F1022" s="13" t="n">
        <v>0</v>
      </c>
      <c r="G1022" s="13" t="n">
        <v>0</v>
      </c>
      <c r="H1022" s="13" t="n">
        <v>0</v>
      </c>
      <c r="I1022" s="13" t="n">
        <f aca="false">H1022-G1022</f>
        <v>0</v>
      </c>
      <c r="J1022" s="13" t="n">
        <f aca="false">H1022-F1022</f>
        <v>0</v>
      </c>
    </row>
    <row r="1023" customFormat="false" ht="15" hidden="false" customHeight="false" outlineLevel="0" collapsed="false">
      <c r="A1023" s="13" t="s">
        <v>139</v>
      </c>
      <c r="B1023" s="13" t="s">
        <v>140</v>
      </c>
      <c r="C1023" s="13" t="n">
        <v>4</v>
      </c>
      <c r="D1023" s="13" t="s">
        <v>23</v>
      </c>
      <c r="E1023" s="13" t="s">
        <v>32</v>
      </c>
      <c r="F1023" s="13" t="n">
        <v>0</v>
      </c>
      <c r="G1023" s="13" t="n">
        <v>0</v>
      </c>
      <c r="H1023" s="13" t="n">
        <v>0</v>
      </c>
      <c r="I1023" s="13" t="n">
        <f aca="false">H1023-G1023</f>
        <v>0</v>
      </c>
      <c r="J1023" s="13" t="n">
        <f aca="false">H1023-F1023</f>
        <v>0</v>
      </c>
    </row>
    <row r="1024" customFormat="false" ht="15" hidden="false" customHeight="false" outlineLevel="0" collapsed="false">
      <c r="A1024" s="13" t="s">
        <v>139</v>
      </c>
      <c r="B1024" s="13" t="s">
        <v>140</v>
      </c>
      <c r="C1024" s="13" t="n">
        <v>4</v>
      </c>
      <c r="D1024" s="13" t="s">
        <v>23</v>
      </c>
      <c r="E1024" s="13" t="s">
        <v>33</v>
      </c>
      <c r="F1024" s="13" t="n">
        <v>0</v>
      </c>
      <c r="G1024" s="13" t="n">
        <v>0</v>
      </c>
      <c r="H1024" s="13" t="n">
        <v>0</v>
      </c>
      <c r="I1024" s="13" t="n">
        <f aca="false">H1024-G1024</f>
        <v>0</v>
      </c>
      <c r="J1024" s="13" t="n">
        <f aca="false">H1024-F1024</f>
        <v>0</v>
      </c>
    </row>
    <row r="1025" customFormat="false" ht="15" hidden="false" customHeight="false" outlineLevel="0" collapsed="false">
      <c r="A1025" s="13" t="s">
        <v>139</v>
      </c>
      <c r="B1025" s="13" t="s">
        <v>140</v>
      </c>
      <c r="C1025" s="13" t="n">
        <v>4</v>
      </c>
      <c r="D1025" s="13" t="s">
        <v>23</v>
      </c>
      <c r="E1025" s="13" t="s">
        <v>34</v>
      </c>
      <c r="F1025" s="13" t="n">
        <v>0</v>
      </c>
      <c r="G1025" s="13" t="n">
        <v>0</v>
      </c>
      <c r="H1025" s="13" t="n">
        <v>0</v>
      </c>
      <c r="I1025" s="13" t="n">
        <f aca="false">H1025-G1025</f>
        <v>0</v>
      </c>
      <c r="J1025" s="13" t="n">
        <f aca="false">H1025-F1025</f>
        <v>0</v>
      </c>
    </row>
    <row r="1026" customFormat="false" ht="15" hidden="false" customHeight="false" outlineLevel="0" collapsed="false">
      <c r="A1026" s="13" t="s">
        <v>139</v>
      </c>
      <c r="B1026" s="13" t="s">
        <v>140</v>
      </c>
      <c r="C1026" s="13" t="n">
        <v>4</v>
      </c>
      <c r="D1026" s="13" t="s">
        <v>23</v>
      </c>
      <c r="E1026" s="13" t="s">
        <v>35</v>
      </c>
      <c r="F1026" s="13" t="n">
        <v>0</v>
      </c>
      <c r="G1026" s="13" t="n">
        <v>0</v>
      </c>
      <c r="H1026" s="13" t="n">
        <v>0</v>
      </c>
      <c r="I1026" s="13" t="n">
        <f aca="false">H1026-G1026</f>
        <v>0</v>
      </c>
      <c r="J1026" s="13" t="n">
        <f aca="false">H1026-F1026</f>
        <v>0</v>
      </c>
    </row>
    <row r="1027" customFormat="false" ht="15" hidden="false" customHeight="false" outlineLevel="0" collapsed="false">
      <c r="A1027" s="13" t="s">
        <v>139</v>
      </c>
      <c r="B1027" s="13" t="s">
        <v>140</v>
      </c>
      <c r="C1027" s="13" t="n">
        <v>4</v>
      </c>
      <c r="D1027" s="13" t="s">
        <v>23</v>
      </c>
      <c r="E1027" s="13" t="s">
        <v>36</v>
      </c>
      <c r="F1027" s="13" t="n">
        <v>0</v>
      </c>
      <c r="G1027" s="13" t="n">
        <v>0</v>
      </c>
      <c r="H1027" s="13" t="n">
        <v>0</v>
      </c>
      <c r="I1027" s="13" t="n">
        <f aca="false">H1027-G1027</f>
        <v>0</v>
      </c>
      <c r="J1027" s="13" t="n">
        <f aca="false">H1027-F1027</f>
        <v>0</v>
      </c>
    </row>
    <row r="1028" customFormat="false" ht="15" hidden="false" customHeight="false" outlineLevel="0" collapsed="false">
      <c r="A1028" s="13" t="s">
        <v>139</v>
      </c>
      <c r="B1028" s="13" t="s">
        <v>140</v>
      </c>
      <c r="C1028" s="13" t="n">
        <v>4</v>
      </c>
      <c r="D1028" s="13" t="s">
        <v>155</v>
      </c>
      <c r="E1028" s="13" t="s">
        <v>37</v>
      </c>
      <c r="F1028" s="13" t="n">
        <v>1</v>
      </c>
      <c r="G1028" s="13" t="n">
        <v>1</v>
      </c>
      <c r="H1028" s="13" t="n">
        <v>1</v>
      </c>
      <c r="I1028" s="13" t="n">
        <f aca="false">H1028-G1028</f>
        <v>0</v>
      </c>
      <c r="J1028" s="13" t="n">
        <f aca="false">H1028-F1028</f>
        <v>0</v>
      </c>
    </row>
    <row r="1029" customFormat="false" ht="15" hidden="false" customHeight="false" outlineLevel="0" collapsed="false">
      <c r="A1029" s="13" t="s">
        <v>139</v>
      </c>
      <c r="B1029" s="13" t="s">
        <v>140</v>
      </c>
      <c r="C1029" s="13" t="n">
        <v>4</v>
      </c>
      <c r="D1029" s="13" t="s">
        <v>155</v>
      </c>
      <c r="E1029" s="13" t="s">
        <v>39</v>
      </c>
      <c r="F1029" s="13" t="n">
        <v>0</v>
      </c>
      <c r="G1029" s="13" t="n">
        <v>0</v>
      </c>
      <c r="H1029" s="13" t="n">
        <v>0</v>
      </c>
      <c r="I1029" s="13" t="n">
        <f aca="false">H1029-G1029</f>
        <v>0</v>
      </c>
      <c r="J1029" s="13" t="n">
        <f aca="false">H1029-F1029</f>
        <v>0</v>
      </c>
    </row>
    <row r="1030" customFormat="false" ht="15" hidden="false" customHeight="false" outlineLevel="0" collapsed="false">
      <c r="A1030" s="13" t="s">
        <v>139</v>
      </c>
      <c r="B1030" s="13" t="s">
        <v>140</v>
      </c>
      <c r="C1030" s="13" t="n">
        <v>4</v>
      </c>
      <c r="D1030" s="13" t="s">
        <v>155</v>
      </c>
      <c r="E1030" s="13" t="s">
        <v>40</v>
      </c>
      <c r="F1030" s="13" t="n">
        <v>1</v>
      </c>
      <c r="G1030" s="13" t="n">
        <v>1</v>
      </c>
      <c r="H1030" s="13" t="n">
        <v>1</v>
      </c>
      <c r="I1030" s="13" t="n">
        <f aca="false">H1030-G1030</f>
        <v>0</v>
      </c>
      <c r="J1030" s="13" t="n">
        <f aca="false">H1030-F1030</f>
        <v>0</v>
      </c>
    </row>
    <row r="1031" customFormat="false" ht="15" hidden="false" customHeight="false" outlineLevel="0" collapsed="false">
      <c r="A1031" s="13" t="s">
        <v>139</v>
      </c>
      <c r="B1031" s="13" t="s">
        <v>140</v>
      </c>
      <c r="C1031" s="13" t="n">
        <v>4</v>
      </c>
      <c r="D1031" s="13" t="s">
        <v>155</v>
      </c>
      <c r="E1031" s="13" t="s">
        <v>41</v>
      </c>
      <c r="F1031" s="13" t="n">
        <v>0</v>
      </c>
      <c r="G1031" s="13" t="n">
        <v>0</v>
      </c>
      <c r="H1031" s="13" t="n">
        <v>0</v>
      </c>
      <c r="I1031" s="13" t="n">
        <f aca="false">H1031-G1031</f>
        <v>0</v>
      </c>
      <c r="J1031" s="13" t="n">
        <f aca="false">H1031-F1031</f>
        <v>0</v>
      </c>
    </row>
    <row r="1032" customFormat="false" ht="15" hidden="false" customHeight="false" outlineLevel="0" collapsed="false">
      <c r="A1032" s="13" t="s">
        <v>139</v>
      </c>
      <c r="B1032" s="13" t="s">
        <v>140</v>
      </c>
      <c r="C1032" s="13" t="n">
        <v>4</v>
      </c>
      <c r="D1032" s="13" t="s">
        <v>155</v>
      </c>
      <c r="E1032" s="13" t="s">
        <v>42</v>
      </c>
      <c r="F1032" s="13" t="n">
        <v>1</v>
      </c>
      <c r="G1032" s="13" t="n">
        <v>1</v>
      </c>
      <c r="H1032" s="13" t="n">
        <v>1</v>
      </c>
      <c r="I1032" s="13" t="n">
        <f aca="false">H1032-G1032</f>
        <v>0</v>
      </c>
      <c r="J1032" s="13" t="n">
        <f aca="false">H1032-F1032</f>
        <v>0</v>
      </c>
    </row>
    <row r="1033" customFormat="false" ht="15" hidden="false" customHeight="false" outlineLevel="0" collapsed="false">
      <c r="A1033" s="13" t="s">
        <v>139</v>
      </c>
      <c r="B1033" s="13" t="s">
        <v>140</v>
      </c>
      <c r="C1033" s="13" t="n">
        <v>4</v>
      </c>
      <c r="D1033" s="13" t="s">
        <v>155</v>
      </c>
      <c r="E1033" s="13" t="s">
        <v>43</v>
      </c>
      <c r="F1033" s="13" t="n">
        <v>1</v>
      </c>
      <c r="G1033" s="13" t="n">
        <v>1</v>
      </c>
      <c r="H1033" s="13" t="n">
        <v>1</v>
      </c>
      <c r="I1033" s="13" t="n">
        <f aca="false">H1033-G1033</f>
        <v>0</v>
      </c>
      <c r="J1033" s="13" t="n">
        <f aca="false">H1033-F1033</f>
        <v>0</v>
      </c>
    </row>
    <row r="1034" customFormat="false" ht="15" hidden="false" customHeight="false" outlineLevel="0" collapsed="false">
      <c r="A1034" s="13" t="s">
        <v>139</v>
      </c>
      <c r="B1034" s="13" t="s">
        <v>140</v>
      </c>
      <c r="C1034" s="13" t="n">
        <v>4</v>
      </c>
      <c r="D1034" s="13" t="s">
        <v>155</v>
      </c>
      <c r="E1034" s="13" t="s">
        <v>44</v>
      </c>
      <c r="F1034" s="13" t="n">
        <v>0</v>
      </c>
      <c r="G1034" s="13" t="n">
        <v>0</v>
      </c>
      <c r="H1034" s="13" t="n">
        <v>0</v>
      </c>
      <c r="I1034" s="13" t="n">
        <f aca="false">H1034-G1034</f>
        <v>0</v>
      </c>
      <c r="J1034" s="13" t="n">
        <f aca="false">H1034-F1034</f>
        <v>0</v>
      </c>
    </row>
    <row r="1035" customFormat="false" ht="15" hidden="false" customHeight="false" outlineLevel="0" collapsed="false">
      <c r="A1035" s="13" t="s">
        <v>139</v>
      </c>
      <c r="B1035" s="13" t="s">
        <v>140</v>
      </c>
      <c r="C1035" s="13" t="n">
        <v>4</v>
      </c>
      <c r="D1035" s="13" t="s">
        <v>155</v>
      </c>
      <c r="E1035" s="13" t="s">
        <v>45</v>
      </c>
      <c r="F1035" s="13" t="n">
        <v>0</v>
      </c>
      <c r="G1035" s="13" t="n">
        <v>0</v>
      </c>
      <c r="H1035" s="13" t="n">
        <v>0</v>
      </c>
      <c r="I1035" s="13" t="n">
        <f aca="false">H1035-G1035</f>
        <v>0</v>
      </c>
      <c r="J1035" s="13" t="n">
        <f aca="false">H1035-F1035</f>
        <v>0</v>
      </c>
    </row>
    <row r="1036" customFormat="false" ht="15" hidden="false" customHeight="false" outlineLevel="0" collapsed="false">
      <c r="A1036" s="13" t="s">
        <v>139</v>
      </c>
      <c r="B1036" s="13" t="s">
        <v>140</v>
      </c>
      <c r="C1036" s="13" t="n">
        <v>4</v>
      </c>
      <c r="D1036" s="13" t="s">
        <v>155</v>
      </c>
      <c r="E1036" s="13" t="s">
        <v>46</v>
      </c>
      <c r="F1036" s="13" t="n">
        <v>0</v>
      </c>
      <c r="G1036" s="13" t="n">
        <v>0</v>
      </c>
      <c r="H1036" s="13" t="n">
        <v>0</v>
      </c>
      <c r="I1036" s="13" t="n">
        <f aca="false">H1036-G1036</f>
        <v>0</v>
      </c>
      <c r="J1036" s="13" t="n">
        <f aca="false">H1036-F1036</f>
        <v>0</v>
      </c>
    </row>
    <row r="1037" customFormat="false" ht="15" hidden="false" customHeight="false" outlineLevel="0" collapsed="false">
      <c r="A1037" s="13" t="s">
        <v>141</v>
      </c>
      <c r="B1037" s="13" t="s">
        <v>142</v>
      </c>
      <c r="C1037" s="13" t="n">
        <v>3</v>
      </c>
      <c r="D1037" s="13" t="s">
        <v>23</v>
      </c>
      <c r="E1037" s="13" t="s">
        <v>22</v>
      </c>
      <c r="F1037" s="13" t="n">
        <v>3</v>
      </c>
      <c r="G1037" s="13" t="n">
        <v>3</v>
      </c>
      <c r="H1037" s="13" t="n">
        <v>3</v>
      </c>
      <c r="I1037" s="13" t="n">
        <f aca="false">H1037-G1037</f>
        <v>0</v>
      </c>
      <c r="J1037" s="13" t="n">
        <f aca="false">H1037-F1037</f>
        <v>0</v>
      </c>
    </row>
    <row r="1038" customFormat="false" ht="15" hidden="false" customHeight="false" outlineLevel="0" collapsed="false">
      <c r="A1038" s="13" t="s">
        <v>141</v>
      </c>
      <c r="B1038" s="13" t="s">
        <v>142</v>
      </c>
      <c r="C1038" s="13" t="n">
        <v>3</v>
      </c>
      <c r="D1038" s="13" t="s">
        <v>23</v>
      </c>
      <c r="E1038" s="13" t="s">
        <v>24</v>
      </c>
      <c r="F1038" s="13" t="n">
        <v>3</v>
      </c>
      <c r="G1038" s="13" t="n">
        <v>3</v>
      </c>
      <c r="H1038" s="13" t="n">
        <v>3</v>
      </c>
      <c r="I1038" s="13" t="n">
        <f aca="false">H1038-G1038</f>
        <v>0</v>
      </c>
      <c r="J1038" s="13" t="n">
        <f aca="false">H1038-F1038</f>
        <v>0</v>
      </c>
    </row>
    <row r="1039" customFormat="false" ht="15" hidden="false" customHeight="false" outlineLevel="0" collapsed="false">
      <c r="A1039" s="13" t="s">
        <v>141</v>
      </c>
      <c r="B1039" s="13" t="s">
        <v>142</v>
      </c>
      <c r="C1039" s="13" t="n">
        <v>3</v>
      </c>
      <c r="D1039" s="13" t="s">
        <v>23</v>
      </c>
      <c r="E1039" s="13" t="s">
        <v>25</v>
      </c>
      <c r="F1039" s="13" t="n">
        <v>3</v>
      </c>
      <c r="G1039" s="13" t="n">
        <v>3</v>
      </c>
      <c r="H1039" s="13" t="n">
        <v>3</v>
      </c>
      <c r="I1039" s="13" t="n">
        <f aca="false">H1039-G1039</f>
        <v>0</v>
      </c>
      <c r="J1039" s="13" t="n">
        <f aca="false">H1039-F1039</f>
        <v>0</v>
      </c>
    </row>
    <row r="1040" customFormat="false" ht="15" hidden="false" customHeight="false" outlineLevel="0" collapsed="false">
      <c r="A1040" s="13" t="s">
        <v>141</v>
      </c>
      <c r="B1040" s="13" t="s">
        <v>142</v>
      </c>
      <c r="C1040" s="13" t="n">
        <v>3</v>
      </c>
      <c r="D1040" s="13" t="s">
        <v>23</v>
      </c>
      <c r="E1040" s="13" t="s">
        <v>26</v>
      </c>
      <c r="F1040" s="13" t="n">
        <v>3</v>
      </c>
      <c r="G1040" s="13" t="n">
        <v>3</v>
      </c>
      <c r="H1040" s="13" t="n">
        <v>3</v>
      </c>
      <c r="I1040" s="13" t="n">
        <f aca="false">H1040-G1040</f>
        <v>0</v>
      </c>
      <c r="J1040" s="13" t="n">
        <f aca="false">H1040-F1040</f>
        <v>0</v>
      </c>
    </row>
    <row r="1041" customFormat="false" ht="15" hidden="false" customHeight="false" outlineLevel="0" collapsed="false">
      <c r="A1041" s="13" t="s">
        <v>141</v>
      </c>
      <c r="B1041" s="13" t="s">
        <v>142</v>
      </c>
      <c r="C1041" s="13" t="n">
        <v>3</v>
      </c>
      <c r="D1041" s="13" t="s">
        <v>23</v>
      </c>
      <c r="E1041" s="13" t="s">
        <v>27</v>
      </c>
      <c r="F1041" s="13" t="n">
        <v>3</v>
      </c>
      <c r="G1041" s="13" t="n">
        <v>3</v>
      </c>
      <c r="H1041" s="13" t="n">
        <v>3</v>
      </c>
      <c r="I1041" s="13" t="n">
        <f aca="false">H1041-G1041</f>
        <v>0</v>
      </c>
      <c r="J1041" s="13" t="n">
        <f aca="false">H1041-F1041</f>
        <v>0</v>
      </c>
    </row>
    <row r="1042" customFormat="false" ht="15" hidden="false" customHeight="false" outlineLevel="0" collapsed="false">
      <c r="A1042" s="13" t="s">
        <v>141</v>
      </c>
      <c r="B1042" s="13" t="s">
        <v>142</v>
      </c>
      <c r="C1042" s="13" t="n">
        <v>3</v>
      </c>
      <c r="D1042" s="13" t="s">
        <v>23</v>
      </c>
      <c r="E1042" s="13" t="s">
        <v>28</v>
      </c>
      <c r="F1042" s="13" t="n">
        <v>3</v>
      </c>
      <c r="G1042" s="13" t="n">
        <v>3</v>
      </c>
      <c r="H1042" s="13" t="n">
        <v>3</v>
      </c>
      <c r="I1042" s="13" t="n">
        <f aca="false">H1042-G1042</f>
        <v>0</v>
      </c>
      <c r="J1042" s="13" t="n">
        <f aca="false">H1042-F1042</f>
        <v>0</v>
      </c>
    </row>
    <row r="1043" customFormat="false" ht="15" hidden="false" customHeight="false" outlineLevel="0" collapsed="false">
      <c r="A1043" s="13" t="s">
        <v>141</v>
      </c>
      <c r="B1043" s="13" t="s">
        <v>142</v>
      </c>
      <c r="C1043" s="13" t="n">
        <v>3</v>
      </c>
      <c r="D1043" s="13" t="s">
        <v>23</v>
      </c>
      <c r="E1043" s="13" t="s">
        <v>29</v>
      </c>
      <c r="F1043" s="13" t="n">
        <v>0</v>
      </c>
      <c r="G1043" s="13" t="n">
        <v>0</v>
      </c>
      <c r="H1043" s="13" t="n">
        <v>0</v>
      </c>
      <c r="I1043" s="13" t="n">
        <f aca="false">H1043-G1043</f>
        <v>0</v>
      </c>
      <c r="J1043" s="13" t="n">
        <f aca="false">H1043-F1043</f>
        <v>0</v>
      </c>
    </row>
    <row r="1044" customFormat="false" ht="15" hidden="false" customHeight="false" outlineLevel="0" collapsed="false">
      <c r="A1044" s="13" t="s">
        <v>141</v>
      </c>
      <c r="B1044" s="13" t="s">
        <v>142</v>
      </c>
      <c r="C1044" s="13" t="n">
        <v>3</v>
      </c>
      <c r="D1044" s="13" t="s">
        <v>23</v>
      </c>
      <c r="E1044" s="13" t="s">
        <v>30</v>
      </c>
      <c r="F1044" s="13" t="n">
        <v>3</v>
      </c>
      <c r="G1044" s="13" t="n">
        <v>3</v>
      </c>
      <c r="H1044" s="13" t="n">
        <v>3</v>
      </c>
      <c r="I1044" s="13" t="n">
        <f aca="false">H1044-G1044</f>
        <v>0</v>
      </c>
      <c r="J1044" s="13" t="n">
        <f aca="false">H1044-F1044</f>
        <v>0</v>
      </c>
    </row>
    <row r="1045" customFormat="false" ht="15" hidden="false" customHeight="false" outlineLevel="0" collapsed="false">
      <c r="A1045" s="13" t="s">
        <v>141</v>
      </c>
      <c r="B1045" s="13" t="s">
        <v>142</v>
      </c>
      <c r="C1045" s="13" t="n">
        <v>3</v>
      </c>
      <c r="D1045" s="13" t="s">
        <v>23</v>
      </c>
      <c r="E1045" s="13" t="s">
        <v>31</v>
      </c>
      <c r="F1045" s="13" t="n">
        <v>2</v>
      </c>
      <c r="G1045" s="13" t="n">
        <v>2</v>
      </c>
      <c r="H1045" s="13" t="n">
        <v>2</v>
      </c>
      <c r="I1045" s="13" t="n">
        <f aca="false">H1045-G1045</f>
        <v>0</v>
      </c>
      <c r="J1045" s="13" t="n">
        <f aca="false">H1045-F1045</f>
        <v>0</v>
      </c>
    </row>
    <row r="1046" customFormat="false" ht="15" hidden="false" customHeight="false" outlineLevel="0" collapsed="false">
      <c r="A1046" s="13" t="s">
        <v>141</v>
      </c>
      <c r="B1046" s="13" t="s">
        <v>142</v>
      </c>
      <c r="C1046" s="13" t="n">
        <v>3</v>
      </c>
      <c r="D1046" s="13" t="s">
        <v>23</v>
      </c>
      <c r="E1046" s="13" t="s">
        <v>32</v>
      </c>
      <c r="F1046" s="13" t="n">
        <v>0</v>
      </c>
      <c r="G1046" s="13" t="n">
        <v>0</v>
      </c>
      <c r="H1046" s="13" t="n">
        <v>0</v>
      </c>
      <c r="I1046" s="13" t="n">
        <f aca="false">H1046-G1046</f>
        <v>0</v>
      </c>
      <c r="J1046" s="13" t="n">
        <f aca="false">H1046-F1046</f>
        <v>0</v>
      </c>
    </row>
    <row r="1047" customFormat="false" ht="15" hidden="false" customHeight="false" outlineLevel="0" collapsed="false">
      <c r="A1047" s="13" t="s">
        <v>141</v>
      </c>
      <c r="B1047" s="13" t="s">
        <v>142</v>
      </c>
      <c r="C1047" s="13" t="n">
        <v>3</v>
      </c>
      <c r="D1047" s="13" t="s">
        <v>23</v>
      </c>
      <c r="E1047" s="13" t="s">
        <v>33</v>
      </c>
      <c r="F1047" s="13" t="n">
        <v>0</v>
      </c>
      <c r="G1047" s="13" t="n">
        <v>0</v>
      </c>
      <c r="H1047" s="13" t="n">
        <v>0</v>
      </c>
      <c r="I1047" s="13" t="n">
        <f aca="false">H1047-G1047</f>
        <v>0</v>
      </c>
      <c r="J1047" s="13" t="n">
        <f aca="false">H1047-F1047</f>
        <v>0</v>
      </c>
    </row>
    <row r="1048" customFormat="false" ht="15" hidden="false" customHeight="false" outlineLevel="0" collapsed="false">
      <c r="A1048" s="13" t="s">
        <v>141</v>
      </c>
      <c r="B1048" s="13" t="s">
        <v>142</v>
      </c>
      <c r="C1048" s="13" t="n">
        <v>3</v>
      </c>
      <c r="D1048" s="13" t="s">
        <v>23</v>
      </c>
      <c r="E1048" s="13" t="s">
        <v>34</v>
      </c>
      <c r="F1048" s="13" t="n">
        <v>2</v>
      </c>
      <c r="G1048" s="13" t="n">
        <v>2</v>
      </c>
      <c r="H1048" s="13" t="n">
        <v>2</v>
      </c>
      <c r="I1048" s="13" t="n">
        <f aca="false">H1048-G1048</f>
        <v>0</v>
      </c>
      <c r="J1048" s="13" t="n">
        <f aca="false">H1048-F1048</f>
        <v>0</v>
      </c>
    </row>
    <row r="1049" customFormat="false" ht="15" hidden="false" customHeight="false" outlineLevel="0" collapsed="false">
      <c r="A1049" s="13" t="s">
        <v>141</v>
      </c>
      <c r="B1049" s="13" t="s">
        <v>142</v>
      </c>
      <c r="C1049" s="13" t="n">
        <v>3</v>
      </c>
      <c r="D1049" s="13" t="s">
        <v>23</v>
      </c>
      <c r="E1049" s="13" t="s">
        <v>35</v>
      </c>
      <c r="F1049" s="13" t="n">
        <v>0</v>
      </c>
      <c r="G1049" s="13" t="n">
        <v>0</v>
      </c>
      <c r="H1049" s="13" t="n">
        <v>0</v>
      </c>
      <c r="I1049" s="13" t="n">
        <f aca="false">H1049-G1049</f>
        <v>0</v>
      </c>
      <c r="J1049" s="13" t="n">
        <f aca="false">H1049-F1049</f>
        <v>0</v>
      </c>
    </row>
    <row r="1050" customFormat="false" ht="15" hidden="false" customHeight="false" outlineLevel="0" collapsed="false">
      <c r="A1050" s="13" t="s">
        <v>141</v>
      </c>
      <c r="B1050" s="13" t="s">
        <v>142</v>
      </c>
      <c r="C1050" s="13" t="n">
        <v>3</v>
      </c>
      <c r="D1050" s="13" t="s">
        <v>23</v>
      </c>
      <c r="E1050" s="13" t="s">
        <v>36</v>
      </c>
      <c r="F1050" s="13" t="n">
        <v>0</v>
      </c>
      <c r="G1050" s="13" t="n">
        <v>0</v>
      </c>
      <c r="H1050" s="13" t="n">
        <v>0</v>
      </c>
      <c r="I1050" s="13" t="n">
        <f aca="false">H1050-G1050</f>
        <v>0</v>
      </c>
      <c r="J1050" s="13" t="n">
        <f aca="false">H1050-F1050</f>
        <v>0</v>
      </c>
    </row>
    <row r="1051" customFormat="false" ht="15" hidden="false" customHeight="false" outlineLevel="0" collapsed="false">
      <c r="A1051" s="13" t="s">
        <v>141</v>
      </c>
      <c r="B1051" s="13" t="s">
        <v>142</v>
      </c>
      <c r="C1051" s="13" t="n">
        <v>3</v>
      </c>
      <c r="D1051" s="13" t="s">
        <v>155</v>
      </c>
      <c r="E1051" s="13" t="s">
        <v>37</v>
      </c>
      <c r="F1051" s="13" t="n">
        <v>1</v>
      </c>
      <c r="G1051" s="13" t="n">
        <v>1</v>
      </c>
      <c r="H1051" s="13" t="n">
        <v>1</v>
      </c>
      <c r="I1051" s="13" t="n">
        <f aca="false">H1051-G1051</f>
        <v>0</v>
      </c>
      <c r="J1051" s="13" t="n">
        <f aca="false">H1051-F1051</f>
        <v>0</v>
      </c>
    </row>
    <row r="1052" customFormat="false" ht="15" hidden="false" customHeight="false" outlineLevel="0" collapsed="false">
      <c r="A1052" s="13" t="s">
        <v>141</v>
      </c>
      <c r="B1052" s="13" t="s">
        <v>142</v>
      </c>
      <c r="C1052" s="13" t="n">
        <v>3</v>
      </c>
      <c r="D1052" s="13" t="s">
        <v>155</v>
      </c>
      <c r="E1052" s="13" t="s">
        <v>39</v>
      </c>
      <c r="F1052" s="13" t="n">
        <v>0</v>
      </c>
      <c r="G1052" s="13" t="n">
        <v>0</v>
      </c>
      <c r="H1052" s="13" t="n">
        <v>0</v>
      </c>
      <c r="I1052" s="13" t="n">
        <f aca="false">H1052-G1052</f>
        <v>0</v>
      </c>
      <c r="J1052" s="13" t="n">
        <f aca="false">H1052-F1052</f>
        <v>0</v>
      </c>
    </row>
    <row r="1053" customFormat="false" ht="15" hidden="false" customHeight="false" outlineLevel="0" collapsed="false">
      <c r="A1053" s="13" t="s">
        <v>141</v>
      </c>
      <c r="B1053" s="13" t="s">
        <v>142</v>
      </c>
      <c r="C1053" s="13" t="n">
        <v>3</v>
      </c>
      <c r="D1053" s="13" t="s">
        <v>155</v>
      </c>
      <c r="E1053" s="13" t="s">
        <v>40</v>
      </c>
      <c r="F1053" s="13" t="n">
        <v>1</v>
      </c>
      <c r="G1053" s="13" t="n">
        <v>1</v>
      </c>
      <c r="H1053" s="13" t="n">
        <v>1</v>
      </c>
      <c r="I1053" s="13" t="n">
        <f aca="false">H1053-G1053</f>
        <v>0</v>
      </c>
      <c r="J1053" s="13" t="n">
        <f aca="false">H1053-F1053</f>
        <v>0</v>
      </c>
    </row>
    <row r="1054" customFormat="false" ht="15" hidden="false" customHeight="false" outlineLevel="0" collapsed="false">
      <c r="A1054" s="13" t="s">
        <v>141</v>
      </c>
      <c r="B1054" s="13" t="s">
        <v>142</v>
      </c>
      <c r="C1054" s="13" t="n">
        <v>3</v>
      </c>
      <c r="D1054" s="13" t="s">
        <v>155</v>
      </c>
      <c r="E1054" s="13" t="s">
        <v>41</v>
      </c>
      <c r="F1054" s="13" t="n">
        <v>0</v>
      </c>
      <c r="G1054" s="13" t="n">
        <v>0</v>
      </c>
      <c r="H1054" s="13" t="n">
        <v>0</v>
      </c>
      <c r="I1054" s="13" t="n">
        <f aca="false">H1054-G1054</f>
        <v>0</v>
      </c>
      <c r="J1054" s="13" t="n">
        <f aca="false">H1054-F1054</f>
        <v>0</v>
      </c>
    </row>
    <row r="1055" customFormat="false" ht="15" hidden="false" customHeight="false" outlineLevel="0" collapsed="false">
      <c r="A1055" s="13" t="s">
        <v>141</v>
      </c>
      <c r="B1055" s="13" t="s">
        <v>142</v>
      </c>
      <c r="C1055" s="13" t="n">
        <v>3</v>
      </c>
      <c r="D1055" s="13" t="s">
        <v>155</v>
      </c>
      <c r="E1055" s="13" t="s">
        <v>42</v>
      </c>
      <c r="F1055" s="13" t="n">
        <v>1</v>
      </c>
      <c r="G1055" s="13" t="n">
        <v>1</v>
      </c>
      <c r="H1055" s="13" t="n">
        <v>1</v>
      </c>
      <c r="I1055" s="13" t="n">
        <f aca="false">H1055-G1055</f>
        <v>0</v>
      </c>
      <c r="J1055" s="13" t="n">
        <f aca="false">H1055-F1055</f>
        <v>0</v>
      </c>
    </row>
    <row r="1056" customFormat="false" ht="15" hidden="false" customHeight="false" outlineLevel="0" collapsed="false">
      <c r="A1056" s="13" t="s">
        <v>141</v>
      </c>
      <c r="B1056" s="13" t="s">
        <v>142</v>
      </c>
      <c r="C1056" s="13" t="n">
        <v>3</v>
      </c>
      <c r="D1056" s="13" t="s">
        <v>155</v>
      </c>
      <c r="E1056" s="13" t="s">
        <v>43</v>
      </c>
      <c r="F1056" s="13" t="n">
        <v>1</v>
      </c>
      <c r="G1056" s="13" t="n">
        <v>1</v>
      </c>
      <c r="H1056" s="13" t="n">
        <v>1</v>
      </c>
      <c r="I1056" s="13" t="n">
        <f aca="false">H1056-G1056</f>
        <v>0</v>
      </c>
      <c r="J1056" s="13" t="n">
        <f aca="false">H1056-F1056</f>
        <v>0</v>
      </c>
    </row>
    <row r="1057" customFormat="false" ht="15" hidden="false" customHeight="false" outlineLevel="0" collapsed="false">
      <c r="A1057" s="13" t="s">
        <v>141</v>
      </c>
      <c r="B1057" s="13" t="s">
        <v>142</v>
      </c>
      <c r="C1057" s="13" t="n">
        <v>3</v>
      </c>
      <c r="D1057" s="13" t="s">
        <v>155</v>
      </c>
      <c r="E1057" s="13" t="s">
        <v>44</v>
      </c>
      <c r="F1057" s="13" t="n">
        <v>1</v>
      </c>
      <c r="G1057" s="13" t="n">
        <v>1</v>
      </c>
      <c r="H1057" s="13" t="n">
        <v>1</v>
      </c>
      <c r="I1057" s="13" t="n">
        <f aca="false">H1057-G1057</f>
        <v>0</v>
      </c>
      <c r="J1057" s="13" t="n">
        <f aca="false">H1057-F1057</f>
        <v>0</v>
      </c>
    </row>
    <row r="1058" customFormat="false" ht="15" hidden="false" customHeight="false" outlineLevel="0" collapsed="false">
      <c r="A1058" s="13" t="s">
        <v>141</v>
      </c>
      <c r="B1058" s="13" t="s">
        <v>142</v>
      </c>
      <c r="C1058" s="13" t="n">
        <v>3</v>
      </c>
      <c r="D1058" s="13" t="s">
        <v>155</v>
      </c>
      <c r="E1058" s="13" t="s">
        <v>45</v>
      </c>
      <c r="F1058" s="13" t="n">
        <v>0</v>
      </c>
      <c r="G1058" s="13" t="n">
        <v>0</v>
      </c>
      <c r="H1058" s="13" t="n">
        <v>0</v>
      </c>
      <c r="I1058" s="13" t="n">
        <f aca="false">H1058-G1058</f>
        <v>0</v>
      </c>
      <c r="J1058" s="13" t="n">
        <f aca="false">H1058-F1058</f>
        <v>0</v>
      </c>
    </row>
    <row r="1059" customFormat="false" ht="15" hidden="false" customHeight="false" outlineLevel="0" collapsed="false">
      <c r="A1059" s="13" t="s">
        <v>141</v>
      </c>
      <c r="B1059" s="13" t="s">
        <v>142</v>
      </c>
      <c r="C1059" s="13" t="n">
        <v>3</v>
      </c>
      <c r="D1059" s="13" t="s">
        <v>155</v>
      </c>
      <c r="E1059" s="13" t="s">
        <v>46</v>
      </c>
      <c r="F1059" s="13" t="n">
        <v>0</v>
      </c>
      <c r="G1059" s="13" t="n">
        <v>0</v>
      </c>
      <c r="H1059" s="13" t="n">
        <v>0</v>
      </c>
      <c r="I1059" s="13" t="n">
        <f aca="false">H1059-G1059</f>
        <v>0</v>
      </c>
      <c r="J1059" s="13" t="n">
        <f aca="false">H1059-F1059</f>
        <v>0</v>
      </c>
    </row>
    <row r="1060" customFormat="false" ht="15" hidden="false" customHeight="false" outlineLevel="0" collapsed="false">
      <c r="A1060" s="13" t="s">
        <v>143</v>
      </c>
      <c r="B1060" s="13" t="s">
        <v>144</v>
      </c>
      <c r="C1060" s="13" t="n">
        <v>2</v>
      </c>
      <c r="D1060" s="13" t="s">
        <v>23</v>
      </c>
      <c r="E1060" s="13" t="s">
        <v>22</v>
      </c>
      <c r="F1060" s="13" t="n">
        <v>0</v>
      </c>
      <c r="G1060" s="13" t="n">
        <v>0</v>
      </c>
      <c r="H1060" s="13" t="n">
        <v>0</v>
      </c>
      <c r="I1060" s="13" t="n">
        <f aca="false">H1060-G1060</f>
        <v>0</v>
      </c>
      <c r="J1060" s="13" t="n">
        <f aca="false">H1060-F1060</f>
        <v>0</v>
      </c>
    </row>
    <row r="1061" customFormat="false" ht="15" hidden="false" customHeight="false" outlineLevel="0" collapsed="false">
      <c r="A1061" s="13" t="s">
        <v>143</v>
      </c>
      <c r="B1061" s="13" t="s">
        <v>144</v>
      </c>
      <c r="C1061" s="13" t="n">
        <v>2</v>
      </c>
      <c r="D1061" s="13" t="s">
        <v>23</v>
      </c>
      <c r="E1061" s="13" t="s">
        <v>24</v>
      </c>
      <c r="F1061" s="13" t="n">
        <v>2</v>
      </c>
      <c r="G1061" s="13" t="n">
        <v>2</v>
      </c>
      <c r="H1061" s="13" t="n">
        <v>2</v>
      </c>
      <c r="I1061" s="13" t="n">
        <f aca="false">H1061-G1061</f>
        <v>0</v>
      </c>
      <c r="J1061" s="13" t="n">
        <f aca="false">H1061-F1061</f>
        <v>0</v>
      </c>
    </row>
    <row r="1062" customFormat="false" ht="15" hidden="false" customHeight="false" outlineLevel="0" collapsed="false">
      <c r="A1062" s="13" t="s">
        <v>143</v>
      </c>
      <c r="B1062" s="13" t="s">
        <v>144</v>
      </c>
      <c r="C1062" s="13" t="n">
        <v>2</v>
      </c>
      <c r="D1062" s="13" t="s">
        <v>23</v>
      </c>
      <c r="E1062" s="13" t="s">
        <v>25</v>
      </c>
      <c r="F1062" s="13" t="n">
        <v>2</v>
      </c>
      <c r="G1062" s="13" t="n">
        <v>2</v>
      </c>
      <c r="H1062" s="13" t="n">
        <v>2</v>
      </c>
      <c r="I1062" s="13" t="n">
        <f aca="false">H1062-G1062</f>
        <v>0</v>
      </c>
      <c r="J1062" s="13" t="n">
        <f aca="false">H1062-F1062</f>
        <v>0</v>
      </c>
    </row>
    <row r="1063" customFormat="false" ht="15" hidden="false" customHeight="false" outlineLevel="0" collapsed="false">
      <c r="A1063" s="13" t="s">
        <v>143</v>
      </c>
      <c r="B1063" s="13" t="s">
        <v>144</v>
      </c>
      <c r="C1063" s="13" t="n">
        <v>2</v>
      </c>
      <c r="D1063" s="13" t="s">
        <v>23</v>
      </c>
      <c r="E1063" s="13" t="s">
        <v>26</v>
      </c>
      <c r="F1063" s="13" t="n">
        <v>0</v>
      </c>
      <c r="G1063" s="13" t="n">
        <v>0</v>
      </c>
      <c r="H1063" s="13" t="n">
        <v>0</v>
      </c>
      <c r="I1063" s="13" t="n">
        <f aca="false">H1063-G1063</f>
        <v>0</v>
      </c>
      <c r="J1063" s="13" t="n">
        <f aca="false">H1063-F1063</f>
        <v>0</v>
      </c>
    </row>
    <row r="1064" customFormat="false" ht="15" hidden="false" customHeight="false" outlineLevel="0" collapsed="false">
      <c r="A1064" s="13" t="s">
        <v>143</v>
      </c>
      <c r="B1064" s="13" t="s">
        <v>144</v>
      </c>
      <c r="C1064" s="13" t="n">
        <v>2</v>
      </c>
      <c r="D1064" s="13" t="s">
        <v>23</v>
      </c>
      <c r="E1064" s="13" t="s">
        <v>27</v>
      </c>
      <c r="F1064" s="13" t="n">
        <v>1</v>
      </c>
      <c r="G1064" s="13" t="n">
        <v>0</v>
      </c>
      <c r="H1064" s="13" t="n">
        <v>0</v>
      </c>
      <c r="I1064" s="13" t="n">
        <f aca="false">H1064-G1064</f>
        <v>0</v>
      </c>
      <c r="J1064" s="13" t="n">
        <f aca="false">H1064-F1064</f>
        <v>-1</v>
      </c>
    </row>
    <row r="1065" customFormat="false" ht="15" hidden="false" customHeight="false" outlineLevel="0" collapsed="false">
      <c r="A1065" s="13" t="s">
        <v>143</v>
      </c>
      <c r="B1065" s="13" t="s">
        <v>144</v>
      </c>
      <c r="C1065" s="13" t="n">
        <v>2</v>
      </c>
      <c r="D1065" s="13" t="s">
        <v>23</v>
      </c>
      <c r="E1065" s="13" t="s">
        <v>28</v>
      </c>
      <c r="F1065" s="13" t="n">
        <v>2</v>
      </c>
      <c r="G1065" s="13" t="n">
        <v>2</v>
      </c>
      <c r="H1065" s="13" t="n">
        <v>2</v>
      </c>
      <c r="I1065" s="13" t="n">
        <f aca="false">H1065-G1065</f>
        <v>0</v>
      </c>
      <c r="J1065" s="13" t="n">
        <f aca="false">H1065-F1065</f>
        <v>0</v>
      </c>
    </row>
    <row r="1066" customFormat="false" ht="15" hidden="false" customHeight="false" outlineLevel="0" collapsed="false">
      <c r="A1066" s="13" t="s">
        <v>143</v>
      </c>
      <c r="B1066" s="13" t="s">
        <v>144</v>
      </c>
      <c r="C1066" s="13" t="n">
        <v>2</v>
      </c>
      <c r="D1066" s="13" t="s">
        <v>23</v>
      </c>
      <c r="E1066" s="13" t="s">
        <v>29</v>
      </c>
      <c r="F1066" s="13" t="n">
        <v>0</v>
      </c>
      <c r="G1066" s="13" t="n">
        <v>0</v>
      </c>
      <c r="H1066" s="13" t="n">
        <v>0</v>
      </c>
      <c r="I1066" s="13" t="n">
        <f aca="false">H1066-G1066</f>
        <v>0</v>
      </c>
      <c r="J1066" s="13" t="n">
        <f aca="false">H1066-F1066</f>
        <v>0</v>
      </c>
    </row>
    <row r="1067" customFormat="false" ht="15" hidden="false" customHeight="false" outlineLevel="0" collapsed="false">
      <c r="A1067" s="13" t="s">
        <v>143</v>
      </c>
      <c r="B1067" s="13" t="s">
        <v>144</v>
      </c>
      <c r="C1067" s="13" t="n">
        <v>2</v>
      </c>
      <c r="D1067" s="13" t="s">
        <v>23</v>
      </c>
      <c r="E1067" s="13" t="s">
        <v>30</v>
      </c>
      <c r="F1067" s="13" t="n">
        <v>2</v>
      </c>
      <c r="G1067" s="13" t="n">
        <v>2</v>
      </c>
      <c r="H1067" s="13" t="n">
        <v>2</v>
      </c>
      <c r="I1067" s="13" t="n">
        <f aca="false">H1067-G1067</f>
        <v>0</v>
      </c>
      <c r="J1067" s="13" t="n">
        <f aca="false">H1067-F1067</f>
        <v>0</v>
      </c>
    </row>
    <row r="1068" customFormat="false" ht="15" hidden="false" customHeight="false" outlineLevel="0" collapsed="false">
      <c r="A1068" s="13" t="s">
        <v>143</v>
      </c>
      <c r="B1068" s="13" t="s">
        <v>144</v>
      </c>
      <c r="C1068" s="13" t="n">
        <v>2</v>
      </c>
      <c r="D1068" s="13" t="s">
        <v>23</v>
      </c>
      <c r="E1068" s="13" t="s">
        <v>31</v>
      </c>
      <c r="F1068" s="13" t="n">
        <v>0</v>
      </c>
      <c r="G1068" s="13" t="n">
        <v>0</v>
      </c>
      <c r="H1068" s="13" t="n">
        <v>0</v>
      </c>
      <c r="I1068" s="13" t="n">
        <f aca="false">H1068-G1068</f>
        <v>0</v>
      </c>
      <c r="J1068" s="13" t="n">
        <f aca="false">H1068-F1068</f>
        <v>0</v>
      </c>
    </row>
    <row r="1069" customFormat="false" ht="15" hidden="false" customHeight="false" outlineLevel="0" collapsed="false">
      <c r="A1069" s="13" t="s">
        <v>143</v>
      </c>
      <c r="B1069" s="13" t="s">
        <v>144</v>
      </c>
      <c r="C1069" s="13" t="n">
        <v>2</v>
      </c>
      <c r="D1069" s="13" t="s">
        <v>23</v>
      </c>
      <c r="E1069" s="13" t="s">
        <v>32</v>
      </c>
      <c r="F1069" s="13" t="n">
        <v>0</v>
      </c>
      <c r="G1069" s="13" t="n">
        <v>0</v>
      </c>
      <c r="H1069" s="13" t="n">
        <v>0</v>
      </c>
      <c r="I1069" s="13" t="n">
        <f aca="false">H1069-G1069</f>
        <v>0</v>
      </c>
      <c r="J1069" s="13" t="n">
        <f aca="false">H1069-F1069</f>
        <v>0</v>
      </c>
    </row>
    <row r="1070" customFormat="false" ht="15" hidden="false" customHeight="false" outlineLevel="0" collapsed="false">
      <c r="A1070" s="13" t="s">
        <v>143</v>
      </c>
      <c r="B1070" s="13" t="s">
        <v>144</v>
      </c>
      <c r="C1070" s="13" t="n">
        <v>2</v>
      </c>
      <c r="D1070" s="13" t="s">
        <v>23</v>
      </c>
      <c r="E1070" s="13" t="s">
        <v>33</v>
      </c>
      <c r="F1070" s="13" t="n">
        <v>0</v>
      </c>
      <c r="G1070" s="13" t="n">
        <v>0</v>
      </c>
      <c r="H1070" s="13" t="n">
        <v>0</v>
      </c>
      <c r="I1070" s="13" t="n">
        <f aca="false">H1070-G1070</f>
        <v>0</v>
      </c>
      <c r="J1070" s="13" t="n">
        <f aca="false">H1070-F1070</f>
        <v>0</v>
      </c>
    </row>
    <row r="1071" customFormat="false" ht="15" hidden="false" customHeight="false" outlineLevel="0" collapsed="false">
      <c r="A1071" s="13" t="s">
        <v>143</v>
      </c>
      <c r="B1071" s="13" t="s">
        <v>144</v>
      </c>
      <c r="C1071" s="13" t="n">
        <v>2</v>
      </c>
      <c r="D1071" s="13" t="s">
        <v>23</v>
      </c>
      <c r="E1071" s="13" t="s">
        <v>34</v>
      </c>
      <c r="F1071" s="13" t="n">
        <v>0</v>
      </c>
      <c r="G1071" s="13" t="n">
        <v>2</v>
      </c>
      <c r="H1071" s="13" t="n">
        <v>2</v>
      </c>
      <c r="I1071" s="13" t="n">
        <f aca="false">H1071-G1071</f>
        <v>0</v>
      </c>
      <c r="J1071" s="13" t="n">
        <f aca="false">H1071-F1071</f>
        <v>2</v>
      </c>
    </row>
    <row r="1072" customFormat="false" ht="15" hidden="false" customHeight="false" outlineLevel="0" collapsed="false">
      <c r="A1072" s="13" t="s">
        <v>143</v>
      </c>
      <c r="B1072" s="13" t="s">
        <v>144</v>
      </c>
      <c r="C1072" s="13" t="n">
        <v>2</v>
      </c>
      <c r="D1072" s="13" t="s">
        <v>23</v>
      </c>
      <c r="E1072" s="13" t="s">
        <v>35</v>
      </c>
      <c r="F1072" s="13" t="n">
        <v>0</v>
      </c>
      <c r="G1072" s="13" t="n">
        <v>0</v>
      </c>
      <c r="H1072" s="13" t="n">
        <v>0</v>
      </c>
      <c r="I1072" s="13" t="n">
        <f aca="false">H1072-G1072</f>
        <v>0</v>
      </c>
      <c r="J1072" s="13" t="n">
        <f aca="false">H1072-F1072</f>
        <v>0</v>
      </c>
    </row>
    <row r="1073" customFormat="false" ht="15" hidden="false" customHeight="false" outlineLevel="0" collapsed="false">
      <c r="A1073" s="13" t="s">
        <v>143</v>
      </c>
      <c r="B1073" s="13" t="s">
        <v>144</v>
      </c>
      <c r="C1073" s="13" t="n">
        <v>2</v>
      </c>
      <c r="D1073" s="13" t="s">
        <v>23</v>
      </c>
      <c r="E1073" s="13" t="s">
        <v>36</v>
      </c>
      <c r="F1073" s="13" t="n">
        <v>0</v>
      </c>
      <c r="G1073" s="13" t="n">
        <v>0</v>
      </c>
      <c r="H1073" s="13" t="n">
        <v>0</v>
      </c>
      <c r="I1073" s="13" t="n">
        <f aca="false">H1073-G1073</f>
        <v>0</v>
      </c>
      <c r="J1073" s="13" t="n">
        <f aca="false">H1073-F1073</f>
        <v>0</v>
      </c>
    </row>
    <row r="1074" customFormat="false" ht="15" hidden="false" customHeight="false" outlineLevel="0" collapsed="false">
      <c r="A1074" s="13" t="s">
        <v>143</v>
      </c>
      <c r="B1074" s="13" t="s">
        <v>144</v>
      </c>
      <c r="C1074" s="13" t="n">
        <v>2</v>
      </c>
      <c r="D1074" s="13" t="s">
        <v>155</v>
      </c>
      <c r="E1074" s="13" t="s">
        <v>37</v>
      </c>
      <c r="F1074" s="13" t="n">
        <v>1</v>
      </c>
      <c r="G1074" s="13" t="n">
        <v>1</v>
      </c>
      <c r="H1074" s="13" t="n">
        <v>1</v>
      </c>
      <c r="I1074" s="13" t="n">
        <f aca="false">H1074-G1074</f>
        <v>0</v>
      </c>
      <c r="J1074" s="13" t="n">
        <f aca="false">H1074-F1074</f>
        <v>0</v>
      </c>
    </row>
    <row r="1075" customFormat="false" ht="15" hidden="false" customHeight="false" outlineLevel="0" collapsed="false">
      <c r="A1075" s="13" t="s">
        <v>143</v>
      </c>
      <c r="B1075" s="13" t="s">
        <v>144</v>
      </c>
      <c r="C1075" s="13" t="n">
        <v>2</v>
      </c>
      <c r="D1075" s="13" t="s">
        <v>155</v>
      </c>
      <c r="E1075" s="13" t="s">
        <v>39</v>
      </c>
      <c r="F1075" s="13" t="n">
        <v>1</v>
      </c>
      <c r="G1075" s="13" t="n">
        <v>1</v>
      </c>
      <c r="H1075" s="13" t="n">
        <v>1</v>
      </c>
      <c r="I1075" s="13" t="n">
        <f aca="false">H1075-G1075</f>
        <v>0</v>
      </c>
      <c r="J1075" s="13" t="n">
        <f aca="false">H1075-F1075</f>
        <v>0</v>
      </c>
    </row>
    <row r="1076" customFormat="false" ht="15" hidden="false" customHeight="false" outlineLevel="0" collapsed="false">
      <c r="A1076" s="13" t="s">
        <v>143</v>
      </c>
      <c r="B1076" s="13" t="s">
        <v>144</v>
      </c>
      <c r="C1076" s="13" t="n">
        <v>2</v>
      </c>
      <c r="D1076" s="13" t="s">
        <v>155</v>
      </c>
      <c r="E1076" s="13" t="s">
        <v>40</v>
      </c>
      <c r="F1076" s="13" t="n">
        <v>1</v>
      </c>
      <c r="G1076" s="13" t="n">
        <v>1</v>
      </c>
      <c r="H1076" s="13" t="n">
        <v>1</v>
      </c>
      <c r="I1076" s="13" t="n">
        <f aca="false">H1076-G1076</f>
        <v>0</v>
      </c>
      <c r="J1076" s="13" t="n">
        <f aca="false">H1076-F1076</f>
        <v>0</v>
      </c>
    </row>
    <row r="1077" customFormat="false" ht="15" hidden="false" customHeight="false" outlineLevel="0" collapsed="false">
      <c r="A1077" s="13" t="s">
        <v>143</v>
      </c>
      <c r="B1077" s="13" t="s">
        <v>144</v>
      </c>
      <c r="C1077" s="13" t="n">
        <v>2</v>
      </c>
      <c r="D1077" s="13" t="s">
        <v>155</v>
      </c>
      <c r="E1077" s="13" t="s">
        <v>41</v>
      </c>
      <c r="F1077" s="13" t="n">
        <v>0</v>
      </c>
      <c r="G1077" s="13" t="n">
        <v>0</v>
      </c>
      <c r="H1077" s="13" t="n">
        <v>0</v>
      </c>
      <c r="I1077" s="13" t="n">
        <f aca="false">H1077-G1077</f>
        <v>0</v>
      </c>
      <c r="J1077" s="13" t="n">
        <f aca="false">H1077-F1077</f>
        <v>0</v>
      </c>
    </row>
    <row r="1078" customFormat="false" ht="15" hidden="false" customHeight="false" outlineLevel="0" collapsed="false">
      <c r="A1078" s="13" t="s">
        <v>143</v>
      </c>
      <c r="B1078" s="13" t="s">
        <v>144</v>
      </c>
      <c r="C1078" s="13" t="n">
        <v>2</v>
      </c>
      <c r="D1078" s="13" t="s">
        <v>155</v>
      </c>
      <c r="E1078" s="13" t="s">
        <v>42</v>
      </c>
      <c r="F1078" s="13" t="n">
        <v>1</v>
      </c>
      <c r="G1078" s="13" t="n">
        <v>1</v>
      </c>
      <c r="H1078" s="13" t="n">
        <v>1</v>
      </c>
      <c r="I1078" s="13" t="n">
        <f aca="false">H1078-G1078</f>
        <v>0</v>
      </c>
      <c r="J1078" s="13" t="n">
        <f aca="false">H1078-F1078</f>
        <v>0</v>
      </c>
    </row>
    <row r="1079" customFormat="false" ht="15" hidden="false" customHeight="false" outlineLevel="0" collapsed="false">
      <c r="A1079" s="13" t="s">
        <v>143</v>
      </c>
      <c r="B1079" s="13" t="s">
        <v>144</v>
      </c>
      <c r="C1079" s="13" t="n">
        <v>2</v>
      </c>
      <c r="D1079" s="13" t="s">
        <v>155</v>
      </c>
      <c r="E1079" s="13" t="s">
        <v>43</v>
      </c>
      <c r="F1079" s="13" t="n">
        <v>1</v>
      </c>
      <c r="G1079" s="13" t="n">
        <v>1</v>
      </c>
      <c r="H1079" s="13" t="n">
        <v>1</v>
      </c>
      <c r="I1079" s="13" t="n">
        <f aca="false">H1079-G1079</f>
        <v>0</v>
      </c>
      <c r="J1079" s="13" t="n">
        <f aca="false">H1079-F1079</f>
        <v>0</v>
      </c>
    </row>
    <row r="1080" customFormat="false" ht="15" hidden="false" customHeight="false" outlineLevel="0" collapsed="false">
      <c r="A1080" s="13" t="s">
        <v>143</v>
      </c>
      <c r="B1080" s="13" t="s">
        <v>144</v>
      </c>
      <c r="C1080" s="13" t="n">
        <v>2</v>
      </c>
      <c r="D1080" s="13" t="s">
        <v>155</v>
      </c>
      <c r="E1080" s="13" t="s">
        <v>44</v>
      </c>
      <c r="F1080" s="13" t="n">
        <v>1</v>
      </c>
      <c r="G1080" s="13" t="n">
        <v>1</v>
      </c>
      <c r="H1080" s="13" t="n">
        <v>1</v>
      </c>
      <c r="I1080" s="13" t="n">
        <f aca="false">H1080-G1080</f>
        <v>0</v>
      </c>
      <c r="J1080" s="13" t="n">
        <f aca="false">H1080-F1080</f>
        <v>0</v>
      </c>
    </row>
    <row r="1081" customFormat="false" ht="15" hidden="false" customHeight="false" outlineLevel="0" collapsed="false">
      <c r="A1081" s="13" t="s">
        <v>143</v>
      </c>
      <c r="B1081" s="13" t="s">
        <v>144</v>
      </c>
      <c r="C1081" s="13" t="n">
        <v>2</v>
      </c>
      <c r="D1081" s="13" t="s">
        <v>155</v>
      </c>
      <c r="E1081" s="13" t="s">
        <v>45</v>
      </c>
      <c r="F1081" s="13" t="n">
        <v>0</v>
      </c>
      <c r="G1081" s="13" t="n">
        <v>0</v>
      </c>
      <c r="H1081" s="13" t="n">
        <v>0</v>
      </c>
      <c r="I1081" s="13" t="n">
        <f aca="false">H1081-G1081</f>
        <v>0</v>
      </c>
      <c r="J1081" s="13" t="n">
        <f aca="false">H1081-F1081</f>
        <v>0</v>
      </c>
    </row>
    <row r="1082" customFormat="false" ht="15" hidden="false" customHeight="false" outlineLevel="0" collapsed="false">
      <c r="A1082" s="13" t="s">
        <v>143</v>
      </c>
      <c r="B1082" s="13" t="s">
        <v>144</v>
      </c>
      <c r="C1082" s="13" t="n">
        <v>2</v>
      </c>
      <c r="D1082" s="13" t="s">
        <v>155</v>
      </c>
      <c r="E1082" s="13" t="s">
        <v>46</v>
      </c>
      <c r="F1082" s="13" t="n">
        <v>0</v>
      </c>
      <c r="G1082" s="13" t="n">
        <v>0</v>
      </c>
      <c r="H1082" s="13" t="n">
        <v>0</v>
      </c>
      <c r="I1082" s="13" t="n">
        <f aca="false">H1082-G1082</f>
        <v>0</v>
      </c>
      <c r="J1082" s="13" t="n">
        <f aca="false">H1082-F1082</f>
        <v>0</v>
      </c>
    </row>
    <row r="1083" customFormat="false" ht="15" hidden="false" customHeight="false" outlineLevel="0" collapsed="false">
      <c r="A1083" s="13" t="s">
        <v>145</v>
      </c>
      <c r="B1083" s="13" t="s">
        <v>146</v>
      </c>
      <c r="C1083" s="13" t="n">
        <v>2</v>
      </c>
      <c r="D1083" s="13" t="s">
        <v>23</v>
      </c>
      <c r="E1083" s="13" t="s">
        <v>22</v>
      </c>
      <c r="F1083" s="13" t="n">
        <v>0</v>
      </c>
      <c r="G1083" s="13" t="n">
        <v>2</v>
      </c>
      <c r="H1083" s="13" t="n">
        <v>2</v>
      </c>
      <c r="I1083" s="13" t="n">
        <f aca="false">H1083-G1083</f>
        <v>0</v>
      </c>
      <c r="J1083" s="13" t="n">
        <f aca="false">H1083-F1083</f>
        <v>2</v>
      </c>
    </row>
    <row r="1084" customFormat="false" ht="15" hidden="false" customHeight="false" outlineLevel="0" collapsed="false">
      <c r="A1084" s="13" t="s">
        <v>145</v>
      </c>
      <c r="B1084" s="13" t="s">
        <v>146</v>
      </c>
      <c r="C1084" s="13" t="n">
        <v>2</v>
      </c>
      <c r="D1084" s="13" t="s">
        <v>23</v>
      </c>
      <c r="E1084" s="13" t="s">
        <v>24</v>
      </c>
      <c r="F1084" s="13" t="n">
        <v>1</v>
      </c>
      <c r="G1084" s="13" t="n">
        <v>2</v>
      </c>
      <c r="H1084" s="13" t="n">
        <v>2</v>
      </c>
      <c r="I1084" s="13" t="n">
        <f aca="false">H1084-G1084</f>
        <v>0</v>
      </c>
      <c r="J1084" s="13" t="n">
        <f aca="false">H1084-F1084</f>
        <v>1</v>
      </c>
    </row>
    <row r="1085" customFormat="false" ht="15" hidden="false" customHeight="false" outlineLevel="0" collapsed="false">
      <c r="A1085" s="13" t="s">
        <v>145</v>
      </c>
      <c r="B1085" s="13" t="s">
        <v>146</v>
      </c>
      <c r="C1085" s="13" t="n">
        <v>2</v>
      </c>
      <c r="D1085" s="13" t="s">
        <v>23</v>
      </c>
      <c r="E1085" s="13" t="s">
        <v>25</v>
      </c>
      <c r="F1085" s="13" t="n">
        <v>7</v>
      </c>
      <c r="G1085" s="13" t="n">
        <v>2</v>
      </c>
      <c r="H1085" s="13" t="n">
        <v>2</v>
      </c>
      <c r="I1085" s="13" t="n">
        <f aca="false">H1085-G1085</f>
        <v>0</v>
      </c>
      <c r="J1085" s="13" t="n">
        <f aca="false">H1085-F1085</f>
        <v>-5</v>
      </c>
    </row>
    <row r="1086" customFormat="false" ht="15" hidden="false" customHeight="false" outlineLevel="0" collapsed="false">
      <c r="A1086" s="13" t="s">
        <v>145</v>
      </c>
      <c r="B1086" s="13" t="s">
        <v>146</v>
      </c>
      <c r="C1086" s="13" t="n">
        <v>2</v>
      </c>
      <c r="D1086" s="13" t="s">
        <v>23</v>
      </c>
      <c r="E1086" s="13" t="s">
        <v>26</v>
      </c>
      <c r="F1086" s="13" t="n">
        <v>4</v>
      </c>
      <c r="G1086" s="13" t="n">
        <v>2</v>
      </c>
      <c r="H1086" s="13" t="n">
        <v>2</v>
      </c>
      <c r="I1086" s="13" t="n">
        <f aca="false">H1086-G1086</f>
        <v>0</v>
      </c>
      <c r="J1086" s="13" t="n">
        <f aca="false">H1086-F1086</f>
        <v>-2</v>
      </c>
    </row>
    <row r="1087" customFormat="false" ht="15" hidden="false" customHeight="false" outlineLevel="0" collapsed="false">
      <c r="A1087" s="13" t="s">
        <v>145</v>
      </c>
      <c r="B1087" s="13" t="s">
        <v>146</v>
      </c>
      <c r="C1087" s="13" t="n">
        <v>2</v>
      </c>
      <c r="D1087" s="13" t="s">
        <v>23</v>
      </c>
      <c r="E1087" s="13" t="s">
        <v>27</v>
      </c>
      <c r="F1087" s="13" t="n">
        <v>6</v>
      </c>
      <c r="G1087" s="13" t="n">
        <v>2</v>
      </c>
      <c r="H1087" s="13" t="n">
        <v>2</v>
      </c>
      <c r="I1087" s="13" t="n">
        <f aca="false">H1087-G1087</f>
        <v>0</v>
      </c>
      <c r="J1087" s="13" t="n">
        <f aca="false">H1087-F1087</f>
        <v>-4</v>
      </c>
    </row>
    <row r="1088" customFormat="false" ht="15" hidden="false" customHeight="false" outlineLevel="0" collapsed="false">
      <c r="A1088" s="13" t="s">
        <v>145</v>
      </c>
      <c r="B1088" s="13" t="s">
        <v>146</v>
      </c>
      <c r="C1088" s="13" t="n">
        <v>2</v>
      </c>
      <c r="D1088" s="13" t="s">
        <v>23</v>
      </c>
      <c r="E1088" s="13" t="s">
        <v>28</v>
      </c>
      <c r="F1088" s="13" t="n">
        <v>4</v>
      </c>
      <c r="G1088" s="13" t="n">
        <v>1</v>
      </c>
      <c r="H1088" s="13" t="n">
        <v>1</v>
      </c>
      <c r="I1088" s="13" t="n">
        <f aca="false">H1088-G1088</f>
        <v>0</v>
      </c>
      <c r="J1088" s="13" t="n">
        <f aca="false">H1088-F1088</f>
        <v>-3</v>
      </c>
    </row>
    <row r="1089" customFormat="false" ht="15" hidden="false" customHeight="false" outlineLevel="0" collapsed="false">
      <c r="A1089" s="13" t="s">
        <v>145</v>
      </c>
      <c r="B1089" s="13" t="s">
        <v>146</v>
      </c>
      <c r="C1089" s="13" t="n">
        <v>2</v>
      </c>
      <c r="D1089" s="13" t="s">
        <v>23</v>
      </c>
      <c r="E1089" s="13" t="s">
        <v>29</v>
      </c>
      <c r="F1089" s="13" t="n">
        <v>0</v>
      </c>
      <c r="G1089" s="13" t="n">
        <v>0</v>
      </c>
      <c r="H1089" s="13" t="n">
        <v>0</v>
      </c>
      <c r="I1089" s="13" t="n">
        <f aca="false">H1089-G1089</f>
        <v>0</v>
      </c>
      <c r="J1089" s="13" t="n">
        <f aca="false">H1089-F1089</f>
        <v>0</v>
      </c>
    </row>
    <row r="1090" customFormat="false" ht="15" hidden="false" customHeight="false" outlineLevel="0" collapsed="false">
      <c r="A1090" s="13" t="s">
        <v>145</v>
      </c>
      <c r="B1090" s="13" t="s">
        <v>146</v>
      </c>
      <c r="C1090" s="13" t="n">
        <v>2</v>
      </c>
      <c r="D1090" s="13" t="s">
        <v>23</v>
      </c>
      <c r="E1090" s="13" t="s">
        <v>30</v>
      </c>
      <c r="F1090" s="13" t="n">
        <v>7</v>
      </c>
      <c r="G1090" s="13" t="n">
        <v>2</v>
      </c>
      <c r="H1090" s="13" t="n">
        <v>2</v>
      </c>
      <c r="I1090" s="13" t="n">
        <f aca="false">H1090-G1090</f>
        <v>0</v>
      </c>
      <c r="J1090" s="13" t="n">
        <f aca="false">H1090-F1090</f>
        <v>-5</v>
      </c>
    </row>
    <row r="1091" customFormat="false" ht="15" hidden="false" customHeight="false" outlineLevel="0" collapsed="false">
      <c r="A1091" s="13" t="s">
        <v>145</v>
      </c>
      <c r="B1091" s="13" t="s">
        <v>146</v>
      </c>
      <c r="C1091" s="13" t="n">
        <v>2</v>
      </c>
      <c r="D1091" s="13" t="s">
        <v>23</v>
      </c>
      <c r="E1091" s="13" t="s">
        <v>31</v>
      </c>
      <c r="F1091" s="13" t="n">
        <v>0</v>
      </c>
      <c r="G1091" s="13" t="n">
        <v>1</v>
      </c>
      <c r="H1091" s="13" t="n">
        <v>1</v>
      </c>
      <c r="I1091" s="13" t="n">
        <f aca="false">H1091-G1091</f>
        <v>0</v>
      </c>
      <c r="J1091" s="13" t="n">
        <f aca="false">H1091-F1091</f>
        <v>1</v>
      </c>
    </row>
    <row r="1092" customFormat="false" ht="15" hidden="false" customHeight="false" outlineLevel="0" collapsed="false">
      <c r="A1092" s="13" t="s">
        <v>145</v>
      </c>
      <c r="B1092" s="13" t="s">
        <v>146</v>
      </c>
      <c r="C1092" s="13" t="n">
        <v>2</v>
      </c>
      <c r="D1092" s="13" t="s">
        <v>23</v>
      </c>
      <c r="E1092" s="13" t="s">
        <v>32</v>
      </c>
      <c r="F1092" s="13" t="n">
        <v>0</v>
      </c>
      <c r="G1092" s="13" t="n">
        <v>2</v>
      </c>
      <c r="H1092" s="13" t="n">
        <v>2</v>
      </c>
      <c r="I1092" s="13" t="n">
        <f aca="false">H1092-G1092</f>
        <v>0</v>
      </c>
      <c r="J1092" s="13" t="n">
        <f aca="false">H1092-F1092</f>
        <v>2</v>
      </c>
    </row>
    <row r="1093" customFormat="false" ht="15" hidden="false" customHeight="false" outlineLevel="0" collapsed="false">
      <c r="A1093" s="13" t="s">
        <v>145</v>
      </c>
      <c r="B1093" s="13" t="s">
        <v>146</v>
      </c>
      <c r="C1093" s="13" t="n">
        <v>2</v>
      </c>
      <c r="D1093" s="13" t="s">
        <v>23</v>
      </c>
      <c r="E1093" s="13" t="s">
        <v>33</v>
      </c>
      <c r="F1093" s="13" t="n">
        <v>0</v>
      </c>
      <c r="G1093" s="13" t="n">
        <v>0</v>
      </c>
      <c r="H1093" s="13" t="n">
        <v>0</v>
      </c>
      <c r="I1093" s="13" t="n">
        <f aca="false">H1093-G1093</f>
        <v>0</v>
      </c>
      <c r="J1093" s="13" t="n">
        <f aca="false">H1093-F1093</f>
        <v>0</v>
      </c>
    </row>
    <row r="1094" customFormat="false" ht="15" hidden="false" customHeight="false" outlineLevel="0" collapsed="false">
      <c r="A1094" s="13" t="s">
        <v>145</v>
      </c>
      <c r="B1094" s="13" t="s">
        <v>146</v>
      </c>
      <c r="C1094" s="13" t="n">
        <v>2</v>
      </c>
      <c r="D1094" s="13" t="s">
        <v>23</v>
      </c>
      <c r="E1094" s="13" t="s">
        <v>34</v>
      </c>
      <c r="F1094" s="13" t="n">
        <v>0</v>
      </c>
      <c r="G1094" s="13" t="n">
        <v>2</v>
      </c>
      <c r="H1094" s="13" t="n">
        <v>2</v>
      </c>
      <c r="I1094" s="13" t="n">
        <f aca="false">H1094-G1094</f>
        <v>0</v>
      </c>
      <c r="J1094" s="13" t="n">
        <f aca="false">H1094-F1094</f>
        <v>2</v>
      </c>
    </row>
    <row r="1095" customFormat="false" ht="15" hidden="false" customHeight="false" outlineLevel="0" collapsed="false">
      <c r="A1095" s="13" t="s">
        <v>145</v>
      </c>
      <c r="B1095" s="13" t="s">
        <v>146</v>
      </c>
      <c r="C1095" s="13" t="n">
        <v>2</v>
      </c>
      <c r="D1095" s="13" t="s">
        <v>23</v>
      </c>
      <c r="E1095" s="13" t="s">
        <v>35</v>
      </c>
      <c r="F1095" s="13" t="n">
        <v>0</v>
      </c>
      <c r="G1095" s="13" t="n">
        <v>0</v>
      </c>
      <c r="H1095" s="13" t="n">
        <v>0</v>
      </c>
      <c r="I1095" s="13" t="n">
        <f aca="false">H1095-G1095</f>
        <v>0</v>
      </c>
      <c r="J1095" s="13" t="n">
        <f aca="false">H1095-F1095</f>
        <v>0</v>
      </c>
    </row>
    <row r="1096" customFormat="false" ht="15" hidden="false" customHeight="false" outlineLevel="0" collapsed="false">
      <c r="A1096" s="13" t="s">
        <v>145</v>
      </c>
      <c r="B1096" s="13" t="s">
        <v>146</v>
      </c>
      <c r="C1096" s="13" t="n">
        <v>2</v>
      </c>
      <c r="D1096" s="13" t="s">
        <v>23</v>
      </c>
      <c r="E1096" s="13" t="s">
        <v>36</v>
      </c>
      <c r="F1096" s="13" t="n">
        <v>0</v>
      </c>
      <c r="G1096" s="13" t="n">
        <v>0</v>
      </c>
      <c r="H1096" s="13" t="n">
        <v>0</v>
      </c>
      <c r="I1096" s="13" t="n">
        <f aca="false">H1096-G1096</f>
        <v>0</v>
      </c>
      <c r="J1096" s="13" t="n">
        <f aca="false">H1096-F1096</f>
        <v>0</v>
      </c>
    </row>
    <row r="1097" customFormat="false" ht="15" hidden="false" customHeight="false" outlineLevel="0" collapsed="false">
      <c r="A1097" s="13" t="s">
        <v>145</v>
      </c>
      <c r="B1097" s="13" t="s">
        <v>146</v>
      </c>
      <c r="C1097" s="13" t="n">
        <v>2</v>
      </c>
      <c r="D1097" s="13" t="s">
        <v>155</v>
      </c>
      <c r="E1097" s="13" t="s">
        <v>37</v>
      </c>
      <c r="F1097" s="13" t="n">
        <v>1</v>
      </c>
      <c r="G1097" s="13" t="n">
        <v>1</v>
      </c>
      <c r="H1097" s="13" t="n">
        <v>1</v>
      </c>
      <c r="I1097" s="13" t="n">
        <f aca="false">H1097-G1097</f>
        <v>0</v>
      </c>
      <c r="J1097" s="13" t="n">
        <f aca="false">H1097-F1097</f>
        <v>0</v>
      </c>
    </row>
    <row r="1098" customFormat="false" ht="15" hidden="false" customHeight="false" outlineLevel="0" collapsed="false">
      <c r="A1098" s="13" t="s">
        <v>145</v>
      </c>
      <c r="B1098" s="13" t="s">
        <v>146</v>
      </c>
      <c r="C1098" s="13" t="n">
        <v>2</v>
      </c>
      <c r="D1098" s="13" t="s">
        <v>155</v>
      </c>
      <c r="E1098" s="13" t="s">
        <v>39</v>
      </c>
      <c r="F1098" s="13" t="n">
        <v>0</v>
      </c>
      <c r="G1098" s="13" t="n">
        <v>0</v>
      </c>
      <c r="H1098" s="13" t="n">
        <v>0</v>
      </c>
      <c r="I1098" s="13" t="n">
        <f aca="false">H1098-G1098</f>
        <v>0</v>
      </c>
      <c r="J1098" s="13" t="n">
        <f aca="false">H1098-F1098</f>
        <v>0</v>
      </c>
    </row>
    <row r="1099" customFormat="false" ht="15" hidden="false" customHeight="false" outlineLevel="0" collapsed="false">
      <c r="A1099" s="13" t="s">
        <v>145</v>
      </c>
      <c r="B1099" s="13" t="s">
        <v>146</v>
      </c>
      <c r="C1099" s="13" t="n">
        <v>2</v>
      </c>
      <c r="D1099" s="13" t="s">
        <v>155</v>
      </c>
      <c r="E1099" s="13" t="s">
        <v>40</v>
      </c>
      <c r="F1099" s="13" t="n">
        <v>1</v>
      </c>
      <c r="G1099" s="13" t="n">
        <v>1</v>
      </c>
      <c r="H1099" s="13" t="n">
        <v>1</v>
      </c>
      <c r="I1099" s="13" t="n">
        <f aca="false">H1099-G1099</f>
        <v>0</v>
      </c>
      <c r="J1099" s="13" t="n">
        <f aca="false">H1099-F1099</f>
        <v>0</v>
      </c>
    </row>
    <row r="1100" customFormat="false" ht="15" hidden="false" customHeight="false" outlineLevel="0" collapsed="false">
      <c r="A1100" s="13" t="s">
        <v>145</v>
      </c>
      <c r="B1100" s="13" t="s">
        <v>146</v>
      </c>
      <c r="C1100" s="13" t="n">
        <v>2</v>
      </c>
      <c r="D1100" s="13" t="s">
        <v>155</v>
      </c>
      <c r="E1100" s="13" t="s">
        <v>41</v>
      </c>
      <c r="F1100" s="13" t="n">
        <v>0</v>
      </c>
      <c r="G1100" s="13" t="n">
        <v>0</v>
      </c>
      <c r="H1100" s="13" t="n">
        <v>0</v>
      </c>
      <c r="I1100" s="13" t="n">
        <f aca="false">H1100-G1100</f>
        <v>0</v>
      </c>
      <c r="J1100" s="13" t="n">
        <f aca="false">H1100-F1100</f>
        <v>0</v>
      </c>
    </row>
    <row r="1101" customFormat="false" ht="15" hidden="false" customHeight="false" outlineLevel="0" collapsed="false">
      <c r="A1101" s="13" t="s">
        <v>145</v>
      </c>
      <c r="B1101" s="13" t="s">
        <v>146</v>
      </c>
      <c r="C1101" s="13" t="n">
        <v>2</v>
      </c>
      <c r="D1101" s="13" t="s">
        <v>155</v>
      </c>
      <c r="E1101" s="13" t="s">
        <v>42</v>
      </c>
      <c r="F1101" s="13" t="n">
        <v>1</v>
      </c>
      <c r="G1101" s="13" t="n">
        <v>1</v>
      </c>
      <c r="H1101" s="13" t="n">
        <v>1</v>
      </c>
      <c r="I1101" s="13" t="n">
        <f aca="false">H1101-G1101</f>
        <v>0</v>
      </c>
      <c r="J1101" s="13" t="n">
        <f aca="false">H1101-F1101</f>
        <v>0</v>
      </c>
    </row>
    <row r="1102" customFormat="false" ht="15" hidden="false" customHeight="false" outlineLevel="0" collapsed="false">
      <c r="A1102" s="13" t="s">
        <v>145</v>
      </c>
      <c r="B1102" s="13" t="s">
        <v>146</v>
      </c>
      <c r="C1102" s="13" t="n">
        <v>2</v>
      </c>
      <c r="D1102" s="13" t="s">
        <v>155</v>
      </c>
      <c r="E1102" s="13" t="s">
        <v>43</v>
      </c>
      <c r="F1102" s="13" t="n">
        <v>1</v>
      </c>
      <c r="G1102" s="13" t="n">
        <v>1</v>
      </c>
      <c r="H1102" s="13" t="n">
        <v>1</v>
      </c>
      <c r="I1102" s="13" t="n">
        <f aca="false">H1102-G1102</f>
        <v>0</v>
      </c>
      <c r="J1102" s="13" t="n">
        <f aca="false">H1102-F1102</f>
        <v>0</v>
      </c>
    </row>
    <row r="1103" customFormat="false" ht="15" hidden="false" customHeight="false" outlineLevel="0" collapsed="false">
      <c r="A1103" s="13" t="s">
        <v>145</v>
      </c>
      <c r="B1103" s="13" t="s">
        <v>146</v>
      </c>
      <c r="C1103" s="13" t="n">
        <v>2</v>
      </c>
      <c r="D1103" s="13" t="s">
        <v>155</v>
      </c>
      <c r="E1103" s="13" t="s">
        <v>44</v>
      </c>
      <c r="F1103" s="13" t="n">
        <v>1</v>
      </c>
      <c r="G1103" s="13" t="n">
        <v>1</v>
      </c>
      <c r="H1103" s="13" t="n">
        <v>1</v>
      </c>
      <c r="I1103" s="13" t="n">
        <f aca="false">H1103-G1103</f>
        <v>0</v>
      </c>
      <c r="J1103" s="13" t="n">
        <f aca="false">H1103-F1103</f>
        <v>0</v>
      </c>
    </row>
    <row r="1104" customFormat="false" ht="15" hidden="false" customHeight="false" outlineLevel="0" collapsed="false">
      <c r="A1104" s="13" t="s">
        <v>145</v>
      </c>
      <c r="B1104" s="13" t="s">
        <v>146</v>
      </c>
      <c r="C1104" s="13" t="n">
        <v>2</v>
      </c>
      <c r="D1104" s="13" t="s">
        <v>155</v>
      </c>
      <c r="E1104" s="13" t="s">
        <v>45</v>
      </c>
      <c r="F1104" s="13" t="n">
        <v>0</v>
      </c>
      <c r="G1104" s="13" t="n">
        <v>0</v>
      </c>
      <c r="H1104" s="13" t="n">
        <v>0</v>
      </c>
      <c r="I1104" s="13" t="n">
        <f aca="false">H1104-G1104</f>
        <v>0</v>
      </c>
      <c r="J1104" s="13" t="n">
        <f aca="false">H1104-F1104</f>
        <v>0</v>
      </c>
    </row>
    <row r="1105" customFormat="false" ht="15" hidden="false" customHeight="false" outlineLevel="0" collapsed="false">
      <c r="A1105" s="13" t="s">
        <v>145</v>
      </c>
      <c r="B1105" s="13" t="s">
        <v>146</v>
      </c>
      <c r="C1105" s="13" t="n">
        <v>2</v>
      </c>
      <c r="D1105" s="13" t="s">
        <v>155</v>
      </c>
      <c r="E1105" s="13" t="s">
        <v>46</v>
      </c>
      <c r="F1105" s="13" t="n">
        <v>0</v>
      </c>
      <c r="G1105" s="13" t="n">
        <v>0</v>
      </c>
      <c r="H1105" s="13" t="n">
        <v>0</v>
      </c>
      <c r="I1105" s="13" t="n">
        <f aca="false">H1105-G1105</f>
        <v>0</v>
      </c>
      <c r="J1105" s="13" t="n">
        <f aca="false">H1105-F1105</f>
        <v>0</v>
      </c>
    </row>
    <row r="1106" customFormat="false" ht="15" hidden="false" customHeight="false" outlineLevel="0" collapsed="false">
      <c r="A1106" s="13" t="s">
        <v>147</v>
      </c>
      <c r="B1106" s="13" t="s">
        <v>148</v>
      </c>
      <c r="C1106" s="13" t="n">
        <v>2</v>
      </c>
      <c r="D1106" s="13" t="s">
        <v>23</v>
      </c>
      <c r="E1106" s="13" t="s">
        <v>22</v>
      </c>
      <c r="F1106" s="13" t="n">
        <v>52</v>
      </c>
      <c r="G1106" s="13" t="n">
        <v>2</v>
      </c>
      <c r="H1106" s="13" t="n">
        <v>2</v>
      </c>
      <c r="I1106" s="13" t="n">
        <f aca="false">H1106-G1106</f>
        <v>0</v>
      </c>
      <c r="J1106" s="13" t="n">
        <f aca="false">H1106-F1106</f>
        <v>-50</v>
      </c>
    </row>
    <row r="1107" customFormat="false" ht="15" hidden="false" customHeight="false" outlineLevel="0" collapsed="false">
      <c r="A1107" s="13" t="s">
        <v>147</v>
      </c>
      <c r="B1107" s="13" t="s">
        <v>148</v>
      </c>
      <c r="C1107" s="13" t="n">
        <v>2</v>
      </c>
      <c r="D1107" s="13" t="s">
        <v>23</v>
      </c>
      <c r="E1107" s="13" t="s">
        <v>24</v>
      </c>
      <c r="F1107" s="13" t="n">
        <v>2</v>
      </c>
      <c r="G1107" s="13" t="n">
        <v>2</v>
      </c>
      <c r="H1107" s="13" t="n">
        <v>2</v>
      </c>
      <c r="I1107" s="13" t="n">
        <f aca="false">H1107-G1107</f>
        <v>0</v>
      </c>
      <c r="J1107" s="13" t="n">
        <f aca="false">H1107-F1107</f>
        <v>0</v>
      </c>
    </row>
    <row r="1108" customFormat="false" ht="15" hidden="false" customHeight="false" outlineLevel="0" collapsed="false">
      <c r="A1108" s="13" t="s">
        <v>147</v>
      </c>
      <c r="B1108" s="13" t="s">
        <v>148</v>
      </c>
      <c r="C1108" s="13" t="n">
        <v>2</v>
      </c>
      <c r="D1108" s="13" t="s">
        <v>23</v>
      </c>
      <c r="E1108" s="13" t="s">
        <v>25</v>
      </c>
      <c r="F1108" s="13" t="n">
        <v>47</v>
      </c>
      <c r="G1108" s="13" t="n">
        <v>2</v>
      </c>
      <c r="H1108" s="13" t="n">
        <v>2</v>
      </c>
      <c r="I1108" s="13" t="n">
        <f aca="false">H1108-G1108</f>
        <v>0</v>
      </c>
      <c r="J1108" s="13" t="n">
        <f aca="false">H1108-F1108</f>
        <v>-45</v>
      </c>
    </row>
    <row r="1109" customFormat="false" ht="15" hidden="false" customHeight="false" outlineLevel="0" collapsed="false">
      <c r="A1109" s="13" t="s">
        <v>147</v>
      </c>
      <c r="B1109" s="13" t="s">
        <v>148</v>
      </c>
      <c r="C1109" s="13" t="n">
        <v>2</v>
      </c>
      <c r="D1109" s="13" t="s">
        <v>23</v>
      </c>
      <c r="E1109" s="13" t="s">
        <v>26</v>
      </c>
      <c r="F1109" s="13" t="n">
        <v>2</v>
      </c>
      <c r="G1109" s="13" t="n">
        <v>0</v>
      </c>
      <c r="H1109" s="13" t="n">
        <v>0</v>
      </c>
      <c r="I1109" s="13" t="n">
        <f aca="false">H1109-G1109</f>
        <v>0</v>
      </c>
      <c r="J1109" s="13" t="n">
        <f aca="false">H1109-F1109</f>
        <v>-2</v>
      </c>
    </row>
    <row r="1110" customFormat="false" ht="15" hidden="false" customHeight="false" outlineLevel="0" collapsed="false">
      <c r="A1110" s="13" t="s">
        <v>147</v>
      </c>
      <c r="B1110" s="13" t="s">
        <v>148</v>
      </c>
      <c r="C1110" s="13" t="n">
        <v>2</v>
      </c>
      <c r="D1110" s="13" t="s">
        <v>23</v>
      </c>
      <c r="E1110" s="13" t="s">
        <v>27</v>
      </c>
      <c r="F1110" s="13" t="n">
        <v>35</v>
      </c>
      <c r="G1110" s="13" t="n">
        <v>2</v>
      </c>
      <c r="H1110" s="13" t="n">
        <v>2</v>
      </c>
      <c r="I1110" s="13" t="n">
        <f aca="false">H1110-G1110</f>
        <v>0</v>
      </c>
      <c r="J1110" s="13" t="n">
        <f aca="false">H1110-F1110</f>
        <v>-33</v>
      </c>
    </row>
    <row r="1111" customFormat="false" ht="15" hidden="false" customHeight="false" outlineLevel="0" collapsed="false">
      <c r="A1111" s="13" t="s">
        <v>147</v>
      </c>
      <c r="B1111" s="13" t="s">
        <v>148</v>
      </c>
      <c r="C1111" s="13" t="n">
        <v>2</v>
      </c>
      <c r="D1111" s="13" t="s">
        <v>23</v>
      </c>
      <c r="E1111" s="13" t="s">
        <v>28</v>
      </c>
      <c r="F1111" s="13" t="n">
        <v>16</v>
      </c>
      <c r="G1111" s="13" t="n">
        <v>2</v>
      </c>
      <c r="H1111" s="13" t="n">
        <v>2</v>
      </c>
      <c r="I1111" s="13" t="n">
        <f aca="false">H1111-G1111</f>
        <v>0</v>
      </c>
      <c r="J1111" s="13" t="n">
        <f aca="false">H1111-F1111</f>
        <v>-14</v>
      </c>
    </row>
    <row r="1112" customFormat="false" ht="15" hidden="false" customHeight="false" outlineLevel="0" collapsed="false">
      <c r="A1112" s="13" t="s">
        <v>147</v>
      </c>
      <c r="B1112" s="13" t="s">
        <v>148</v>
      </c>
      <c r="C1112" s="13" t="n">
        <v>2</v>
      </c>
      <c r="D1112" s="13" t="s">
        <v>23</v>
      </c>
      <c r="E1112" s="13" t="s">
        <v>29</v>
      </c>
      <c r="F1112" s="13" t="n">
        <v>16</v>
      </c>
      <c r="G1112" s="13" t="n">
        <v>2</v>
      </c>
      <c r="H1112" s="13" t="n">
        <v>2</v>
      </c>
      <c r="I1112" s="13" t="n">
        <f aca="false">H1112-G1112</f>
        <v>0</v>
      </c>
      <c r="J1112" s="13" t="n">
        <f aca="false">H1112-F1112</f>
        <v>-14</v>
      </c>
    </row>
    <row r="1113" customFormat="false" ht="15" hidden="false" customHeight="false" outlineLevel="0" collapsed="false">
      <c r="A1113" s="13" t="s">
        <v>147</v>
      </c>
      <c r="B1113" s="13" t="s">
        <v>148</v>
      </c>
      <c r="C1113" s="13" t="n">
        <v>2</v>
      </c>
      <c r="D1113" s="13" t="s">
        <v>23</v>
      </c>
      <c r="E1113" s="13" t="s">
        <v>30</v>
      </c>
      <c r="F1113" s="13" t="n">
        <v>54</v>
      </c>
      <c r="G1113" s="13" t="n">
        <v>2</v>
      </c>
      <c r="H1113" s="13" t="n">
        <v>2</v>
      </c>
      <c r="I1113" s="13" t="n">
        <f aca="false">H1113-G1113</f>
        <v>0</v>
      </c>
      <c r="J1113" s="13" t="n">
        <f aca="false">H1113-F1113</f>
        <v>-52</v>
      </c>
    </row>
    <row r="1114" customFormat="false" ht="15" hidden="false" customHeight="false" outlineLevel="0" collapsed="false">
      <c r="A1114" s="13" t="s">
        <v>147</v>
      </c>
      <c r="B1114" s="13" t="s">
        <v>148</v>
      </c>
      <c r="C1114" s="13" t="n">
        <v>2</v>
      </c>
      <c r="D1114" s="13" t="s">
        <v>23</v>
      </c>
      <c r="E1114" s="13" t="s">
        <v>31</v>
      </c>
      <c r="F1114" s="13" t="n">
        <v>0</v>
      </c>
      <c r="G1114" s="13" t="n">
        <v>0</v>
      </c>
      <c r="H1114" s="13" t="n">
        <v>0</v>
      </c>
      <c r="I1114" s="13" t="n">
        <f aca="false">H1114-G1114</f>
        <v>0</v>
      </c>
      <c r="J1114" s="13" t="n">
        <f aca="false">H1114-F1114</f>
        <v>0</v>
      </c>
    </row>
    <row r="1115" customFormat="false" ht="15" hidden="false" customHeight="false" outlineLevel="0" collapsed="false">
      <c r="A1115" s="13" t="s">
        <v>147</v>
      </c>
      <c r="B1115" s="13" t="s">
        <v>148</v>
      </c>
      <c r="C1115" s="13" t="n">
        <v>2</v>
      </c>
      <c r="D1115" s="13" t="s">
        <v>23</v>
      </c>
      <c r="E1115" s="13" t="s">
        <v>32</v>
      </c>
      <c r="F1115" s="13" t="n">
        <v>6</v>
      </c>
      <c r="G1115" s="13" t="n">
        <v>0</v>
      </c>
      <c r="H1115" s="13" t="n">
        <v>0</v>
      </c>
      <c r="I1115" s="13" t="n">
        <f aca="false">H1115-G1115</f>
        <v>0</v>
      </c>
      <c r="J1115" s="13" t="n">
        <f aca="false">H1115-F1115</f>
        <v>-6</v>
      </c>
    </row>
    <row r="1116" customFormat="false" ht="15" hidden="false" customHeight="false" outlineLevel="0" collapsed="false">
      <c r="A1116" s="13" t="s">
        <v>147</v>
      </c>
      <c r="B1116" s="13" t="s">
        <v>148</v>
      </c>
      <c r="C1116" s="13" t="n">
        <v>2</v>
      </c>
      <c r="D1116" s="13" t="s">
        <v>23</v>
      </c>
      <c r="E1116" s="13" t="s">
        <v>33</v>
      </c>
      <c r="F1116" s="13" t="n">
        <v>0</v>
      </c>
      <c r="G1116" s="13" t="n">
        <v>0</v>
      </c>
      <c r="H1116" s="13" t="n">
        <v>0</v>
      </c>
      <c r="I1116" s="13" t="n">
        <f aca="false">H1116-G1116</f>
        <v>0</v>
      </c>
      <c r="J1116" s="13" t="n">
        <f aca="false">H1116-F1116</f>
        <v>0</v>
      </c>
    </row>
    <row r="1117" customFormat="false" ht="15" hidden="false" customHeight="false" outlineLevel="0" collapsed="false">
      <c r="A1117" s="13" t="s">
        <v>147</v>
      </c>
      <c r="B1117" s="13" t="s">
        <v>148</v>
      </c>
      <c r="C1117" s="13" t="n">
        <v>2</v>
      </c>
      <c r="D1117" s="13" t="s">
        <v>23</v>
      </c>
      <c r="E1117" s="13" t="s">
        <v>34</v>
      </c>
      <c r="F1117" s="13" t="n">
        <v>0</v>
      </c>
      <c r="G1117" s="13" t="n">
        <v>0</v>
      </c>
      <c r="H1117" s="13" t="n">
        <v>0</v>
      </c>
      <c r="I1117" s="13" t="n">
        <f aca="false">H1117-G1117</f>
        <v>0</v>
      </c>
      <c r="J1117" s="13" t="n">
        <f aca="false">H1117-F1117</f>
        <v>0</v>
      </c>
    </row>
    <row r="1118" customFormat="false" ht="15" hidden="false" customHeight="false" outlineLevel="0" collapsed="false">
      <c r="A1118" s="13" t="s">
        <v>147</v>
      </c>
      <c r="B1118" s="13" t="s">
        <v>148</v>
      </c>
      <c r="C1118" s="13" t="n">
        <v>2</v>
      </c>
      <c r="D1118" s="13" t="s">
        <v>23</v>
      </c>
      <c r="E1118" s="13" t="s">
        <v>35</v>
      </c>
      <c r="F1118" s="13" t="n">
        <v>0</v>
      </c>
      <c r="G1118" s="13" t="n">
        <v>0</v>
      </c>
      <c r="H1118" s="13" t="n">
        <v>0</v>
      </c>
      <c r="I1118" s="13" t="n">
        <f aca="false">H1118-G1118</f>
        <v>0</v>
      </c>
      <c r="J1118" s="13" t="n">
        <f aca="false">H1118-F1118</f>
        <v>0</v>
      </c>
    </row>
    <row r="1119" customFormat="false" ht="15" hidden="false" customHeight="false" outlineLevel="0" collapsed="false">
      <c r="A1119" s="13" t="s">
        <v>147</v>
      </c>
      <c r="B1119" s="13" t="s">
        <v>148</v>
      </c>
      <c r="C1119" s="13" t="n">
        <v>2</v>
      </c>
      <c r="D1119" s="13" t="s">
        <v>23</v>
      </c>
      <c r="E1119" s="13" t="s">
        <v>36</v>
      </c>
      <c r="F1119" s="13" t="n">
        <v>0</v>
      </c>
      <c r="G1119" s="13" t="n">
        <v>0</v>
      </c>
      <c r="H1119" s="13" t="n">
        <v>0</v>
      </c>
      <c r="I1119" s="13" t="n">
        <f aca="false">H1119-G1119</f>
        <v>0</v>
      </c>
      <c r="J1119" s="13" t="n">
        <f aca="false">H1119-F1119</f>
        <v>0</v>
      </c>
    </row>
    <row r="1120" customFormat="false" ht="15" hidden="false" customHeight="false" outlineLevel="0" collapsed="false">
      <c r="A1120" s="13" t="s">
        <v>147</v>
      </c>
      <c r="B1120" s="13" t="s">
        <v>148</v>
      </c>
      <c r="C1120" s="13" t="n">
        <v>2</v>
      </c>
      <c r="D1120" s="13" t="s">
        <v>155</v>
      </c>
      <c r="E1120" s="13" t="s">
        <v>37</v>
      </c>
      <c r="F1120" s="13" t="n">
        <v>1</v>
      </c>
      <c r="G1120" s="13" t="n">
        <v>1</v>
      </c>
      <c r="H1120" s="13" t="n">
        <v>1</v>
      </c>
      <c r="I1120" s="13" t="n">
        <f aca="false">H1120-G1120</f>
        <v>0</v>
      </c>
      <c r="J1120" s="13" t="n">
        <f aca="false">H1120-F1120</f>
        <v>0</v>
      </c>
    </row>
    <row r="1121" customFormat="false" ht="15" hidden="false" customHeight="false" outlineLevel="0" collapsed="false">
      <c r="A1121" s="13" t="s">
        <v>147</v>
      </c>
      <c r="B1121" s="13" t="s">
        <v>148</v>
      </c>
      <c r="C1121" s="13" t="n">
        <v>2</v>
      </c>
      <c r="D1121" s="13" t="s">
        <v>155</v>
      </c>
      <c r="E1121" s="13" t="s">
        <v>39</v>
      </c>
      <c r="F1121" s="13" t="n">
        <v>1</v>
      </c>
      <c r="G1121" s="13" t="n">
        <v>1</v>
      </c>
      <c r="H1121" s="13" t="n">
        <v>1</v>
      </c>
      <c r="I1121" s="13" t="n">
        <f aca="false">H1121-G1121</f>
        <v>0</v>
      </c>
      <c r="J1121" s="13" t="n">
        <f aca="false">H1121-F1121</f>
        <v>0</v>
      </c>
    </row>
    <row r="1122" customFormat="false" ht="15" hidden="false" customHeight="false" outlineLevel="0" collapsed="false">
      <c r="A1122" s="13" t="s">
        <v>147</v>
      </c>
      <c r="B1122" s="13" t="s">
        <v>148</v>
      </c>
      <c r="C1122" s="13" t="n">
        <v>2</v>
      </c>
      <c r="D1122" s="13" t="s">
        <v>155</v>
      </c>
      <c r="E1122" s="13" t="s">
        <v>40</v>
      </c>
      <c r="F1122" s="13" t="n">
        <v>1</v>
      </c>
      <c r="G1122" s="13" t="n">
        <v>1</v>
      </c>
      <c r="H1122" s="13" t="n">
        <v>1</v>
      </c>
      <c r="I1122" s="13" t="n">
        <f aca="false">H1122-G1122</f>
        <v>0</v>
      </c>
      <c r="J1122" s="13" t="n">
        <f aca="false">H1122-F1122</f>
        <v>0</v>
      </c>
    </row>
    <row r="1123" customFormat="false" ht="15" hidden="false" customHeight="false" outlineLevel="0" collapsed="false">
      <c r="A1123" s="13" t="s">
        <v>147</v>
      </c>
      <c r="B1123" s="13" t="s">
        <v>148</v>
      </c>
      <c r="C1123" s="13" t="n">
        <v>2</v>
      </c>
      <c r="D1123" s="13" t="s">
        <v>155</v>
      </c>
      <c r="E1123" s="13" t="s">
        <v>41</v>
      </c>
      <c r="F1123" s="13" t="n">
        <v>0</v>
      </c>
      <c r="G1123" s="13" t="n">
        <v>0</v>
      </c>
      <c r="H1123" s="13" t="n">
        <v>0</v>
      </c>
      <c r="I1123" s="13" t="n">
        <f aca="false">H1123-G1123</f>
        <v>0</v>
      </c>
      <c r="J1123" s="13" t="n">
        <f aca="false">H1123-F1123</f>
        <v>0</v>
      </c>
    </row>
    <row r="1124" customFormat="false" ht="15" hidden="false" customHeight="false" outlineLevel="0" collapsed="false">
      <c r="A1124" s="13" t="s">
        <v>147</v>
      </c>
      <c r="B1124" s="13" t="s">
        <v>148</v>
      </c>
      <c r="C1124" s="13" t="n">
        <v>2</v>
      </c>
      <c r="D1124" s="13" t="s">
        <v>155</v>
      </c>
      <c r="E1124" s="13" t="s">
        <v>42</v>
      </c>
      <c r="F1124" s="13" t="n">
        <v>1</v>
      </c>
      <c r="G1124" s="13" t="n">
        <v>1</v>
      </c>
      <c r="H1124" s="13" t="n">
        <v>1</v>
      </c>
      <c r="I1124" s="13" t="n">
        <f aca="false">H1124-G1124</f>
        <v>0</v>
      </c>
      <c r="J1124" s="13" t="n">
        <f aca="false">H1124-F1124</f>
        <v>0</v>
      </c>
    </row>
    <row r="1125" customFormat="false" ht="15" hidden="false" customHeight="false" outlineLevel="0" collapsed="false">
      <c r="A1125" s="13" t="s">
        <v>147</v>
      </c>
      <c r="B1125" s="13" t="s">
        <v>148</v>
      </c>
      <c r="C1125" s="13" t="n">
        <v>2</v>
      </c>
      <c r="D1125" s="13" t="s">
        <v>155</v>
      </c>
      <c r="E1125" s="13" t="s">
        <v>43</v>
      </c>
      <c r="F1125" s="13" t="n">
        <v>1</v>
      </c>
      <c r="G1125" s="13" t="n">
        <v>1</v>
      </c>
      <c r="H1125" s="13" t="n">
        <v>1</v>
      </c>
      <c r="I1125" s="13" t="n">
        <f aca="false">H1125-G1125</f>
        <v>0</v>
      </c>
      <c r="J1125" s="13" t="n">
        <f aca="false">H1125-F1125</f>
        <v>0</v>
      </c>
    </row>
    <row r="1126" customFormat="false" ht="15" hidden="false" customHeight="false" outlineLevel="0" collapsed="false">
      <c r="A1126" s="13" t="s">
        <v>147</v>
      </c>
      <c r="B1126" s="13" t="s">
        <v>148</v>
      </c>
      <c r="C1126" s="13" t="n">
        <v>2</v>
      </c>
      <c r="D1126" s="13" t="s">
        <v>155</v>
      </c>
      <c r="E1126" s="13" t="s">
        <v>44</v>
      </c>
      <c r="F1126" s="13" t="n">
        <v>1</v>
      </c>
      <c r="G1126" s="13" t="n">
        <v>1</v>
      </c>
      <c r="H1126" s="13" t="n">
        <v>1</v>
      </c>
      <c r="I1126" s="13" t="n">
        <f aca="false">H1126-G1126</f>
        <v>0</v>
      </c>
      <c r="J1126" s="13" t="n">
        <f aca="false">H1126-F1126</f>
        <v>0</v>
      </c>
    </row>
    <row r="1127" customFormat="false" ht="15" hidden="false" customHeight="false" outlineLevel="0" collapsed="false">
      <c r="A1127" s="13" t="s">
        <v>147</v>
      </c>
      <c r="B1127" s="13" t="s">
        <v>148</v>
      </c>
      <c r="C1127" s="13" t="n">
        <v>2</v>
      </c>
      <c r="D1127" s="13" t="s">
        <v>155</v>
      </c>
      <c r="E1127" s="13" t="s">
        <v>45</v>
      </c>
      <c r="F1127" s="13" t="n">
        <v>1</v>
      </c>
      <c r="G1127" s="13" t="n">
        <v>1</v>
      </c>
      <c r="H1127" s="13" t="n">
        <v>1</v>
      </c>
      <c r="I1127" s="13" t="n">
        <f aca="false">H1127-G1127</f>
        <v>0</v>
      </c>
      <c r="J1127" s="13" t="n">
        <f aca="false">H1127-F1127</f>
        <v>0</v>
      </c>
    </row>
    <row r="1128" customFormat="false" ht="15" hidden="false" customHeight="false" outlineLevel="0" collapsed="false">
      <c r="A1128" s="13" t="s">
        <v>147</v>
      </c>
      <c r="B1128" s="13" t="s">
        <v>148</v>
      </c>
      <c r="C1128" s="13" t="n">
        <v>2</v>
      </c>
      <c r="D1128" s="13" t="s">
        <v>155</v>
      </c>
      <c r="E1128" s="13" t="s">
        <v>46</v>
      </c>
      <c r="F1128" s="13" t="n">
        <v>0</v>
      </c>
      <c r="G1128" s="13" t="n">
        <v>0</v>
      </c>
      <c r="H1128" s="13" t="n">
        <v>0</v>
      </c>
      <c r="I1128" s="13" t="n">
        <f aca="false">H1128-G1128</f>
        <v>0</v>
      </c>
      <c r="J1128" s="13" t="n">
        <f aca="false">H1128-F1128</f>
        <v>0</v>
      </c>
    </row>
    <row r="1129" customFormat="false" ht="15" hidden="false" customHeight="false" outlineLevel="0" collapsed="false">
      <c r="A1129" s="13" t="s">
        <v>149</v>
      </c>
      <c r="B1129" s="13" t="s">
        <v>150</v>
      </c>
      <c r="C1129" s="13" t="n">
        <v>1</v>
      </c>
      <c r="D1129" s="13" t="s">
        <v>23</v>
      </c>
      <c r="E1129" s="13" t="s">
        <v>22</v>
      </c>
      <c r="F1129" s="13" t="n">
        <v>0</v>
      </c>
      <c r="G1129" s="13" t="n">
        <v>0</v>
      </c>
      <c r="H1129" s="13" t="n">
        <v>0</v>
      </c>
      <c r="I1129" s="13" t="n">
        <f aca="false">H1129-G1129</f>
        <v>0</v>
      </c>
      <c r="J1129" s="13" t="n">
        <f aca="false">H1129-F1129</f>
        <v>0</v>
      </c>
    </row>
    <row r="1130" customFormat="false" ht="15" hidden="false" customHeight="false" outlineLevel="0" collapsed="false">
      <c r="A1130" s="13" t="s">
        <v>149</v>
      </c>
      <c r="B1130" s="13" t="s">
        <v>150</v>
      </c>
      <c r="C1130" s="13" t="n">
        <v>1</v>
      </c>
      <c r="D1130" s="13" t="s">
        <v>23</v>
      </c>
      <c r="E1130" s="13" t="s">
        <v>24</v>
      </c>
      <c r="F1130" s="13" t="n">
        <v>1</v>
      </c>
      <c r="G1130" s="13" t="n">
        <v>1</v>
      </c>
      <c r="H1130" s="13" t="n">
        <v>1</v>
      </c>
      <c r="I1130" s="13" t="n">
        <f aca="false">H1130-G1130</f>
        <v>0</v>
      </c>
      <c r="J1130" s="13" t="n">
        <f aca="false">H1130-F1130</f>
        <v>0</v>
      </c>
    </row>
    <row r="1131" customFormat="false" ht="15" hidden="false" customHeight="false" outlineLevel="0" collapsed="false">
      <c r="A1131" s="13" t="s">
        <v>149</v>
      </c>
      <c r="B1131" s="13" t="s">
        <v>150</v>
      </c>
      <c r="C1131" s="13" t="n">
        <v>1</v>
      </c>
      <c r="D1131" s="13" t="s">
        <v>23</v>
      </c>
      <c r="E1131" s="13" t="s">
        <v>25</v>
      </c>
      <c r="F1131" s="13" t="n">
        <v>1</v>
      </c>
      <c r="G1131" s="13" t="n">
        <v>1</v>
      </c>
      <c r="H1131" s="13" t="n">
        <v>1</v>
      </c>
      <c r="I1131" s="13" t="n">
        <f aca="false">H1131-G1131</f>
        <v>0</v>
      </c>
      <c r="J1131" s="13" t="n">
        <f aca="false">H1131-F1131</f>
        <v>0</v>
      </c>
    </row>
    <row r="1132" customFormat="false" ht="15" hidden="false" customHeight="false" outlineLevel="0" collapsed="false">
      <c r="A1132" s="13" t="s">
        <v>149</v>
      </c>
      <c r="B1132" s="13" t="s">
        <v>150</v>
      </c>
      <c r="C1132" s="13" t="n">
        <v>1</v>
      </c>
      <c r="D1132" s="13" t="s">
        <v>23</v>
      </c>
      <c r="E1132" s="13" t="s">
        <v>26</v>
      </c>
      <c r="F1132" s="13" t="n">
        <v>0</v>
      </c>
      <c r="G1132" s="13" t="n">
        <v>0</v>
      </c>
      <c r="H1132" s="13" t="n">
        <v>0</v>
      </c>
      <c r="I1132" s="13" t="n">
        <f aca="false">H1132-G1132</f>
        <v>0</v>
      </c>
      <c r="J1132" s="13" t="n">
        <f aca="false">H1132-F1132</f>
        <v>0</v>
      </c>
    </row>
    <row r="1133" customFormat="false" ht="15" hidden="false" customHeight="false" outlineLevel="0" collapsed="false">
      <c r="A1133" s="13" t="s">
        <v>149</v>
      </c>
      <c r="B1133" s="13" t="s">
        <v>150</v>
      </c>
      <c r="C1133" s="13" t="n">
        <v>1</v>
      </c>
      <c r="D1133" s="13" t="s">
        <v>23</v>
      </c>
      <c r="E1133" s="13" t="s">
        <v>27</v>
      </c>
      <c r="F1133" s="13" t="n">
        <v>0</v>
      </c>
      <c r="G1133" s="13" t="n">
        <v>0</v>
      </c>
      <c r="H1133" s="13" t="n">
        <v>0</v>
      </c>
      <c r="I1133" s="13" t="n">
        <f aca="false">H1133-G1133</f>
        <v>0</v>
      </c>
      <c r="J1133" s="13" t="n">
        <f aca="false">H1133-F1133</f>
        <v>0</v>
      </c>
    </row>
    <row r="1134" customFormat="false" ht="15" hidden="false" customHeight="false" outlineLevel="0" collapsed="false">
      <c r="A1134" s="13" t="s">
        <v>149</v>
      </c>
      <c r="B1134" s="13" t="s">
        <v>150</v>
      </c>
      <c r="C1134" s="13" t="n">
        <v>1</v>
      </c>
      <c r="D1134" s="13" t="s">
        <v>23</v>
      </c>
      <c r="E1134" s="13" t="s">
        <v>28</v>
      </c>
      <c r="F1134" s="13" t="n">
        <v>0</v>
      </c>
      <c r="G1134" s="13" t="n">
        <v>0</v>
      </c>
      <c r="H1134" s="13" t="n">
        <v>1</v>
      </c>
      <c r="I1134" s="13" t="n">
        <f aca="false">H1134-G1134</f>
        <v>1</v>
      </c>
      <c r="J1134" s="13" t="n">
        <f aca="false">H1134-F1134</f>
        <v>1</v>
      </c>
    </row>
    <row r="1135" customFormat="false" ht="15" hidden="false" customHeight="false" outlineLevel="0" collapsed="false">
      <c r="A1135" s="13" t="s">
        <v>149</v>
      </c>
      <c r="B1135" s="13" t="s">
        <v>150</v>
      </c>
      <c r="C1135" s="13" t="n">
        <v>1</v>
      </c>
      <c r="D1135" s="13" t="s">
        <v>23</v>
      </c>
      <c r="E1135" s="13" t="s">
        <v>29</v>
      </c>
      <c r="F1135" s="13" t="n">
        <v>0</v>
      </c>
      <c r="G1135" s="13" t="n">
        <v>0</v>
      </c>
      <c r="H1135" s="13" t="n">
        <v>1</v>
      </c>
      <c r="I1135" s="13" t="n">
        <f aca="false">H1135-G1135</f>
        <v>1</v>
      </c>
      <c r="J1135" s="13" t="n">
        <f aca="false">H1135-F1135</f>
        <v>1</v>
      </c>
    </row>
    <row r="1136" customFormat="false" ht="15" hidden="false" customHeight="false" outlineLevel="0" collapsed="false">
      <c r="A1136" s="13" t="s">
        <v>149</v>
      </c>
      <c r="B1136" s="13" t="s">
        <v>150</v>
      </c>
      <c r="C1136" s="13" t="n">
        <v>1</v>
      </c>
      <c r="D1136" s="13" t="s">
        <v>23</v>
      </c>
      <c r="E1136" s="13" t="s">
        <v>30</v>
      </c>
      <c r="F1136" s="13" t="n">
        <v>1</v>
      </c>
      <c r="G1136" s="13" t="n">
        <v>1</v>
      </c>
      <c r="H1136" s="13" t="n">
        <v>1</v>
      </c>
      <c r="I1136" s="13" t="n">
        <f aca="false">H1136-G1136</f>
        <v>0</v>
      </c>
      <c r="J1136" s="13" t="n">
        <f aca="false">H1136-F1136</f>
        <v>0</v>
      </c>
    </row>
    <row r="1137" customFormat="false" ht="15" hidden="false" customHeight="false" outlineLevel="0" collapsed="false">
      <c r="A1137" s="13" t="s">
        <v>149</v>
      </c>
      <c r="B1137" s="13" t="s">
        <v>150</v>
      </c>
      <c r="C1137" s="13" t="n">
        <v>1</v>
      </c>
      <c r="D1137" s="13" t="s">
        <v>23</v>
      </c>
      <c r="E1137" s="13" t="s">
        <v>31</v>
      </c>
      <c r="F1137" s="13" t="n">
        <v>0</v>
      </c>
      <c r="G1137" s="13" t="n">
        <v>0</v>
      </c>
      <c r="H1137" s="13" t="n">
        <v>0</v>
      </c>
      <c r="I1137" s="13" t="n">
        <f aca="false">H1137-G1137</f>
        <v>0</v>
      </c>
      <c r="J1137" s="13" t="n">
        <f aca="false">H1137-F1137</f>
        <v>0</v>
      </c>
    </row>
    <row r="1138" customFormat="false" ht="15" hidden="false" customHeight="false" outlineLevel="0" collapsed="false">
      <c r="A1138" s="13" t="s">
        <v>149</v>
      </c>
      <c r="B1138" s="13" t="s">
        <v>150</v>
      </c>
      <c r="C1138" s="13" t="n">
        <v>1</v>
      </c>
      <c r="D1138" s="13" t="s">
        <v>23</v>
      </c>
      <c r="E1138" s="13" t="s">
        <v>32</v>
      </c>
      <c r="F1138" s="13" t="n">
        <v>0</v>
      </c>
      <c r="G1138" s="13" t="n">
        <v>0</v>
      </c>
      <c r="H1138" s="13" t="n">
        <v>0</v>
      </c>
      <c r="I1138" s="13" t="n">
        <f aca="false">H1138-G1138</f>
        <v>0</v>
      </c>
      <c r="J1138" s="13" t="n">
        <f aca="false">H1138-F1138</f>
        <v>0</v>
      </c>
    </row>
    <row r="1139" customFormat="false" ht="15" hidden="false" customHeight="false" outlineLevel="0" collapsed="false">
      <c r="A1139" s="13" t="s">
        <v>149</v>
      </c>
      <c r="B1139" s="13" t="s">
        <v>150</v>
      </c>
      <c r="C1139" s="13" t="n">
        <v>1</v>
      </c>
      <c r="D1139" s="13" t="s">
        <v>23</v>
      </c>
      <c r="E1139" s="13" t="s">
        <v>33</v>
      </c>
      <c r="F1139" s="13" t="n">
        <v>0</v>
      </c>
      <c r="G1139" s="13" t="n">
        <v>0</v>
      </c>
      <c r="H1139" s="13" t="n">
        <v>0</v>
      </c>
      <c r="I1139" s="13" t="n">
        <f aca="false">H1139-G1139</f>
        <v>0</v>
      </c>
      <c r="J1139" s="13" t="n">
        <f aca="false">H1139-F1139</f>
        <v>0</v>
      </c>
    </row>
    <row r="1140" customFormat="false" ht="15" hidden="false" customHeight="false" outlineLevel="0" collapsed="false">
      <c r="A1140" s="13" t="s">
        <v>149</v>
      </c>
      <c r="B1140" s="13" t="s">
        <v>150</v>
      </c>
      <c r="C1140" s="13" t="n">
        <v>1</v>
      </c>
      <c r="D1140" s="13" t="s">
        <v>23</v>
      </c>
      <c r="E1140" s="13" t="s">
        <v>34</v>
      </c>
      <c r="F1140" s="13" t="n">
        <v>0</v>
      </c>
      <c r="G1140" s="13" t="n">
        <v>0</v>
      </c>
      <c r="H1140" s="13" t="n">
        <v>0</v>
      </c>
      <c r="I1140" s="13" t="n">
        <f aca="false">H1140-G1140</f>
        <v>0</v>
      </c>
      <c r="J1140" s="13" t="n">
        <f aca="false">H1140-F1140</f>
        <v>0</v>
      </c>
    </row>
    <row r="1141" customFormat="false" ht="15" hidden="false" customHeight="false" outlineLevel="0" collapsed="false">
      <c r="A1141" s="13" t="s">
        <v>149</v>
      </c>
      <c r="B1141" s="13" t="s">
        <v>150</v>
      </c>
      <c r="C1141" s="13" t="n">
        <v>1</v>
      </c>
      <c r="D1141" s="13" t="s">
        <v>23</v>
      </c>
      <c r="E1141" s="13" t="s">
        <v>35</v>
      </c>
      <c r="F1141" s="13" t="n">
        <v>0</v>
      </c>
      <c r="G1141" s="13" t="n">
        <v>0</v>
      </c>
      <c r="H1141" s="13" t="n">
        <v>0</v>
      </c>
      <c r="I1141" s="13" t="n">
        <f aca="false">H1141-G1141</f>
        <v>0</v>
      </c>
      <c r="J1141" s="13" t="n">
        <f aca="false">H1141-F1141</f>
        <v>0</v>
      </c>
    </row>
    <row r="1142" customFormat="false" ht="15" hidden="false" customHeight="false" outlineLevel="0" collapsed="false">
      <c r="A1142" s="13" t="s">
        <v>149</v>
      </c>
      <c r="B1142" s="13" t="s">
        <v>150</v>
      </c>
      <c r="C1142" s="13" t="n">
        <v>1</v>
      </c>
      <c r="D1142" s="13" t="s">
        <v>23</v>
      </c>
      <c r="E1142" s="13" t="s">
        <v>36</v>
      </c>
      <c r="F1142" s="13" t="n">
        <v>0</v>
      </c>
      <c r="G1142" s="13" t="n">
        <v>0</v>
      </c>
      <c r="H1142" s="13" t="n">
        <v>0</v>
      </c>
      <c r="I1142" s="13" t="n">
        <f aca="false">H1142-G1142</f>
        <v>0</v>
      </c>
      <c r="J1142" s="13" t="n">
        <f aca="false">H1142-F1142</f>
        <v>0</v>
      </c>
    </row>
    <row r="1143" customFormat="false" ht="15" hidden="false" customHeight="false" outlineLevel="0" collapsed="false">
      <c r="A1143" s="13" t="s">
        <v>149</v>
      </c>
      <c r="B1143" s="13" t="s">
        <v>150</v>
      </c>
      <c r="C1143" s="13" t="n">
        <v>1</v>
      </c>
      <c r="D1143" s="13" t="s">
        <v>155</v>
      </c>
      <c r="E1143" s="13" t="s">
        <v>37</v>
      </c>
      <c r="F1143" s="13" t="n">
        <v>1</v>
      </c>
      <c r="G1143" s="13" t="n">
        <v>1</v>
      </c>
      <c r="H1143" s="13" t="n">
        <v>1</v>
      </c>
      <c r="I1143" s="13" t="n">
        <f aca="false">H1143-G1143</f>
        <v>0</v>
      </c>
      <c r="J1143" s="13" t="n">
        <f aca="false">H1143-F1143</f>
        <v>0</v>
      </c>
    </row>
    <row r="1144" customFormat="false" ht="15" hidden="false" customHeight="false" outlineLevel="0" collapsed="false">
      <c r="A1144" s="13" t="s">
        <v>149</v>
      </c>
      <c r="B1144" s="13" t="s">
        <v>150</v>
      </c>
      <c r="C1144" s="13" t="n">
        <v>1</v>
      </c>
      <c r="D1144" s="13" t="s">
        <v>155</v>
      </c>
      <c r="E1144" s="13" t="s">
        <v>39</v>
      </c>
      <c r="F1144" s="13" t="n">
        <v>0</v>
      </c>
      <c r="G1144" s="13" t="n">
        <v>0</v>
      </c>
      <c r="H1144" s="13" t="n">
        <v>0</v>
      </c>
      <c r="I1144" s="13" t="n">
        <f aca="false">H1144-G1144</f>
        <v>0</v>
      </c>
      <c r="J1144" s="13" t="n">
        <f aca="false">H1144-F1144</f>
        <v>0</v>
      </c>
    </row>
    <row r="1145" customFormat="false" ht="15" hidden="false" customHeight="false" outlineLevel="0" collapsed="false">
      <c r="A1145" s="13" t="s">
        <v>149</v>
      </c>
      <c r="B1145" s="13" t="s">
        <v>150</v>
      </c>
      <c r="C1145" s="13" t="n">
        <v>1</v>
      </c>
      <c r="D1145" s="13" t="s">
        <v>155</v>
      </c>
      <c r="E1145" s="13" t="s">
        <v>40</v>
      </c>
      <c r="F1145" s="13" t="n">
        <v>0</v>
      </c>
      <c r="G1145" s="13" t="n">
        <v>1</v>
      </c>
      <c r="H1145" s="13" t="n">
        <v>1</v>
      </c>
      <c r="I1145" s="13" t="n">
        <f aca="false">H1145-G1145</f>
        <v>0</v>
      </c>
      <c r="J1145" s="13" t="n">
        <f aca="false">H1145-F1145</f>
        <v>1</v>
      </c>
    </row>
    <row r="1146" customFormat="false" ht="15" hidden="false" customHeight="false" outlineLevel="0" collapsed="false">
      <c r="A1146" s="13" t="s">
        <v>149</v>
      </c>
      <c r="B1146" s="13" t="s">
        <v>150</v>
      </c>
      <c r="C1146" s="13" t="n">
        <v>1</v>
      </c>
      <c r="D1146" s="13" t="s">
        <v>155</v>
      </c>
      <c r="E1146" s="13" t="s">
        <v>41</v>
      </c>
      <c r="F1146" s="13" t="n">
        <v>0</v>
      </c>
      <c r="G1146" s="13" t="n">
        <v>0</v>
      </c>
      <c r="H1146" s="13" t="n">
        <v>0</v>
      </c>
      <c r="I1146" s="13" t="n">
        <f aca="false">H1146-G1146</f>
        <v>0</v>
      </c>
      <c r="J1146" s="13" t="n">
        <f aca="false">H1146-F1146</f>
        <v>0</v>
      </c>
    </row>
    <row r="1147" customFormat="false" ht="15" hidden="false" customHeight="false" outlineLevel="0" collapsed="false">
      <c r="A1147" s="13" t="s">
        <v>149</v>
      </c>
      <c r="B1147" s="13" t="s">
        <v>150</v>
      </c>
      <c r="C1147" s="13" t="n">
        <v>1</v>
      </c>
      <c r="D1147" s="13" t="s">
        <v>155</v>
      </c>
      <c r="E1147" s="13" t="s">
        <v>42</v>
      </c>
      <c r="F1147" s="13" t="n">
        <v>1</v>
      </c>
      <c r="G1147" s="13" t="n">
        <v>1</v>
      </c>
      <c r="H1147" s="13" t="n">
        <v>1</v>
      </c>
      <c r="I1147" s="13" t="n">
        <f aca="false">H1147-G1147</f>
        <v>0</v>
      </c>
      <c r="J1147" s="13" t="n">
        <f aca="false">H1147-F1147</f>
        <v>0</v>
      </c>
    </row>
    <row r="1148" customFormat="false" ht="15" hidden="false" customHeight="false" outlineLevel="0" collapsed="false">
      <c r="A1148" s="13" t="s">
        <v>149</v>
      </c>
      <c r="B1148" s="13" t="s">
        <v>150</v>
      </c>
      <c r="C1148" s="13" t="n">
        <v>1</v>
      </c>
      <c r="D1148" s="13" t="s">
        <v>155</v>
      </c>
      <c r="E1148" s="13" t="s">
        <v>43</v>
      </c>
      <c r="F1148" s="13" t="n">
        <v>1</v>
      </c>
      <c r="G1148" s="13" t="n">
        <v>1</v>
      </c>
      <c r="H1148" s="13" t="n">
        <v>1</v>
      </c>
      <c r="I1148" s="13" t="n">
        <f aca="false">H1148-G1148</f>
        <v>0</v>
      </c>
      <c r="J1148" s="13" t="n">
        <f aca="false">H1148-F1148</f>
        <v>0</v>
      </c>
    </row>
    <row r="1149" customFormat="false" ht="15" hidden="false" customHeight="false" outlineLevel="0" collapsed="false">
      <c r="A1149" s="13" t="s">
        <v>149</v>
      </c>
      <c r="B1149" s="13" t="s">
        <v>150</v>
      </c>
      <c r="C1149" s="13" t="n">
        <v>1</v>
      </c>
      <c r="D1149" s="13" t="s">
        <v>155</v>
      </c>
      <c r="E1149" s="13" t="s">
        <v>44</v>
      </c>
      <c r="F1149" s="13" t="n">
        <v>1</v>
      </c>
      <c r="G1149" s="13" t="n">
        <v>1</v>
      </c>
      <c r="H1149" s="13" t="n">
        <v>1</v>
      </c>
      <c r="I1149" s="13" t="n">
        <f aca="false">H1149-G1149</f>
        <v>0</v>
      </c>
      <c r="J1149" s="13" t="n">
        <f aca="false">H1149-F1149</f>
        <v>0</v>
      </c>
    </row>
    <row r="1150" customFormat="false" ht="15" hidden="false" customHeight="false" outlineLevel="0" collapsed="false">
      <c r="A1150" s="13" t="s">
        <v>149</v>
      </c>
      <c r="B1150" s="13" t="s">
        <v>150</v>
      </c>
      <c r="C1150" s="13" t="n">
        <v>1</v>
      </c>
      <c r="D1150" s="13" t="s">
        <v>155</v>
      </c>
      <c r="E1150" s="13" t="s">
        <v>45</v>
      </c>
      <c r="F1150" s="13" t="n">
        <v>0</v>
      </c>
      <c r="G1150" s="13" t="n">
        <v>0</v>
      </c>
      <c r="H1150" s="13" t="n">
        <v>0</v>
      </c>
      <c r="I1150" s="13" t="n">
        <f aca="false">H1150-G1150</f>
        <v>0</v>
      </c>
      <c r="J1150" s="13" t="n">
        <f aca="false">H1150-F1150</f>
        <v>0</v>
      </c>
    </row>
    <row r="1151" customFormat="false" ht="15" hidden="false" customHeight="false" outlineLevel="0" collapsed="false">
      <c r="A1151" s="13" t="s">
        <v>149</v>
      </c>
      <c r="B1151" s="13" t="s">
        <v>150</v>
      </c>
      <c r="C1151" s="13" t="n">
        <v>1</v>
      </c>
      <c r="D1151" s="13" t="s">
        <v>155</v>
      </c>
      <c r="E1151" s="13" t="s">
        <v>46</v>
      </c>
      <c r="F1151" s="13" t="n">
        <v>0</v>
      </c>
      <c r="G1151" s="13" t="n">
        <v>0</v>
      </c>
      <c r="H1151" s="13" t="n">
        <v>0</v>
      </c>
      <c r="I1151" s="13" t="n">
        <f aca="false">H1151-G1151</f>
        <v>0</v>
      </c>
      <c r="J1151" s="13" t="n">
        <f aca="false">H1151-F1151</f>
        <v>0</v>
      </c>
    </row>
    <row r="1152" customFormat="false" ht="15" hidden="false" customHeight="false" outlineLevel="0" collapsed="false">
      <c r="A1152" s="13" t="s">
        <v>151</v>
      </c>
      <c r="B1152" s="13" t="s">
        <v>152</v>
      </c>
      <c r="C1152" s="13" t="n">
        <v>1</v>
      </c>
      <c r="D1152" s="13" t="s">
        <v>23</v>
      </c>
      <c r="E1152" s="13" t="s">
        <v>22</v>
      </c>
      <c r="F1152" s="13" t="n">
        <v>0</v>
      </c>
      <c r="G1152" s="13" t="n">
        <v>0</v>
      </c>
      <c r="H1152" s="13" t="n">
        <v>0</v>
      </c>
      <c r="I1152" s="13" t="n">
        <f aca="false">H1152-G1152</f>
        <v>0</v>
      </c>
      <c r="J1152" s="13" t="n">
        <f aca="false">H1152-F1152</f>
        <v>0</v>
      </c>
    </row>
    <row r="1153" customFormat="false" ht="15" hidden="false" customHeight="false" outlineLevel="0" collapsed="false">
      <c r="A1153" s="13" t="s">
        <v>151</v>
      </c>
      <c r="B1153" s="13" t="s">
        <v>152</v>
      </c>
      <c r="C1153" s="13" t="n">
        <v>1</v>
      </c>
      <c r="D1153" s="13" t="s">
        <v>23</v>
      </c>
      <c r="E1153" s="13" t="s">
        <v>24</v>
      </c>
      <c r="F1153" s="13" t="n">
        <v>1</v>
      </c>
      <c r="G1153" s="13" t="n">
        <v>1</v>
      </c>
      <c r="H1153" s="13" t="n">
        <v>1</v>
      </c>
      <c r="I1153" s="13" t="n">
        <f aca="false">H1153-G1153</f>
        <v>0</v>
      </c>
      <c r="J1153" s="13" t="n">
        <f aca="false">H1153-F1153</f>
        <v>0</v>
      </c>
    </row>
    <row r="1154" customFormat="false" ht="15" hidden="false" customHeight="false" outlineLevel="0" collapsed="false">
      <c r="A1154" s="13" t="s">
        <v>151</v>
      </c>
      <c r="B1154" s="13" t="s">
        <v>152</v>
      </c>
      <c r="C1154" s="13" t="n">
        <v>1</v>
      </c>
      <c r="D1154" s="13" t="s">
        <v>23</v>
      </c>
      <c r="E1154" s="13" t="s">
        <v>25</v>
      </c>
      <c r="F1154" s="13" t="n">
        <v>1</v>
      </c>
      <c r="G1154" s="13" t="n">
        <v>1</v>
      </c>
      <c r="H1154" s="13" t="n">
        <v>1</v>
      </c>
      <c r="I1154" s="13" t="n">
        <f aca="false">H1154-G1154</f>
        <v>0</v>
      </c>
      <c r="J1154" s="13" t="n">
        <f aca="false">H1154-F1154</f>
        <v>0</v>
      </c>
    </row>
    <row r="1155" customFormat="false" ht="15" hidden="false" customHeight="false" outlineLevel="0" collapsed="false">
      <c r="A1155" s="13" t="s">
        <v>151</v>
      </c>
      <c r="B1155" s="13" t="s">
        <v>152</v>
      </c>
      <c r="C1155" s="13" t="n">
        <v>1</v>
      </c>
      <c r="D1155" s="13" t="s">
        <v>23</v>
      </c>
      <c r="E1155" s="13" t="s">
        <v>26</v>
      </c>
      <c r="F1155" s="13" t="n">
        <v>0</v>
      </c>
      <c r="G1155" s="13" t="n">
        <v>0</v>
      </c>
      <c r="H1155" s="13" t="n">
        <v>0</v>
      </c>
      <c r="I1155" s="13" t="n">
        <f aca="false">H1155-G1155</f>
        <v>0</v>
      </c>
      <c r="J1155" s="13" t="n">
        <f aca="false">H1155-F1155</f>
        <v>0</v>
      </c>
    </row>
    <row r="1156" customFormat="false" ht="15" hidden="false" customHeight="false" outlineLevel="0" collapsed="false">
      <c r="A1156" s="13" t="s">
        <v>151</v>
      </c>
      <c r="B1156" s="13" t="s">
        <v>152</v>
      </c>
      <c r="C1156" s="13" t="n">
        <v>1</v>
      </c>
      <c r="D1156" s="13" t="s">
        <v>23</v>
      </c>
      <c r="E1156" s="13" t="s">
        <v>27</v>
      </c>
      <c r="F1156" s="13" t="n">
        <v>0</v>
      </c>
      <c r="G1156" s="13" t="n">
        <v>0</v>
      </c>
      <c r="H1156" s="13" t="n">
        <v>0</v>
      </c>
      <c r="I1156" s="13" t="n">
        <f aca="false">H1156-G1156</f>
        <v>0</v>
      </c>
      <c r="J1156" s="13" t="n">
        <f aca="false">H1156-F1156</f>
        <v>0</v>
      </c>
    </row>
    <row r="1157" customFormat="false" ht="15" hidden="false" customHeight="false" outlineLevel="0" collapsed="false">
      <c r="A1157" s="13" t="s">
        <v>151</v>
      </c>
      <c r="B1157" s="13" t="s">
        <v>152</v>
      </c>
      <c r="C1157" s="13" t="n">
        <v>1</v>
      </c>
      <c r="D1157" s="13" t="s">
        <v>23</v>
      </c>
      <c r="E1157" s="13" t="s">
        <v>28</v>
      </c>
      <c r="F1157" s="13" t="n">
        <v>0</v>
      </c>
      <c r="G1157" s="13" t="n">
        <v>0</v>
      </c>
      <c r="H1157" s="13" t="n">
        <v>0</v>
      </c>
      <c r="I1157" s="13" t="n">
        <f aca="false">H1157-G1157</f>
        <v>0</v>
      </c>
      <c r="J1157" s="13" t="n">
        <f aca="false">H1157-F1157</f>
        <v>0</v>
      </c>
    </row>
    <row r="1158" customFormat="false" ht="15" hidden="false" customHeight="false" outlineLevel="0" collapsed="false">
      <c r="A1158" s="13" t="s">
        <v>151</v>
      </c>
      <c r="B1158" s="13" t="s">
        <v>152</v>
      </c>
      <c r="C1158" s="13" t="n">
        <v>1</v>
      </c>
      <c r="D1158" s="13" t="s">
        <v>23</v>
      </c>
      <c r="E1158" s="13" t="s">
        <v>29</v>
      </c>
      <c r="F1158" s="13" t="n">
        <v>0</v>
      </c>
      <c r="G1158" s="13" t="n">
        <v>0</v>
      </c>
      <c r="H1158" s="13" t="n">
        <v>0</v>
      </c>
      <c r="I1158" s="13" t="n">
        <f aca="false">H1158-G1158</f>
        <v>0</v>
      </c>
      <c r="J1158" s="13" t="n">
        <f aca="false">H1158-F1158</f>
        <v>0</v>
      </c>
    </row>
    <row r="1159" customFormat="false" ht="15" hidden="false" customHeight="false" outlineLevel="0" collapsed="false">
      <c r="A1159" s="13" t="s">
        <v>151</v>
      </c>
      <c r="B1159" s="13" t="s">
        <v>152</v>
      </c>
      <c r="C1159" s="13" t="n">
        <v>1</v>
      </c>
      <c r="D1159" s="13" t="s">
        <v>23</v>
      </c>
      <c r="E1159" s="13" t="s">
        <v>30</v>
      </c>
      <c r="F1159" s="13" t="n">
        <v>1</v>
      </c>
      <c r="G1159" s="13" t="n">
        <v>1</v>
      </c>
      <c r="H1159" s="13" t="n">
        <v>1</v>
      </c>
      <c r="I1159" s="13" t="n">
        <f aca="false">H1159-G1159</f>
        <v>0</v>
      </c>
      <c r="J1159" s="13" t="n">
        <f aca="false">H1159-F1159</f>
        <v>0</v>
      </c>
    </row>
    <row r="1160" customFormat="false" ht="15" hidden="false" customHeight="false" outlineLevel="0" collapsed="false">
      <c r="A1160" s="13" t="s">
        <v>151</v>
      </c>
      <c r="B1160" s="13" t="s">
        <v>152</v>
      </c>
      <c r="C1160" s="13" t="n">
        <v>1</v>
      </c>
      <c r="D1160" s="13" t="s">
        <v>23</v>
      </c>
      <c r="E1160" s="13" t="s">
        <v>31</v>
      </c>
      <c r="F1160" s="13" t="n">
        <v>0</v>
      </c>
      <c r="G1160" s="13" t="n">
        <v>0</v>
      </c>
      <c r="H1160" s="13" t="n">
        <v>0</v>
      </c>
      <c r="I1160" s="13" t="n">
        <f aca="false">H1160-G1160</f>
        <v>0</v>
      </c>
      <c r="J1160" s="13" t="n">
        <f aca="false">H1160-F1160</f>
        <v>0</v>
      </c>
    </row>
    <row r="1161" customFormat="false" ht="15" hidden="false" customHeight="false" outlineLevel="0" collapsed="false">
      <c r="A1161" s="13" t="s">
        <v>151</v>
      </c>
      <c r="B1161" s="13" t="s">
        <v>152</v>
      </c>
      <c r="C1161" s="13" t="n">
        <v>1</v>
      </c>
      <c r="D1161" s="13" t="s">
        <v>23</v>
      </c>
      <c r="E1161" s="13" t="s">
        <v>32</v>
      </c>
      <c r="F1161" s="13" t="n">
        <v>0</v>
      </c>
      <c r="G1161" s="13" t="n">
        <v>0</v>
      </c>
      <c r="H1161" s="13" t="n">
        <v>0</v>
      </c>
      <c r="I1161" s="13" t="n">
        <f aca="false">H1161-G1161</f>
        <v>0</v>
      </c>
      <c r="J1161" s="13" t="n">
        <f aca="false">H1161-F1161</f>
        <v>0</v>
      </c>
    </row>
    <row r="1162" customFormat="false" ht="15" hidden="false" customHeight="false" outlineLevel="0" collapsed="false">
      <c r="A1162" s="13" t="s">
        <v>151</v>
      </c>
      <c r="B1162" s="13" t="s">
        <v>152</v>
      </c>
      <c r="C1162" s="13" t="n">
        <v>1</v>
      </c>
      <c r="D1162" s="13" t="s">
        <v>23</v>
      </c>
      <c r="E1162" s="13" t="s">
        <v>33</v>
      </c>
      <c r="F1162" s="13" t="n">
        <v>0</v>
      </c>
      <c r="G1162" s="13" t="n">
        <v>0</v>
      </c>
      <c r="H1162" s="13" t="n">
        <v>0</v>
      </c>
      <c r="I1162" s="13" t="n">
        <f aca="false">H1162-G1162</f>
        <v>0</v>
      </c>
      <c r="J1162" s="13" t="n">
        <f aca="false">H1162-F1162</f>
        <v>0</v>
      </c>
    </row>
    <row r="1163" customFormat="false" ht="15" hidden="false" customHeight="false" outlineLevel="0" collapsed="false">
      <c r="A1163" s="13" t="s">
        <v>151</v>
      </c>
      <c r="B1163" s="13" t="s">
        <v>152</v>
      </c>
      <c r="C1163" s="13" t="n">
        <v>1</v>
      </c>
      <c r="D1163" s="13" t="s">
        <v>23</v>
      </c>
      <c r="E1163" s="13" t="s">
        <v>34</v>
      </c>
      <c r="F1163" s="13" t="n">
        <v>0</v>
      </c>
      <c r="G1163" s="13" t="n">
        <v>0</v>
      </c>
      <c r="H1163" s="13" t="n">
        <v>0</v>
      </c>
      <c r="I1163" s="13" t="n">
        <f aca="false">H1163-G1163</f>
        <v>0</v>
      </c>
      <c r="J1163" s="13" t="n">
        <f aca="false">H1163-F1163</f>
        <v>0</v>
      </c>
    </row>
    <row r="1164" customFormat="false" ht="15" hidden="false" customHeight="false" outlineLevel="0" collapsed="false">
      <c r="A1164" s="13" t="s">
        <v>151</v>
      </c>
      <c r="B1164" s="13" t="s">
        <v>152</v>
      </c>
      <c r="C1164" s="13" t="n">
        <v>1</v>
      </c>
      <c r="D1164" s="13" t="s">
        <v>23</v>
      </c>
      <c r="E1164" s="13" t="s">
        <v>35</v>
      </c>
      <c r="F1164" s="13" t="n">
        <v>0</v>
      </c>
      <c r="G1164" s="13" t="n">
        <v>0</v>
      </c>
      <c r="H1164" s="13" t="n">
        <v>0</v>
      </c>
      <c r="I1164" s="13" t="n">
        <f aca="false">H1164-G1164</f>
        <v>0</v>
      </c>
      <c r="J1164" s="13" t="n">
        <f aca="false">H1164-F1164</f>
        <v>0</v>
      </c>
    </row>
    <row r="1165" customFormat="false" ht="15" hidden="false" customHeight="false" outlineLevel="0" collapsed="false">
      <c r="A1165" s="13" t="s">
        <v>151</v>
      </c>
      <c r="B1165" s="13" t="s">
        <v>152</v>
      </c>
      <c r="C1165" s="13" t="n">
        <v>1</v>
      </c>
      <c r="D1165" s="13" t="s">
        <v>23</v>
      </c>
      <c r="E1165" s="13" t="s">
        <v>36</v>
      </c>
      <c r="F1165" s="13" t="n">
        <v>0</v>
      </c>
      <c r="G1165" s="13" t="n">
        <v>0</v>
      </c>
      <c r="H1165" s="13" t="n">
        <v>0</v>
      </c>
      <c r="I1165" s="13" t="n">
        <f aca="false">H1165-G1165</f>
        <v>0</v>
      </c>
      <c r="J1165" s="13" t="n">
        <f aca="false">H1165-F1165</f>
        <v>0</v>
      </c>
    </row>
    <row r="1166" customFormat="false" ht="15" hidden="false" customHeight="false" outlineLevel="0" collapsed="false">
      <c r="A1166" s="13" t="s">
        <v>151</v>
      </c>
      <c r="B1166" s="13" t="s">
        <v>152</v>
      </c>
      <c r="C1166" s="13" t="n">
        <v>1</v>
      </c>
      <c r="D1166" s="13" t="s">
        <v>155</v>
      </c>
      <c r="E1166" s="13" t="s">
        <v>37</v>
      </c>
      <c r="F1166" s="13" t="n">
        <v>1</v>
      </c>
      <c r="G1166" s="13" t="n">
        <v>1</v>
      </c>
      <c r="H1166" s="13" t="n">
        <v>1</v>
      </c>
      <c r="I1166" s="13" t="n">
        <f aca="false">H1166-G1166</f>
        <v>0</v>
      </c>
      <c r="J1166" s="13" t="n">
        <f aca="false">H1166-F1166</f>
        <v>0</v>
      </c>
    </row>
    <row r="1167" customFormat="false" ht="15" hidden="false" customHeight="false" outlineLevel="0" collapsed="false">
      <c r="A1167" s="13" t="s">
        <v>151</v>
      </c>
      <c r="B1167" s="13" t="s">
        <v>152</v>
      </c>
      <c r="C1167" s="13" t="n">
        <v>1</v>
      </c>
      <c r="D1167" s="13" t="s">
        <v>155</v>
      </c>
      <c r="E1167" s="13" t="s">
        <v>39</v>
      </c>
      <c r="F1167" s="13" t="n">
        <v>0</v>
      </c>
      <c r="G1167" s="13" t="n">
        <v>0</v>
      </c>
      <c r="H1167" s="13" t="n">
        <v>0</v>
      </c>
      <c r="I1167" s="13" t="n">
        <f aca="false">H1167-G1167</f>
        <v>0</v>
      </c>
      <c r="J1167" s="13" t="n">
        <f aca="false">H1167-F1167</f>
        <v>0</v>
      </c>
    </row>
    <row r="1168" customFormat="false" ht="15" hidden="false" customHeight="false" outlineLevel="0" collapsed="false">
      <c r="A1168" s="13" t="s">
        <v>151</v>
      </c>
      <c r="B1168" s="13" t="s">
        <v>152</v>
      </c>
      <c r="C1168" s="13" t="n">
        <v>1</v>
      </c>
      <c r="D1168" s="13" t="s">
        <v>155</v>
      </c>
      <c r="E1168" s="13" t="s">
        <v>40</v>
      </c>
      <c r="F1168" s="13" t="n">
        <v>0</v>
      </c>
      <c r="G1168" s="13" t="n">
        <v>0</v>
      </c>
      <c r="H1168" s="13" t="n">
        <v>0</v>
      </c>
      <c r="I1168" s="13" t="n">
        <f aca="false">H1168-G1168</f>
        <v>0</v>
      </c>
      <c r="J1168" s="13" t="n">
        <f aca="false">H1168-F1168</f>
        <v>0</v>
      </c>
    </row>
    <row r="1169" customFormat="false" ht="15" hidden="false" customHeight="false" outlineLevel="0" collapsed="false">
      <c r="A1169" s="13" t="s">
        <v>151</v>
      </c>
      <c r="B1169" s="13" t="s">
        <v>152</v>
      </c>
      <c r="C1169" s="13" t="n">
        <v>1</v>
      </c>
      <c r="D1169" s="13" t="s">
        <v>155</v>
      </c>
      <c r="E1169" s="13" t="s">
        <v>41</v>
      </c>
      <c r="F1169" s="13" t="n">
        <v>0</v>
      </c>
      <c r="G1169" s="13" t="n">
        <v>0</v>
      </c>
      <c r="H1169" s="13" t="n">
        <v>0</v>
      </c>
      <c r="I1169" s="13" t="n">
        <f aca="false">H1169-G1169</f>
        <v>0</v>
      </c>
      <c r="J1169" s="13" t="n">
        <f aca="false">H1169-F1169</f>
        <v>0</v>
      </c>
    </row>
    <row r="1170" customFormat="false" ht="15" hidden="false" customHeight="false" outlineLevel="0" collapsed="false">
      <c r="A1170" s="13" t="s">
        <v>151</v>
      </c>
      <c r="B1170" s="13" t="s">
        <v>152</v>
      </c>
      <c r="C1170" s="13" t="n">
        <v>1</v>
      </c>
      <c r="D1170" s="13" t="s">
        <v>155</v>
      </c>
      <c r="E1170" s="13" t="s">
        <v>42</v>
      </c>
      <c r="F1170" s="13" t="n">
        <v>1</v>
      </c>
      <c r="G1170" s="13" t="n">
        <v>1</v>
      </c>
      <c r="H1170" s="13" t="n">
        <v>1</v>
      </c>
      <c r="I1170" s="13" t="n">
        <f aca="false">H1170-G1170</f>
        <v>0</v>
      </c>
      <c r="J1170" s="13" t="n">
        <f aca="false">H1170-F1170</f>
        <v>0</v>
      </c>
    </row>
    <row r="1171" customFormat="false" ht="15" hidden="false" customHeight="false" outlineLevel="0" collapsed="false">
      <c r="A1171" s="13" t="s">
        <v>151</v>
      </c>
      <c r="B1171" s="13" t="s">
        <v>152</v>
      </c>
      <c r="C1171" s="13" t="n">
        <v>1</v>
      </c>
      <c r="D1171" s="13" t="s">
        <v>155</v>
      </c>
      <c r="E1171" s="13" t="s">
        <v>43</v>
      </c>
      <c r="F1171" s="13" t="n">
        <v>1</v>
      </c>
      <c r="G1171" s="13" t="n">
        <v>1</v>
      </c>
      <c r="H1171" s="13" t="n">
        <v>1</v>
      </c>
      <c r="I1171" s="13" t="n">
        <f aca="false">H1171-G1171</f>
        <v>0</v>
      </c>
      <c r="J1171" s="13" t="n">
        <f aca="false">H1171-F1171</f>
        <v>0</v>
      </c>
    </row>
    <row r="1172" customFormat="false" ht="15" hidden="false" customHeight="false" outlineLevel="0" collapsed="false">
      <c r="A1172" s="13" t="s">
        <v>151</v>
      </c>
      <c r="B1172" s="13" t="s">
        <v>152</v>
      </c>
      <c r="C1172" s="13" t="n">
        <v>1</v>
      </c>
      <c r="D1172" s="13" t="s">
        <v>155</v>
      </c>
      <c r="E1172" s="13" t="s">
        <v>44</v>
      </c>
      <c r="F1172" s="13" t="n">
        <v>1</v>
      </c>
      <c r="G1172" s="13" t="n">
        <v>1</v>
      </c>
      <c r="H1172" s="13" t="n">
        <v>1</v>
      </c>
      <c r="I1172" s="13" t="n">
        <f aca="false">H1172-G1172</f>
        <v>0</v>
      </c>
      <c r="J1172" s="13" t="n">
        <f aca="false">H1172-F1172</f>
        <v>0</v>
      </c>
    </row>
    <row r="1173" customFormat="false" ht="15" hidden="false" customHeight="false" outlineLevel="0" collapsed="false">
      <c r="A1173" s="13" t="s">
        <v>151</v>
      </c>
      <c r="B1173" s="13" t="s">
        <v>152</v>
      </c>
      <c r="C1173" s="13" t="n">
        <v>1</v>
      </c>
      <c r="D1173" s="13" t="s">
        <v>155</v>
      </c>
      <c r="E1173" s="13" t="s">
        <v>45</v>
      </c>
      <c r="F1173" s="13" t="n">
        <v>0</v>
      </c>
      <c r="G1173" s="13" t="n">
        <v>0</v>
      </c>
      <c r="H1173" s="13" t="n">
        <v>0</v>
      </c>
      <c r="I1173" s="13" t="n">
        <f aca="false">H1173-G1173</f>
        <v>0</v>
      </c>
      <c r="J1173" s="13" t="n">
        <f aca="false">H1173-F1173</f>
        <v>0</v>
      </c>
    </row>
    <row r="1174" customFormat="false" ht="15" hidden="false" customHeight="false" outlineLevel="0" collapsed="false">
      <c r="A1174" s="13" t="s">
        <v>151</v>
      </c>
      <c r="B1174" s="13" t="s">
        <v>152</v>
      </c>
      <c r="C1174" s="13" t="n">
        <v>1</v>
      </c>
      <c r="D1174" s="13" t="s">
        <v>155</v>
      </c>
      <c r="E1174" s="13" t="s">
        <v>46</v>
      </c>
      <c r="F1174" s="13" t="n">
        <v>0</v>
      </c>
      <c r="G1174" s="13" t="n">
        <v>0</v>
      </c>
      <c r="H1174" s="13" t="n">
        <v>0</v>
      </c>
      <c r="I1174" s="13" t="n">
        <f aca="false">H1174-G1174</f>
        <v>0</v>
      </c>
      <c r="J1174" s="13" t="n">
        <f aca="false">H1174-F1174</f>
        <v>0</v>
      </c>
    </row>
    <row r="1175" customFormat="false" ht="15" hidden="false" customHeight="false" outlineLevel="0" collapsed="false">
      <c r="A1175" s="13" t="s">
        <v>153</v>
      </c>
      <c r="B1175" s="13" t="s">
        <v>154</v>
      </c>
      <c r="C1175" s="13" t="n">
        <v>1</v>
      </c>
      <c r="D1175" s="13" t="s">
        <v>23</v>
      </c>
      <c r="E1175" s="13" t="s">
        <v>22</v>
      </c>
      <c r="F1175" s="13" t="n">
        <v>0</v>
      </c>
      <c r="G1175" s="13" t="n">
        <v>0</v>
      </c>
      <c r="H1175" s="13" t="n">
        <v>0</v>
      </c>
      <c r="I1175" s="13" t="n">
        <f aca="false">H1175-G1175</f>
        <v>0</v>
      </c>
      <c r="J1175" s="13" t="n">
        <f aca="false">H1175-F1175</f>
        <v>0</v>
      </c>
    </row>
    <row r="1176" customFormat="false" ht="15" hidden="false" customHeight="false" outlineLevel="0" collapsed="false">
      <c r="A1176" s="13" t="s">
        <v>153</v>
      </c>
      <c r="B1176" s="13" t="s">
        <v>154</v>
      </c>
      <c r="C1176" s="13" t="n">
        <v>1</v>
      </c>
      <c r="D1176" s="13" t="s">
        <v>23</v>
      </c>
      <c r="E1176" s="13" t="s">
        <v>24</v>
      </c>
      <c r="F1176" s="13" t="n">
        <v>1</v>
      </c>
      <c r="G1176" s="13" t="n">
        <v>1</v>
      </c>
      <c r="H1176" s="13" t="n">
        <v>1</v>
      </c>
      <c r="I1176" s="13" t="n">
        <f aca="false">H1176-G1176</f>
        <v>0</v>
      </c>
      <c r="J1176" s="13" t="n">
        <f aca="false">H1176-F1176</f>
        <v>0</v>
      </c>
    </row>
    <row r="1177" customFormat="false" ht="15" hidden="false" customHeight="false" outlineLevel="0" collapsed="false">
      <c r="A1177" s="13" t="s">
        <v>153</v>
      </c>
      <c r="B1177" s="13" t="s">
        <v>154</v>
      </c>
      <c r="C1177" s="13" t="n">
        <v>1</v>
      </c>
      <c r="D1177" s="13" t="s">
        <v>23</v>
      </c>
      <c r="E1177" s="13" t="s">
        <v>25</v>
      </c>
      <c r="F1177" s="13" t="n">
        <v>1</v>
      </c>
      <c r="G1177" s="13" t="n">
        <v>1</v>
      </c>
      <c r="H1177" s="13" t="n">
        <v>1</v>
      </c>
      <c r="I1177" s="13" t="n">
        <f aca="false">H1177-G1177</f>
        <v>0</v>
      </c>
      <c r="J1177" s="13" t="n">
        <f aca="false">H1177-F1177</f>
        <v>0</v>
      </c>
    </row>
    <row r="1178" customFormat="false" ht="15" hidden="false" customHeight="false" outlineLevel="0" collapsed="false">
      <c r="A1178" s="13" t="s">
        <v>153</v>
      </c>
      <c r="B1178" s="13" t="s">
        <v>154</v>
      </c>
      <c r="C1178" s="13" t="n">
        <v>1</v>
      </c>
      <c r="D1178" s="13" t="s">
        <v>23</v>
      </c>
      <c r="E1178" s="13" t="s">
        <v>26</v>
      </c>
      <c r="F1178" s="13" t="n">
        <v>0</v>
      </c>
      <c r="G1178" s="13" t="n">
        <v>0</v>
      </c>
      <c r="H1178" s="13" t="n">
        <v>0</v>
      </c>
      <c r="I1178" s="13" t="n">
        <f aca="false">H1178-G1178</f>
        <v>0</v>
      </c>
      <c r="J1178" s="13" t="n">
        <f aca="false">H1178-F1178</f>
        <v>0</v>
      </c>
    </row>
    <row r="1179" customFormat="false" ht="15" hidden="false" customHeight="false" outlineLevel="0" collapsed="false">
      <c r="A1179" s="13" t="s">
        <v>153</v>
      </c>
      <c r="B1179" s="13" t="s">
        <v>154</v>
      </c>
      <c r="C1179" s="13" t="n">
        <v>1</v>
      </c>
      <c r="D1179" s="13" t="s">
        <v>23</v>
      </c>
      <c r="E1179" s="13" t="s">
        <v>27</v>
      </c>
      <c r="F1179" s="13" t="n">
        <v>0</v>
      </c>
      <c r="G1179" s="13" t="n">
        <v>0</v>
      </c>
      <c r="H1179" s="13" t="n">
        <v>0</v>
      </c>
      <c r="I1179" s="13" t="n">
        <f aca="false">H1179-G1179</f>
        <v>0</v>
      </c>
      <c r="J1179" s="13" t="n">
        <f aca="false">H1179-F1179</f>
        <v>0</v>
      </c>
    </row>
    <row r="1180" customFormat="false" ht="15" hidden="false" customHeight="false" outlineLevel="0" collapsed="false">
      <c r="A1180" s="13" t="s">
        <v>153</v>
      </c>
      <c r="B1180" s="13" t="s">
        <v>154</v>
      </c>
      <c r="C1180" s="13" t="n">
        <v>1</v>
      </c>
      <c r="D1180" s="13" t="s">
        <v>23</v>
      </c>
      <c r="E1180" s="13" t="s">
        <v>28</v>
      </c>
      <c r="F1180" s="13" t="n">
        <v>0</v>
      </c>
      <c r="G1180" s="13" t="n">
        <v>0</v>
      </c>
      <c r="H1180" s="13" t="n">
        <v>0</v>
      </c>
      <c r="I1180" s="13" t="n">
        <f aca="false">H1180-G1180</f>
        <v>0</v>
      </c>
      <c r="J1180" s="13" t="n">
        <f aca="false">H1180-F1180</f>
        <v>0</v>
      </c>
    </row>
    <row r="1181" customFormat="false" ht="15" hidden="false" customHeight="false" outlineLevel="0" collapsed="false">
      <c r="A1181" s="13" t="s">
        <v>153</v>
      </c>
      <c r="B1181" s="13" t="s">
        <v>154</v>
      </c>
      <c r="C1181" s="13" t="n">
        <v>1</v>
      </c>
      <c r="D1181" s="13" t="s">
        <v>23</v>
      </c>
      <c r="E1181" s="13" t="s">
        <v>29</v>
      </c>
      <c r="F1181" s="13" t="n">
        <v>0</v>
      </c>
      <c r="G1181" s="13" t="n">
        <v>0</v>
      </c>
      <c r="H1181" s="13" t="n">
        <v>0</v>
      </c>
      <c r="I1181" s="13" t="n">
        <f aca="false">H1181-G1181</f>
        <v>0</v>
      </c>
      <c r="J1181" s="13" t="n">
        <f aca="false">H1181-F1181</f>
        <v>0</v>
      </c>
    </row>
    <row r="1182" customFormat="false" ht="15" hidden="false" customHeight="false" outlineLevel="0" collapsed="false">
      <c r="A1182" s="13" t="s">
        <v>153</v>
      </c>
      <c r="B1182" s="13" t="s">
        <v>154</v>
      </c>
      <c r="C1182" s="13" t="n">
        <v>1</v>
      </c>
      <c r="D1182" s="13" t="s">
        <v>23</v>
      </c>
      <c r="E1182" s="13" t="s">
        <v>30</v>
      </c>
      <c r="F1182" s="13" t="n">
        <v>1</v>
      </c>
      <c r="G1182" s="13" t="n">
        <v>1</v>
      </c>
      <c r="H1182" s="13" t="n">
        <v>1</v>
      </c>
      <c r="I1182" s="13" t="n">
        <f aca="false">H1182-G1182</f>
        <v>0</v>
      </c>
      <c r="J1182" s="13" t="n">
        <f aca="false">H1182-F1182</f>
        <v>0</v>
      </c>
    </row>
    <row r="1183" customFormat="false" ht="15" hidden="false" customHeight="false" outlineLevel="0" collapsed="false">
      <c r="A1183" s="13" t="s">
        <v>153</v>
      </c>
      <c r="B1183" s="13" t="s">
        <v>154</v>
      </c>
      <c r="C1183" s="13" t="n">
        <v>1</v>
      </c>
      <c r="D1183" s="13" t="s">
        <v>23</v>
      </c>
      <c r="E1183" s="13" t="s">
        <v>31</v>
      </c>
      <c r="F1183" s="13" t="n">
        <v>0</v>
      </c>
      <c r="G1183" s="13" t="n">
        <v>1</v>
      </c>
      <c r="H1183" s="13" t="n">
        <v>1</v>
      </c>
      <c r="I1183" s="13" t="n">
        <f aca="false">H1183-G1183</f>
        <v>0</v>
      </c>
      <c r="J1183" s="13" t="n">
        <f aca="false">H1183-F1183</f>
        <v>1</v>
      </c>
    </row>
    <row r="1184" customFormat="false" ht="15" hidden="false" customHeight="false" outlineLevel="0" collapsed="false">
      <c r="A1184" s="13" t="s">
        <v>153</v>
      </c>
      <c r="B1184" s="13" t="s">
        <v>154</v>
      </c>
      <c r="C1184" s="13" t="n">
        <v>1</v>
      </c>
      <c r="D1184" s="13" t="s">
        <v>23</v>
      </c>
      <c r="E1184" s="13" t="s">
        <v>32</v>
      </c>
      <c r="F1184" s="13" t="n">
        <v>0</v>
      </c>
      <c r="G1184" s="13" t="n">
        <v>0</v>
      </c>
      <c r="H1184" s="13" t="n">
        <v>0</v>
      </c>
      <c r="I1184" s="13" t="n">
        <f aca="false">H1184-G1184</f>
        <v>0</v>
      </c>
      <c r="J1184" s="13" t="n">
        <f aca="false">H1184-F1184</f>
        <v>0</v>
      </c>
    </row>
    <row r="1185" customFormat="false" ht="15" hidden="false" customHeight="false" outlineLevel="0" collapsed="false">
      <c r="A1185" s="13" t="s">
        <v>153</v>
      </c>
      <c r="B1185" s="13" t="s">
        <v>154</v>
      </c>
      <c r="C1185" s="13" t="n">
        <v>1</v>
      </c>
      <c r="D1185" s="13" t="s">
        <v>23</v>
      </c>
      <c r="E1185" s="13" t="s">
        <v>33</v>
      </c>
      <c r="F1185" s="13" t="n">
        <v>0</v>
      </c>
      <c r="G1185" s="13" t="n">
        <v>0</v>
      </c>
      <c r="H1185" s="13" t="n">
        <v>0</v>
      </c>
      <c r="I1185" s="13" t="n">
        <f aca="false">H1185-G1185</f>
        <v>0</v>
      </c>
      <c r="J1185" s="13" t="n">
        <f aca="false">H1185-F1185</f>
        <v>0</v>
      </c>
    </row>
    <row r="1186" customFormat="false" ht="15" hidden="false" customHeight="false" outlineLevel="0" collapsed="false">
      <c r="A1186" s="13" t="s">
        <v>153</v>
      </c>
      <c r="B1186" s="13" t="s">
        <v>154</v>
      </c>
      <c r="C1186" s="13" t="n">
        <v>1</v>
      </c>
      <c r="D1186" s="13" t="s">
        <v>23</v>
      </c>
      <c r="E1186" s="13" t="s">
        <v>34</v>
      </c>
      <c r="F1186" s="13" t="n">
        <v>0</v>
      </c>
      <c r="G1186" s="13" t="n">
        <v>0</v>
      </c>
      <c r="H1186" s="13" t="n">
        <v>0</v>
      </c>
      <c r="I1186" s="13" t="n">
        <f aca="false">H1186-G1186</f>
        <v>0</v>
      </c>
      <c r="J1186" s="13" t="n">
        <f aca="false">H1186-F1186</f>
        <v>0</v>
      </c>
    </row>
    <row r="1187" customFormat="false" ht="15" hidden="false" customHeight="false" outlineLevel="0" collapsed="false">
      <c r="A1187" s="13" t="s">
        <v>153</v>
      </c>
      <c r="B1187" s="13" t="s">
        <v>154</v>
      </c>
      <c r="C1187" s="13" t="n">
        <v>1</v>
      </c>
      <c r="D1187" s="13" t="s">
        <v>23</v>
      </c>
      <c r="E1187" s="13" t="s">
        <v>35</v>
      </c>
      <c r="F1187" s="13" t="n">
        <v>0</v>
      </c>
      <c r="G1187" s="13" t="n">
        <v>0</v>
      </c>
      <c r="H1187" s="13" t="n">
        <v>0</v>
      </c>
      <c r="I1187" s="13" t="n">
        <f aca="false">H1187-G1187</f>
        <v>0</v>
      </c>
      <c r="J1187" s="13" t="n">
        <f aca="false">H1187-F1187</f>
        <v>0</v>
      </c>
    </row>
    <row r="1188" customFormat="false" ht="15" hidden="false" customHeight="false" outlineLevel="0" collapsed="false">
      <c r="A1188" s="13" t="s">
        <v>153</v>
      </c>
      <c r="B1188" s="13" t="s">
        <v>154</v>
      </c>
      <c r="C1188" s="13" t="n">
        <v>1</v>
      </c>
      <c r="D1188" s="13" t="s">
        <v>23</v>
      </c>
      <c r="E1188" s="13" t="s">
        <v>36</v>
      </c>
      <c r="F1188" s="13" t="n">
        <v>0</v>
      </c>
      <c r="G1188" s="13" t="n">
        <v>0</v>
      </c>
      <c r="H1188" s="13" t="n">
        <v>0</v>
      </c>
      <c r="I1188" s="13" t="n">
        <f aca="false">H1188-G1188</f>
        <v>0</v>
      </c>
      <c r="J1188" s="13" t="n">
        <f aca="false">H1188-F1188</f>
        <v>0</v>
      </c>
    </row>
    <row r="1189" customFormat="false" ht="15" hidden="false" customHeight="false" outlineLevel="0" collapsed="false">
      <c r="A1189" s="13" t="s">
        <v>153</v>
      </c>
      <c r="B1189" s="13" t="s">
        <v>154</v>
      </c>
      <c r="C1189" s="13" t="n">
        <v>1</v>
      </c>
      <c r="D1189" s="13" t="s">
        <v>155</v>
      </c>
      <c r="E1189" s="13" t="s">
        <v>37</v>
      </c>
      <c r="F1189" s="13" t="n">
        <v>1</v>
      </c>
      <c r="G1189" s="13" t="n">
        <v>1</v>
      </c>
      <c r="H1189" s="13" t="n">
        <v>1</v>
      </c>
      <c r="I1189" s="13" t="n">
        <f aca="false">H1189-G1189</f>
        <v>0</v>
      </c>
      <c r="J1189" s="13" t="n">
        <f aca="false">H1189-F1189</f>
        <v>0</v>
      </c>
    </row>
    <row r="1190" customFormat="false" ht="15" hidden="false" customHeight="false" outlineLevel="0" collapsed="false">
      <c r="A1190" s="13" t="s">
        <v>153</v>
      </c>
      <c r="B1190" s="13" t="s">
        <v>154</v>
      </c>
      <c r="C1190" s="13" t="n">
        <v>1</v>
      </c>
      <c r="D1190" s="13" t="s">
        <v>155</v>
      </c>
      <c r="E1190" s="13" t="s">
        <v>39</v>
      </c>
      <c r="F1190" s="13" t="n">
        <v>0</v>
      </c>
      <c r="G1190" s="13" t="n">
        <v>0</v>
      </c>
      <c r="H1190" s="13" t="n">
        <v>0</v>
      </c>
      <c r="I1190" s="13" t="n">
        <f aca="false">H1190-G1190</f>
        <v>0</v>
      </c>
      <c r="J1190" s="13" t="n">
        <f aca="false">H1190-F1190</f>
        <v>0</v>
      </c>
    </row>
    <row r="1191" customFormat="false" ht="15" hidden="false" customHeight="false" outlineLevel="0" collapsed="false">
      <c r="A1191" s="13" t="s">
        <v>153</v>
      </c>
      <c r="B1191" s="13" t="s">
        <v>154</v>
      </c>
      <c r="C1191" s="13" t="n">
        <v>1</v>
      </c>
      <c r="D1191" s="13" t="s">
        <v>155</v>
      </c>
      <c r="E1191" s="13" t="s">
        <v>40</v>
      </c>
      <c r="F1191" s="13" t="n">
        <v>0</v>
      </c>
      <c r="G1191" s="13" t="n">
        <v>0</v>
      </c>
      <c r="H1191" s="13" t="n">
        <v>0</v>
      </c>
      <c r="I1191" s="13" t="n">
        <f aca="false">H1191-G1191</f>
        <v>0</v>
      </c>
      <c r="J1191" s="13" t="n">
        <f aca="false">H1191-F1191</f>
        <v>0</v>
      </c>
    </row>
    <row r="1192" customFormat="false" ht="15" hidden="false" customHeight="false" outlineLevel="0" collapsed="false">
      <c r="A1192" s="13" t="s">
        <v>153</v>
      </c>
      <c r="B1192" s="13" t="s">
        <v>154</v>
      </c>
      <c r="C1192" s="13" t="n">
        <v>1</v>
      </c>
      <c r="D1192" s="13" t="s">
        <v>155</v>
      </c>
      <c r="E1192" s="13" t="s">
        <v>41</v>
      </c>
      <c r="F1192" s="13" t="n">
        <v>0</v>
      </c>
      <c r="G1192" s="13" t="n">
        <v>0</v>
      </c>
      <c r="H1192" s="13" t="n">
        <v>0</v>
      </c>
      <c r="I1192" s="13" t="n">
        <f aca="false">H1192-G1192</f>
        <v>0</v>
      </c>
      <c r="J1192" s="13" t="n">
        <f aca="false">H1192-F1192</f>
        <v>0</v>
      </c>
    </row>
    <row r="1193" customFormat="false" ht="15" hidden="false" customHeight="false" outlineLevel="0" collapsed="false">
      <c r="A1193" s="13" t="s">
        <v>153</v>
      </c>
      <c r="B1193" s="13" t="s">
        <v>154</v>
      </c>
      <c r="C1193" s="13" t="n">
        <v>1</v>
      </c>
      <c r="D1193" s="13" t="s">
        <v>155</v>
      </c>
      <c r="E1193" s="13" t="s">
        <v>42</v>
      </c>
      <c r="F1193" s="13" t="n">
        <v>1</v>
      </c>
      <c r="G1193" s="13" t="n">
        <v>1</v>
      </c>
      <c r="H1193" s="13" t="n">
        <v>1</v>
      </c>
      <c r="I1193" s="13" t="n">
        <f aca="false">H1193-G1193</f>
        <v>0</v>
      </c>
      <c r="J1193" s="13" t="n">
        <f aca="false">H1193-F1193</f>
        <v>0</v>
      </c>
    </row>
    <row r="1194" customFormat="false" ht="15" hidden="false" customHeight="false" outlineLevel="0" collapsed="false">
      <c r="A1194" s="13" t="s">
        <v>153</v>
      </c>
      <c r="B1194" s="13" t="s">
        <v>154</v>
      </c>
      <c r="C1194" s="13" t="n">
        <v>1</v>
      </c>
      <c r="D1194" s="13" t="s">
        <v>155</v>
      </c>
      <c r="E1194" s="13" t="s">
        <v>43</v>
      </c>
      <c r="F1194" s="13" t="n">
        <v>1</v>
      </c>
      <c r="G1194" s="13" t="n">
        <v>1</v>
      </c>
      <c r="H1194" s="13" t="n">
        <v>1</v>
      </c>
      <c r="I1194" s="13" t="n">
        <f aca="false">H1194-G1194</f>
        <v>0</v>
      </c>
      <c r="J1194" s="13" t="n">
        <f aca="false">H1194-F1194</f>
        <v>0</v>
      </c>
    </row>
    <row r="1195" customFormat="false" ht="15" hidden="false" customHeight="false" outlineLevel="0" collapsed="false">
      <c r="A1195" s="13" t="s">
        <v>153</v>
      </c>
      <c r="B1195" s="13" t="s">
        <v>154</v>
      </c>
      <c r="C1195" s="13" t="n">
        <v>1</v>
      </c>
      <c r="D1195" s="13" t="s">
        <v>155</v>
      </c>
      <c r="E1195" s="13" t="s">
        <v>44</v>
      </c>
      <c r="F1195" s="13" t="n">
        <v>1</v>
      </c>
      <c r="G1195" s="13" t="n">
        <v>1</v>
      </c>
      <c r="H1195" s="13" t="n">
        <v>1</v>
      </c>
      <c r="I1195" s="13" t="n">
        <f aca="false">H1195-G1195</f>
        <v>0</v>
      </c>
      <c r="J1195" s="13" t="n">
        <f aca="false">H1195-F1195</f>
        <v>0</v>
      </c>
    </row>
    <row r="1196" customFormat="false" ht="15" hidden="false" customHeight="false" outlineLevel="0" collapsed="false">
      <c r="A1196" s="13" t="s">
        <v>153</v>
      </c>
      <c r="B1196" s="13" t="s">
        <v>154</v>
      </c>
      <c r="C1196" s="13" t="n">
        <v>1</v>
      </c>
      <c r="D1196" s="13" t="s">
        <v>155</v>
      </c>
      <c r="E1196" s="13" t="s">
        <v>45</v>
      </c>
      <c r="F1196" s="13" t="n">
        <v>0</v>
      </c>
      <c r="G1196" s="13" t="n">
        <v>0</v>
      </c>
      <c r="H1196" s="13" t="n">
        <v>0</v>
      </c>
      <c r="I1196" s="13" t="n">
        <f aca="false">H1196-G1196</f>
        <v>0</v>
      </c>
      <c r="J1196" s="13" t="n">
        <f aca="false">H1196-F1196</f>
        <v>0</v>
      </c>
    </row>
    <row r="1197" customFormat="false" ht="15" hidden="false" customHeight="false" outlineLevel="0" collapsed="false">
      <c r="A1197" s="13" t="s">
        <v>153</v>
      </c>
      <c r="B1197" s="13" t="s">
        <v>154</v>
      </c>
      <c r="C1197" s="13" t="n">
        <v>1</v>
      </c>
      <c r="D1197" s="13" t="s">
        <v>155</v>
      </c>
      <c r="E1197" s="13" t="s">
        <v>46</v>
      </c>
      <c r="F1197" s="13" t="n">
        <v>0</v>
      </c>
      <c r="G1197" s="13" t="n">
        <v>0</v>
      </c>
      <c r="H1197" s="13" t="n">
        <v>0</v>
      </c>
      <c r="I1197" s="13" t="n">
        <f aca="false">H1197-G1197</f>
        <v>0</v>
      </c>
      <c r="J1197" s="13" t="n">
        <f aca="false">H1197-F1197</f>
        <v>0</v>
      </c>
    </row>
  </sheetData>
  <autoFilter ref="A1:J1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14" t="s">
        <v>156</v>
      </c>
    </row>
    <row r="3" customFormat="false" ht="35.05" hidden="false" customHeight="false" outlineLevel="0" collapsed="false">
      <c r="A3" s="3" t="s">
        <v>157</v>
      </c>
      <c r="B3" s="3" t="s">
        <v>158</v>
      </c>
      <c r="C3" s="3" t="s">
        <v>159</v>
      </c>
      <c r="D3" s="3" t="s">
        <v>160</v>
      </c>
      <c r="E3" s="3" t="s">
        <v>161</v>
      </c>
      <c r="F3" s="3" t="s">
        <v>162</v>
      </c>
      <c r="G3" s="3" t="s">
        <v>163</v>
      </c>
      <c r="H3" s="3" t="s">
        <v>164</v>
      </c>
      <c r="I3" s="3" t="s">
        <v>165</v>
      </c>
      <c r="J3" s="3" t="s">
        <v>166</v>
      </c>
      <c r="K3" s="3" t="s">
        <v>167</v>
      </c>
      <c r="L3" s="3" t="s">
        <v>168</v>
      </c>
    </row>
    <row r="4" customFormat="false" ht="15" hidden="false" customHeight="false" outlineLevel="0" collapsed="false">
      <c r="A4" s="4" t="s">
        <v>169</v>
      </c>
      <c r="B4" s="4" t="n">
        <f aca="false">SUMIF($B$15:$B$664,$A4,C$15:C$664)</f>
        <v>5</v>
      </c>
      <c r="C4" s="4" t="n">
        <f aca="false">SUMIF($B$15:$B$664,$A4,D$15:D$664)</f>
        <v>0</v>
      </c>
      <c r="D4" s="4" t="n">
        <f aca="false">SUMIF($B$15:$B$664,$A4,E$15:E$664)</f>
        <v>7</v>
      </c>
      <c r="E4" s="4" t="n">
        <f aca="false">SUMIF($B$15:$B$664,$A4,F$15:F$664)</f>
        <v>10</v>
      </c>
      <c r="F4" s="15" t="n">
        <f aca="false">SUMIF($B$15:$B$664,$A4,G$15:G$664)</f>
        <v>0</v>
      </c>
      <c r="G4" s="4" t="n">
        <f aca="false">SUMIF($B$15:$B$664,$A4,H$15:H$664)</f>
        <v>481</v>
      </c>
      <c r="H4" s="4" t="n">
        <f aca="false">SUMIF($B$15:$B$664,$A4,I$15:I$664)</f>
        <v>16</v>
      </c>
      <c r="I4" s="4" t="n">
        <f aca="false">SUMIF($B$15:$B$664,$A4,J$15:J$664)</f>
        <v>405</v>
      </c>
      <c r="J4" s="4" t="n">
        <f aca="false">SUMIF($B$15:$B$664,$A4,K$15:K$664)</f>
        <v>962</v>
      </c>
      <c r="K4" s="15" t="n">
        <f aca="false">SUMIF($B$15:$B$664,$A4,L$15:L$664)</f>
        <v>0</v>
      </c>
      <c r="L4" s="16" t="n">
        <f aca="false">IF(G4=0,"",H4/G4)</f>
        <v>0.0332640332640333</v>
      </c>
    </row>
    <row r="5" customFormat="false" ht="15" hidden="false" customHeight="false" outlineLevel="0" collapsed="false">
      <c r="A5" s="4" t="s">
        <v>170</v>
      </c>
      <c r="B5" s="4" t="n">
        <f aca="false">SUMIF($B$15:$B$664,$A5,C$15:C$664)</f>
        <v>7</v>
      </c>
      <c r="C5" s="4" t="n">
        <f aca="false">SUMIF($B$15:$B$664,$A5,D$15:D$664)</f>
        <v>0</v>
      </c>
      <c r="D5" s="4" t="n">
        <f aca="false">SUMIF($B$15:$B$664,$A5,E$15:E$664)</f>
        <v>1</v>
      </c>
      <c r="E5" s="4" t="n">
        <f aca="false">SUMIF($B$15:$B$664,$A5,F$15:F$664)</f>
        <v>3</v>
      </c>
      <c r="F5" s="15" t="n">
        <f aca="false">SUMIF($B$15:$B$664,$A5,G$15:G$664)</f>
        <v>0</v>
      </c>
      <c r="G5" s="4" t="n">
        <f aca="false">SUMIF($B$15:$B$664,$A5,H$15:H$664)</f>
        <v>3147</v>
      </c>
      <c r="H5" s="4" t="n">
        <f aca="false">SUMIF($B$15:$B$664,$A5,I$15:I$664)</f>
        <v>2135</v>
      </c>
      <c r="I5" s="4" t="n">
        <f aca="false">SUMIF($B$15:$B$664,$A5,J$15:J$664)</f>
        <v>236</v>
      </c>
      <c r="J5" s="4" t="n">
        <f aca="false">SUMIF($B$15:$B$664,$A5,K$15:K$664)</f>
        <v>671</v>
      </c>
      <c r="K5" s="15" t="n">
        <f aca="false">SUMIF($B$15:$B$664,$A5,L$15:L$664)</f>
        <v>0</v>
      </c>
      <c r="L5" s="16" t="n">
        <f aca="false">IF(G5=0,"",H5/G5)</f>
        <v>0.678423895773753</v>
      </c>
    </row>
    <row r="6" customFormat="false" ht="15" hidden="false" customHeight="false" outlineLevel="0" collapsed="false">
      <c r="A6" s="4" t="s">
        <v>171</v>
      </c>
      <c r="B6" s="4" t="n">
        <f aca="false">SUMIF($B$15:$B$664,$A6,C$15:C$664)</f>
        <v>0</v>
      </c>
      <c r="C6" s="4" t="n">
        <f aca="false">SUMIF($B$15:$B$664,$A6,D$15:D$664)</f>
        <v>0</v>
      </c>
      <c r="D6" s="4" t="n">
        <f aca="false">SUMIF($B$15:$B$664,$A6,E$15:E$664)</f>
        <v>0</v>
      </c>
      <c r="E6" s="4" t="n">
        <f aca="false">SUMIF($B$15:$B$664,$A6,F$15:F$664)</f>
        <v>0</v>
      </c>
      <c r="F6" s="15" t="n">
        <f aca="false">SUMIF($B$15:$B$664,$A6,G$15:G$664)</f>
        <v>0</v>
      </c>
      <c r="G6" s="4" t="n">
        <f aca="false">SUMIF($B$15:$B$664,$A6,H$15:H$664)</f>
        <v>696</v>
      </c>
      <c r="H6" s="4" t="n">
        <f aca="false">SUMIF($B$15:$B$664,$A6,I$15:I$664)</f>
        <v>26</v>
      </c>
      <c r="I6" s="4" t="n">
        <f aca="false">SUMIF($B$15:$B$664,$A6,J$15:J$664)</f>
        <v>380</v>
      </c>
      <c r="J6" s="4" t="n">
        <f aca="false">SUMIF($B$15:$B$664,$A6,K$15:K$664)</f>
        <v>0</v>
      </c>
      <c r="K6" s="15" t="n">
        <f aca="false">SUMIF($B$15:$B$664,$A6,L$15:L$664)</f>
        <v>0.08636227</v>
      </c>
      <c r="L6" s="16" t="n">
        <f aca="false">IF(G6=0,"",H6/G6)</f>
        <v>0.0373563218390805</v>
      </c>
    </row>
    <row r="7" customFormat="false" ht="15" hidden="false" customHeight="false" outlineLevel="0" collapsed="false">
      <c r="A7" s="4" t="s">
        <v>172</v>
      </c>
      <c r="B7" s="4" t="n">
        <f aca="false">SUMIF($B$15:$B$664,$A7,C$15:C$664)</f>
        <v>20</v>
      </c>
      <c r="C7" s="4" t="n">
        <f aca="false">SUMIF($B$15:$B$664,$A7,D$15:D$664)</f>
        <v>2</v>
      </c>
      <c r="D7" s="4" t="n">
        <f aca="false">SUMIF($B$15:$B$664,$A7,E$15:E$664)</f>
        <v>18</v>
      </c>
      <c r="E7" s="4" t="n">
        <f aca="false">SUMIF($B$15:$B$664,$A7,F$15:F$664)</f>
        <v>0</v>
      </c>
      <c r="F7" s="15" t="n">
        <f aca="false">SUMIF($B$15:$B$664,$A7,G$15:G$664)</f>
        <v>0.0038492</v>
      </c>
      <c r="G7" s="4" t="n">
        <f aca="false">SUMIF($B$15:$B$664,$A7,H$15:H$664)</f>
        <v>15210</v>
      </c>
      <c r="H7" s="4" t="n">
        <f aca="false">SUMIF($B$15:$B$664,$A7,I$15:I$664)</f>
        <v>4308</v>
      </c>
      <c r="I7" s="4" t="n">
        <f aca="false">SUMIF($B$15:$B$664,$A7,J$15:J$664)</f>
        <v>10738</v>
      </c>
      <c r="J7" s="4" t="n">
        <f aca="false">SUMIF($B$15:$B$664,$A7,K$15:K$664)</f>
        <v>0</v>
      </c>
      <c r="K7" s="15" t="n">
        <f aca="false">SUMIF($B$15:$B$664,$A7,L$15:L$664)</f>
        <v>8.8670076</v>
      </c>
      <c r="L7" s="16" t="n">
        <f aca="false">IF(G7=0,"",H7/G7)</f>
        <v>0.283234714003945</v>
      </c>
    </row>
    <row r="8" customFormat="false" ht="15" hidden="false" customHeight="false" outlineLevel="0" collapsed="false">
      <c r="A8" s="4" t="s">
        <v>173</v>
      </c>
      <c r="B8" s="4" t="n">
        <f aca="false">SUMIF($B$15:$B$664,$A8,C$15:C$664)</f>
        <v>0</v>
      </c>
      <c r="C8" s="4" t="n">
        <f aca="false">SUMIF($B$15:$B$664,$A8,D$15:D$664)</f>
        <v>0</v>
      </c>
      <c r="D8" s="4" t="n">
        <f aca="false">SUMIF($B$15:$B$664,$A8,E$15:E$664)</f>
        <v>0</v>
      </c>
      <c r="E8" s="4" t="n">
        <f aca="false">SUMIF($B$15:$B$664,$A8,F$15:F$664)</f>
        <v>0</v>
      </c>
      <c r="F8" s="15" t="n">
        <f aca="false">SUMIF($B$15:$B$664,$A8,G$15:G$664)</f>
        <v>0</v>
      </c>
      <c r="G8" s="4" t="n">
        <f aca="false">SUMIF($B$15:$B$664,$A8,H$15:H$664)</f>
        <v>2581</v>
      </c>
      <c r="H8" s="4" t="n">
        <f aca="false">SUMIF($B$15:$B$664,$A8,I$15:I$664)</f>
        <v>928</v>
      </c>
      <c r="I8" s="4" t="n">
        <f aca="false">SUMIF($B$15:$B$664,$A8,J$15:J$664)</f>
        <v>1653</v>
      </c>
      <c r="J8" s="4" t="n">
        <f aca="false">SUMIF($B$15:$B$664,$A8,K$15:K$664)</f>
        <v>0</v>
      </c>
      <c r="K8" s="15" t="n">
        <f aca="false">SUMIF($B$15:$B$664,$A8,L$15:L$664)</f>
        <v>4.1393888</v>
      </c>
      <c r="L8" s="16" t="n">
        <f aca="false">IF(G8=0,"",H8/G8)</f>
        <v>0.359550561797753</v>
      </c>
    </row>
    <row r="9" customFormat="false" ht="15" hidden="false" customHeight="false" outlineLevel="0" collapsed="false">
      <c r="A9" s="4" t="s">
        <v>174</v>
      </c>
      <c r="B9" s="4" t="n">
        <f aca="false">SUMIF($B$15:$B$664,$A9,C$15:C$664)</f>
        <v>0</v>
      </c>
      <c r="C9" s="4" t="n">
        <f aca="false">SUMIF($B$15:$B$664,$A9,D$15:D$664)</f>
        <v>0</v>
      </c>
      <c r="D9" s="4" t="n">
        <f aca="false">SUMIF($B$15:$B$664,$A9,E$15:E$664)</f>
        <v>0</v>
      </c>
      <c r="E9" s="4" t="n">
        <f aca="false">SUMIF($B$15:$B$664,$A9,F$15:F$664)</f>
        <v>0</v>
      </c>
      <c r="F9" s="15" t="n">
        <f aca="false">SUMIF($B$15:$B$664,$A9,G$15:G$664)</f>
        <v>0</v>
      </c>
      <c r="G9" s="4" t="n">
        <f aca="false">SUMIF($B$15:$B$664,$A9,H$15:H$664)</f>
        <v>555</v>
      </c>
      <c r="H9" s="4" t="n">
        <f aca="false">SUMIF($B$15:$B$664,$A9,I$15:I$664)</f>
        <v>441</v>
      </c>
      <c r="I9" s="4" t="n">
        <f aca="false">SUMIF($B$15:$B$664,$A9,J$15:J$664)</f>
        <v>4</v>
      </c>
      <c r="J9" s="4" t="n">
        <f aca="false">SUMIF($B$15:$B$664,$A9,K$15:K$664)</f>
        <v>0</v>
      </c>
      <c r="K9" s="15" t="n">
        <f aca="false">SUMIF($B$15:$B$664,$A9,L$15:L$664)</f>
        <v>0.18853346</v>
      </c>
      <c r="L9" s="16" t="n">
        <f aca="false">IF(G9=0,"",H9/G9)</f>
        <v>0.794594594594595</v>
      </c>
    </row>
    <row r="10" customFormat="false" ht="15" hidden="false" customHeight="false" outlineLevel="0" collapsed="false">
      <c r="A10" s="4" t="s">
        <v>175</v>
      </c>
      <c r="B10" s="4" t="n">
        <f aca="false">SUMIF($B$15:$B$664,$A10,C$15:C$664)</f>
        <v>0</v>
      </c>
      <c r="C10" s="4" t="n">
        <f aca="false">SUMIF($B$15:$B$664,$A10,D$15:D$664)</f>
        <v>0</v>
      </c>
      <c r="D10" s="4" t="n">
        <f aca="false">SUMIF($B$15:$B$664,$A10,E$15:E$664)</f>
        <v>0</v>
      </c>
      <c r="E10" s="4" t="n">
        <f aca="false">SUMIF($B$15:$B$664,$A10,F$15:F$664)</f>
        <v>0</v>
      </c>
      <c r="F10" s="15" t="n">
        <f aca="false">SUMIF($B$15:$B$664,$A10,G$15:G$664)</f>
        <v>0</v>
      </c>
      <c r="G10" s="4" t="n">
        <f aca="false">SUMIF($B$15:$B$664,$A10,H$15:H$664)</f>
        <v>969</v>
      </c>
      <c r="H10" s="4" t="n">
        <f aca="false">SUMIF($B$15:$B$664,$A10,I$15:I$664)</f>
        <v>0</v>
      </c>
      <c r="I10" s="4" t="n">
        <f aca="false">SUMIF($B$15:$B$664,$A10,J$15:J$664)</f>
        <v>0</v>
      </c>
      <c r="J10" s="4" t="n">
        <f aca="false">SUMIF($B$15:$B$664,$A10,K$15:K$664)</f>
        <v>1412</v>
      </c>
      <c r="K10" s="15" t="n">
        <f aca="false">SUMIF($B$15:$B$664,$A10,L$15:L$664)</f>
        <v>0</v>
      </c>
      <c r="L10" s="16" t="n">
        <f aca="false">IF(G10=0,"",H10/G10)</f>
        <v>0</v>
      </c>
    </row>
    <row r="11" customFormat="false" ht="15" hidden="false" customHeight="false" outlineLevel="0" collapsed="false">
      <c r="A11" s="4" t="s">
        <v>176</v>
      </c>
      <c r="B11" s="4" t="n">
        <f aca="false">SUMIF($B$15:$B$664,$A11,C$15:C$664)</f>
        <v>0</v>
      </c>
      <c r="C11" s="4" t="n">
        <f aca="false">SUMIF($B$15:$B$664,$A11,D$15:D$664)</f>
        <v>0</v>
      </c>
      <c r="D11" s="4" t="n">
        <f aca="false">SUMIF($B$15:$B$664,$A11,E$15:E$664)</f>
        <v>0</v>
      </c>
      <c r="E11" s="4" t="n">
        <f aca="false">SUMIF($B$15:$B$664,$A11,F$15:F$664)</f>
        <v>0</v>
      </c>
      <c r="F11" s="15" t="n">
        <f aca="false">SUMIF($B$15:$B$664,$A11,G$15:G$664)</f>
        <v>0</v>
      </c>
      <c r="G11" s="4" t="n">
        <f aca="false">SUMIF($B$15:$B$664,$A11,H$15:H$664)</f>
        <v>6708</v>
      </c>
      <c r="H11" s="4" t="n">
        <f aca="false">SUMIF($B$15:$B$664,$A11,I$15:I$664)</f>
        <v>0</v>
      </c>
      <c r="I11" s="4" t="n">
        <f aca="false">SUMIF($B$15:$B$664,$A11,J$15:J$664)</f>
        <v>0</v>
      </c>
      <c r="J11" s="4" t="n">
        <f aca="false">SUMIF($B$15:$B$664,$A11,K$15:K$664)</f>
        <v>0</v>
      </c>
      <c r="K11" s="15" t="n">
        <f aca="false">SUMIF($B$15:$B$664,$A11,L$15:L$664)</f>
        <v>0</v>
      </c>
      <c r="L11" s="16" t="n">
        <f aca="false">IF(G11=0,"",H11/G11)</f>
        <v>0</v>
      </c>
    </row>
    <row r="14" customFormat="false" ht="35.05" hidden="false" customHeight="false" outlineLevel="0" collapsed="false">
      <c r="A14" s="3" t="s">
        <v>38</v>
      </c>
      <c r="B14" s="3" t="s">
        <v>157</v>
      </c>
      <c r="C14" s="3" t="s">
        <v>158</v>
      </c>
      <c r="D14" s="3" t="s">
        <v>159</v>
      </c>
      <c r="E14" s="3" t="s">
        <v>160</v>
      </c>
      <c r="F14" s="3" t="s">
        <v>161</v>
      </c>
      <c r="G14" s="3" t="s">
        <v>162</v>
      </c>
      <c r="H14" s="3" t="s">
        <v>163</v>
      </c>
      <c r="I14" s="3" t="s">
        <v>164</v>
      </c>
      <c r="J14" s="3" t="s">
        <v>165</v>
      </c>
      <c r="K14" s="3" t="s">
        <v>166</v>
      </c>
      <c r="L14" s="3" t="s">
        <v>167</v>
      </c>
      <c r="M14" s="3" t="s">
        <v>168</v>
      </c>
    </row>
    <row r="15" customFormat="false" ht="15" hidden="false" customHeight="false" outlineLevel="0" collapsed="false">
      <c r="A15" s="13" t="s">
        <v>177</v>
      </c>
      <c r="B15" s="13" t="s">
        <v>176</v>
      </c>
      <c r="C15" s="13" t="n">
        <v>0</v>
      </c>
      <c r="D15" s="13" t="n">
        <v>0</v>
      </c>
      <c r="E15" s="13" t="n">
        <v>0</v>
      </c>
      <c r="F15" s="13" t="n">
        <v>0</v>
      </c>
      <c r="G15" s="17" t="n">
        <v>0</v>
      </c>
      <c r="H15" s="13" t="n">
        <v>1</v>
      </c>
      <c r="I15" s="13" t="n">
        <v>0</v>
      </c>
      <c r="J15" s="13" t="n">
        <v>0</v>
      </c>
      <c r="K15" s="13" t="n">
        <v>0</v>
      </c>
      <c r="L15" s="17" t="n">
        <v>0</v>
      </c>
      <c r="M15" s="18" t="n">
        <f aca="false">IF(H15=0,"",I15/H15)</f>
        <v>0</v>
      </c>
    </row>
    <row r="16" customFormat="false" ht="15" hidden="false" customHeight="false" outlineLevel="0" collapsed="false">
      <c r="A16" s="13" t="s">
        <v>178</v>
      </c>
      <c r="B16" s="13" t="s">
        <v>176</v>
      </c>
      <c r="C16" s="13" t="n">
        <v>0</v>
      </c>
      <c r="D16" s="13" t="n">
        <v>0</v>
      </c>
      <c r="E16" s="13" t="n">
        <v>0</v>
      </c>
      <c r="F16" s="13" t="n">
        <v>0</v>
      </c>
      <c r="G16" s="17" t="n">
        <v>0</v>
      </c>
      <c r="H16" s="13" t="n">
        <v>1</v>
      </c>
      <c r="I16" s="13" t="n">
        <v>0</v>
      </c>
      <c r="J16" s="13" t="n">
        <v>0</v>
      </c>
      <c r="K16" s="13" t="n">
        <v>0</v>
      </c>
      <c r="L16" s="17" t="n">
        <v>0</v>
      </c>
      <c r="M16" s="18" t="n">
        <f aca="false">IF(H16=0,"",I16/H16)</f>
        <v>0</v>
      </c>
    </row>
    <row r="17" customFormat="false" ht="15" hidden="false" customHeight="false" outlineLevel="0" collapsed="false">
      <c r="A17" s="13" t="s">
        <v>178</v>
      </c>
      <c r="B17" s="13" t="s">
        <v>176</v>
      </c>
      <c r="C17" s="13" t="n">
        <v>0</v>
      </c>
      <c r="D17" s="13" t="n">
        <v>0</v>
      </c>
      <c r="E17" s="13" t="n">
        <v>0</v>
      </c>
      <c r="F17" s="13" t="n">
        <v>0</v>
      </c>
      <c r="G17" s="17" t="n">
        <v>0</v>
      </c>
      <c r="H17" s="13" t="n">
        <v>1</v>
      </c>
      <c r="I17" s="13" t="n">
        <v>0</v>
      </c>
      <c r="J17" s="13" t="n">
        <v>0</v>
      </c>
      <c r="K17" s="13" t="n">
        <v>0</v>
      </c>
      <c r="L17" s="17" t="n">
        <v>0</v>
      </c>
      <c r="M17" s="18" t="n">
        <f aca="false">IF(H17=0,"",I17/H17)</f>
        <v>0</v>
      </c>
    </row>
    <row r="18" customFormat="false" ht="15" hidden="false" customHeight="false" outlineLevel="0" collapsed="false">
      <c r="A18" s="13" t="s">
        <v>179</v>
      </c>
      <c r="B18" s="13" t="s">
        <v>176</v>
      </c>
      <c r="C18" s="13" t="n">
        <v>0</v>
      </c>
      <c r="D18" s="13" t="n">
        <v>0</v>
      </c>
      <c r="E18" s="13" t="n">
        <v>0</v>
      </c>
      <c r="F18" s="13" t="n">
        <v>0</v>
      </c>
      <c r="G18" s="17" t="n">
        <v>0</v>
      </c>
      <c r="H18" s="13" t="n">
        <v>1</v>
      </c>
      <c r="I18" s="13" t="n">
        <v>0</v>
      </c>
      <c r="J18" s="13" t="n">
        <v>0</v>
      </c>
      <c r="K18" s="13" t="n">
        <v>0</v>
      </c>
      <c r="L18" s="17" t="n">
        <v>0</v>
      </c>
      <c r="M18" s="18" t="n">
        <f aca="false">IF(H18=0,"",I18/H18)</f>
        <v>0</v>
      </c>
    </row>
    <row r="19" customFormat="false" ht="15" hidden="false" customHeight="false" outlineLevel="0" collapsed="false">
      <c r="A19" s="13" t="s">
        <v>180</v>
      </c>
      <c r="B19" s="13" t="s">
        <v>176</v>
      </c>
      <c r="C19" s="13" t="n">
        <v>0</v>
      </c>
      <c r="D19" s="13" t="n">
        <v>0</v>
      </c>
      <c r="E19" s="13" t="n">
        <v>0</v>
      </c>
      <c r="F19" s="13" t="n">
        <v>0</v>
      </c>
      <c r="G19" s="17" t="n">
        <v>0</v>
      </c>
      <c r="H19" s="13" t="n">
        <v>1</v>
      </c>
      <c r="I19" s="13" t="n">
        <v>0</v>
      </c>
      <c r="J19" s="13" t="n">
        <v>0</v>
      </c>
      <c r="K19" s="13" t="n">
        <v>0</v>
      </c>
      <c r="L19" s="17" t="n">
        <v>0</v>
      </c>
      <c r="M19" s="18" t="n">
        <f aca="false">IF(H19=0,"",I19/H19)</f>
        <v>0</v>
      </c>
    </row>
    <row r="20" customFormat="false" ht="15" hidden="false" customHeight="false" outlineLevel="0" collapsed="false">
      <c r="A20" s="13" t="s">
        <v>181</v>
      </c>
      <c r="B20" s="13" t="s">
        <v>176</v>
      </c>
      <c r="C20" s="13" t="n">
        <v>0</v>
      </c>
      <c r="D20" s="13" t="n">
        <v>0</v>
      </c>
      <c r="E20" s="13" t="n">
        <v>0</v>
      </c>
      <c r="F20" s="13" t="n">
        <v>0</v>
      </c>
      <c r="G20" s="17" t="n">
        <v>0</v>
      </c>
      <c r="H20" s="13" t="n">
        <v>1</v>
      </c>
      <c r="I20" s="13" t="n">
        <v>0</v>
      </c>
      <c r="J20" s="13" t="n">
        <v>0</v>
      </c>
      <c r="K20" s="13" t="n">
        <v>0</v>
      </c>
      <c r="L20" s="17" t="n">
        <v>0</v>
      </c>
      <c r="M20" s="18" t="n">
        <f aca="false">IF(H20=0,"",I20/H20)</f>
        <v>0</v>
      </c>
    </row>
    <row r="21" customFormat="false" ht="15" hidden="false" customHeight="false" outlineLevel="0" collapsed="false">
      <c r="A21" s="13" t="s">
        <v>182</v>
      </c>
      <c r="B21" s="13" t="s">
        <v>176</v>
      </c>
      <c r="C21" s="13" t="n">
        <v>0</v>
      </c>
      <c r="D21" s="13" t="n">
        <v>0</v>
      </c>
      <c r="E21" s="13" t="n">
        <v>0</v>
      </c>
      <c r="F21" s="13" t="n">
        <v>0</v>
      </c>
      <c r="G21" s="17" t="n">
        <v>0</v>
      </c>
      <c r="H21" s="13" t="n">
        <v>1</v>
      </c>
      <c r="I21" s="13" t="n">
        <v>0</v>
      </c>
      <c r="J21" s="13" t="n">
        <v>0</v>
      </c>
      <c r="K21" s="13" t="n">
        <v>0</v>
      </c>
      <c r="L21" s="17" t="n">
        <v>0</v>
      </c>
      <c r="M21" s="18" t="n">
        <f aca="false">IF(H21=0,"",I21/H21)</f>
        <v>0</v>
      </c>
    </row>
    <row r="22" customFormat="false" ht="15" hidden="false" customHeight="false" outlineLevel="0" collapsed="false">
      <c r="A22" s="13" t="s">
        <v>183</v>
      </c>
      <c r="B22" s="13" t="s">
        <v>176</v>
      </c>
      <c r="C22" s="13" t="n">
        <v>0</v>
      </c>
      <c r="D22" s="13" t="n">
        <v>0</v>
      </c>
      <c r="E22" s="13" t="n">
        <v>0</v>
      </c>
      <c r="F22" s="13" t="n">
        <v>0</v>
      </c>
      <c r="G22" s="17" t="n">
        <v>0</v>
      </c>
      <c r="H22" s="13" t="n">
        <v>1</v>
      </c>
      <c r="I22" s="13" t="n">
        <v>0</v>
      </c>
      <c r="J22" s="13" t="n">
        <v>0</v>
      </c>
      <c r="K22" s="13" t="n">
        <v>0</v>
      </c>
      <c r="L22" s="17" t="n">
        <v>0</v>
      </c>
      <c r="M22" s="18" t="n">
        <f aca="false">IF(H22=0,"",I22/H22)</f>
        <v>0</v>
      </c>
    </row>
    <row r="23" customFormat="false" ht="15" hidden="false" customHeight="false" outlineLevel="0" collapsed="false">
      <c r="A23" s="13" t="s">
        <v>184</v>
      </c>
      <c r="B23" s="13" t="s">
        <v>176</v>
      </c>
      <c r="C23" s="13" t="n">
        <v>0</v>
      </c>
      <c r="D23" s="13" t="n">
        <v>0</v>
      </c>
      <c r="E23" s="13" t="n">
        <v>0</v>
      </c>
      <c r="F23" s="13" t="n">
        <v>0</v>
      </c>
      <c r="G23" s="17" t="n">
        <v>0</v>
      </c>
      <c r="H23" s="13" t="n">
        <v>1</v>
      </c>
      <c r="I23" s="13" t="n">
        <v>0</v>
      </c>
      <c r="J23" s="13" t="n">
        <v>0</v>
      </c>
      <c r="K23" s="13" t="n">
        <v>0</v>
      </c>
      <c r="L23" s="17" t="n">
        <v>0</v>
      </c>
      <c r="M23" s="18" t="n">
        <f aca="false">IF(H23=0,"",I23/H23)</f>
        <v>0</v>
      </c>
    </row>
    <row r="24" customFormat="false" ht="15" hidden="false" customHeight="false" outlineLevel="0" collapsed="false">
      <c r="A24" s="13" t="s">
        <v>185</v>
      </c>
      <c r="B24" s="13" t="s">
        <v>176</v>
      </c>
      <c r="C24" s="13" t="n">
        <v>0</v>
      </c>
      <c r="D24" s="13" t="n">
        <v>0</v>
      </c>
      <c r="E24" s="13" t="n">
        <v>0</v>
      </c>
      <c r="F24" s="13" t="n">
        <v>0</v>
      </c>
      <c r="G24" s="17" t="n">
        <v>0</v>
      </c>
      <c r="H24" s="13" t="n">
        <v>1</v>
      </c>
      <c r="I24" s="13" t="n">
        <v>0</v>
      </c>
      <c r="J24" s="13" t="n">
        <v>0</v>
      </c>
      <c r="K24" s="13" t="n">
        <v>0</v>
      </c>
      <c r="L24" s="17" t="n">
        <v>0</v>
      </c>
      <c r="M24" s="18" t="n">
        <f aca="false">IF(H24=0,"",I24/H24)</f>
        <v>0</v>
      </c>
    </row>
    <row r="25" customFormat="false" ht="15" hidden="false" customHeight="false" outlineLevel="0" collapsed="false">
      <c r="A25" s="13" t="s">
        <v>186</v>
      </c>
      <c r="B25" s="13" t="s">
        <v>176</v>
      </c>
      <c r="C25" s="13" t="n">
        <v>0</v>
      </c>
      <c r="D25" s="13" t="n">
        <v>0</v>
      </c>
      <c r="E25" s="13" t="n">
        <v>0</v>
      </c>
      <c r="F25" s="13" t="n">
        <v>0</v>
      </c>
      <c r="G25" s="17" t="n">
        <v>0</v>
      </c>
      <c r="H25" s="13" t="n">
        <v>1</v>
      </c>
      <c r="I25" s="13" t="n">
        <v>0</v>
      </c>
      <c r="J25" s="13" t="n">
        <v>0</v>
      </c>
      <c r="K25" s="13" t="n">
        <v>0</v>
      </c>
      <c r="L25" s="17" t="n">
        <v>0</v>
      </c>
      <c r="M25" s="18" t="n">
        <f aca="false">IF(H25=0,"",I25/H25)</f>
        <v>0</v>
      </c>
    </row>
    <row r="26" customFormat="false" ht="15" hidden="false" customHeight="false" outlineLevel="0" collapsed="false">
      <c r="A26" s="13" t="s">
        <v>187</v>
      </c>
      <c r="B26" s="13" t="s">
        <v>176</v>
      </c>
      <c r="C26" s="13" t="n">
        <v>0</v>
      </c>
      <c r="D26" s="13" t="n">
        <v>0</v>
      </c>
      <c r="E26" s="13" t="n">
        <v>0</v>
      </c>
      <c r="F26" s="13" t="n">
        <v>0</v>
      </c>
      <c r="G26" s="17" t="n">
        <v>0</v>
      </c>
      <c r="H26" s="13" t="n">
        <v>1</v>
      </c>
      <c r="I26" s="13" t="n">
        <v>0</v>
      </c>
      <c r="J26" s="13" t="n">
        <v>0</v>
      </c>
      <c r="K26" s="13" t="n">
        <v>0</v>
      </c>
      <c r="L26" s="17" t="n">
        <v>0</v>
      </c>
      <c r="M26" s="18" t="n">
        <f aca="false">IF(H26=0,"",I26/H26)</f>
        <v>0</v>
      </c>
    </row>
    <row r="27" customFormat="false" ht="15" hidden="false" customHeight="false" outlineLevel="0" collapsed="false">
      <c r="A27" s="13" t="s">
        <v>188</v>
      </c>
      <c r="B27" s="13" t="s">
        <v>176</v>
      </c>
      <c r="C27" s="13" t="n">
        <v>0</v>
      </c>
      <c r="D27" s="13" t="n">
        <v>0</v>
      </c>
      <c r="E27" s="13" t="n">
        <v>0</v>
      </c>
      <c r="F27" s="13" t="n">
        <v>0</v>
      </c>
      <c r="G27" s="17" t="n">
        <v>0</v>
      </c>
      <c r="H27" s="13" t="n">
        <v>1</v>
      </c>
      <c r="I27" s="13" t="n">
        <v>0</v>
      </c>
      <c r="J27" s="13" t="n">
        <v>0</v>
      </c>
      <c r="K27" s="13" t="n">
        <v>0</v>
      </c>
      <c r="L27" s="17" t="n">
        <v>0</v>
      </c>
      <c r="M27" s="18" t="n">
        <f aca="false">IF(H27=0,"",I27/H27)</f>
        <v>0</v>
      </c>
    </row>
    <row r="28" customFormat="false" ht="15" hidden="false" customHeight="false" outlineLevel="0" collapsed="false">
      <c r="A28" s="13" t="s">
        <v>137</v>
      </c>
      <c r="B28" s="13" t="s">
        <v>169</v>
      </c>
      <c r="C28" s="13" t="n">
        <v>0</v>
      </c>
      <c r="D28" s="13" t="n">
        <v>0</v>
      </c>
      <c r="E28" s="13" t="n">
        <v>0</v>
      </c>
      <c r="F28" s="13" t="n">
        <v>0</v>
      </c>
      <c r="G28" s="17" t="n">
        <v>0</v>
      </c>
      <c r="H28" s="13" t="n">
        <v>15</v>
      </c>
      <c r="I28" s="13" t="n">
        <v>0</v>
      </c>
      <c r="J28" s="13" t="n">
        <v>5</v>
      </c>
      <c r="K28" s="13" t="n">
        <v>30</v>
      </c>
      <c r="L28" s="17" t="n">
        <v>0</v>
      </c>
      <c r="M28" s="18" t="n">
        <f aca="false">IF(H28=0,"",I28/H28)</f>
        <v>0</v>
      </c>
    </row>
    <row r="29" customFormat="false" ht="15" hidden="false" customHeight="false" outlineLevel="0" collapsed="false">
      <c r="A29" s="13" t="s">
        <v>137</v>
      </c>
      <c r="B29" s="13" t="s">
        <v>170</v>
      </c>
      <c r="C29" s="13" t="n">
        <v>0</v>
      </c>
      <c r="D29" s="13" t="n">
        <v>0</v>
      </c>
      <c r="E29" s="13" t="n">
        <v>0</v>
      </c>
      <c r="F29" s="13" t="n">
        <v>0</v>
      </c>
      <c r="G29" s="17" t="n">
        <v>0</v>
      </c>
      <c r="H29" s="13" t="n">
        <v>5</v>
      </c>
      <c r="I29" s="13" t="n">
        <v>0</v>
      </c>
      <c r="J29" s="13" t="n">
        <v>0</v>
      </c>
      <c r="K29" s="13" t="n">
        <v>0</v>
      </c>
      <c r="L29" s="17" t="n">
        <v>0</v>
      </c>
      <c r="M29" s="18" t="n">
        <f aca="false">IF(H29=0,"",I29/H29)</f>
        <v>0</v>
      </c>
    </row>
    <row r="30" customFormat="false" ht="15" hidden="false" customHeight="false" outlineLevel="0" collapsed="false">
      <c r="A30" s="13" t="s">
        <v>137</v>
      </c>
      <c r="B30" s="13" t="s">
        <v>172</v>
      </c>
      <c r="C30" s="13" t="n">
        <v>0</v>
      </c>
      <c r="D30" s="13" t="n">
        <v>0</v>
      </c>
      <c r="E30" s="13" t="n">
        <v>0</v>
      </c>
      <c r="F30" s="13" t="n">
        <v>0</v>
      </c>
      <c r="G30" s="17" t="n">
        <v>0</v>
      </c>
      <c r="H30" s="13" t="n">
        <v>35</v>
      </c>
      <c r="I30" s="13" t="n">
        <v>2</v>
      </c>
      <c r="J30" s="13" t="n">
        <v>33</v>
      </c>
      <c r="K30" s="13" t="n">
        <v>0</v>
      </c>
      <c r="L30" s="17" t="n">
        <v>0.0129170666666667</v>
      </c>
      <c r="M30" s="18" t="n">
        <f aca="false">IF(H30=0,"",I30/H30)</f>
        <v>0.0571428571428571</v>
      </c>
    </row>
    <row r="31" customFormat="false" ht="15" hidden="false" customHeight="false" outlineLevel="0" collapsed="false">
      <c r="A31" s="13" t="s">
        <v>137</v>
      </c>
      <c r="B31" s="13" t="s">
        <v>174</v>
      </c>
      <c r="C31" s="13" t="n">
        <v>0</v>
      </c>
      <c r="D31" s="13" t="n">
        <v>0</v>
      </c>
      <c r="E31" s="13" t="n">
        <v>0</v>
      </c>
      <c r="F31" s="13" t="n">
        <v>0</v>
      </c>
      <c r="G31" s="17" t="n">
        <v>0</v>
      </c>
      <c r="H31" s="13" t="n">
        <v>29</v>
      </c>
      <c r="I31" s="13" t="n">
        <v>23</v>
      </c>
      <c r="J31" s="13" t="n">
        <v>0</v>
      </c>
      <c r="K31" s="13" t="n">
        <v>0</v>
      </c>
      <c r="L31" s="17" t="n">
        <v>0.00938451</v>
      </c>
      <c r="M31" s="18" t="n">
        <f aca="false">IF(H31=0,"",I31/H31)</f>
        <v>0.793103448275862</v>
      </c>
    </row>
    <row r="32" customFormat="false" ht="15" hidden="false" customHeight="false" outlineLevel="0" collapsed="false">
      <c r="A32" s="13" t="s">
        <v>137</v>
      </c>
      <c r="B32" s="13" t="s">
        <v>175</v>
      </c>
      <c r="C32" s="13" t="n">
        <v>0</v>
      </c>
      <c r="D32" s="13" t="n">
        <v>0</v>
      </c>
      <c r="E32" s="13" t="n">
        <v>0</v>
      </c>
      <c r="F32" s="13" t="n">
        <v>0</v>
      </c>
      <c r="G32" s="17" t="n">
        <v>0</v>
      </c>
      <c r="H32" s="13" t="n">
        <v>27</v>
      </c>
      <c r="I32" s="13" t="n">
        <v>0</v>
      </c>
      <c r="J32" s="13" t="n">
        <v>0</v>
      </c>
      <c r="K32" s="13" t="n">
        <v>27</v>
      </c>
      <c r="L32" s="17" t="n">
        <v>0</v>
      </c>
      <c r="M32" s="18" t="n">
        <f aca="false">IF(H32=0,"",I32/H32)</f>
        <v>0</v>
      </c>
    </row>
    <row r="33" customFormat="false" ht="15" hidden="false" customHeight="false" outlineLevel="0" collapsed="false">
      <c r="A33" s="13" t="s">
        <v>137</v>
      </c>
      <c r="B33" s="13" t="s">
        <v>176</v>
      </c>
      <c r="C33" s="13" t="n">
        <v>0</v>
      </c>
      <c r="D33" s="13" t="n">
        <v>0</v>
      </c>
      <c r="E33" s="13" t="n">
        <v>0</v>
      </c>
      <c r="F33" s="13" t="n">
        <v>0</v>
      </c>
      <c r="G33" s="17" t="n">
        <v>0</v>
      </c>
      <c r="H33" s="13" t="n">
        <v>20</v>
      </c>
      <c r="I33" s="13" t="n">
        <v>0</v>
      </c>
      <c r="J33" s="13" t="n">
        <v>0</v>
      </c>
      <c r="K33" s="13" t="n">
        <v>0</v>
      </c>
      <c r="L33" s="17" t="n">
        <v>0</v>
      </c>
      <c r="M33" s="18" t="n">
        <f aca="false">IF(H33=0,"",I33/H33)</f>
        <v>0</v>
      </c>
    </row>
    <row r="34" customFormat="false" ht="15" hidden="false" customHeight="false" outlineLevel="0" collapsed="false">
      <c r="A34" s="13" t="s">
        <v>189</v>
      </c>
      <c r="B34" s="13" t="s">
        <v>176</v>
      </c>
      <c r="C34" s="13" t="n">
        <v>0</v>
      </c>
      <c r="D34" s="13" t="n">
        <v>0</v>
      </c>
      <c r="E34" s="13" t="n">
        <v>0</v>
      </c>
      <c r="F34" s="13" t="n">
        <v>0</v>
      </c>
      <c r="G34" s="17" t="n">
        <v>0</v>
      </c>
      <c r="H34" s="13" t="n">
        <v>1</v>
      </c>
      <c r="I34" s="13" t="n">
        <v>0</v>
      </c>
      <c r="J34" s="13" t="n">
        <v>0</v>
      </c>
      <c r="K34" s="13" t="n">
        <v>0</v>
      </c>
      <c r="L34" s="17" t="n">
        <v>0</v>
      </c>
      <c r="M34" s="18" t="n">
        <f aca="false">IF(H34=0,"",I34/H34)</f>
        <v>0</v>
      </c>
    </row>
    <row r="35" customFormat="false" ht="15" hidden="false" customHeight="false" outlineLevel="0" collapsed="false">
      <c r="A35" s="13" t="s">
        <v>190</v>
      </c>
      <c r="B35" s="13" t="s">
        <v>176</v>
      </c>
      <c r="C35" s="13" t="n">
        <v>0</v>
      </c>
      <c r="D35" s="13" t="n">
        <v>0</v>
      </c>
      <c r="E35" s="13" t="n">
        <v>0</v>
      </c>
      <c r="F35" s="13" t="n">
        <v>0</v>
      </c>
      <c r="G35" s="17" t="n">
        <v>0</v>
      </c>
      <c r="H35" s="13" t="n">
        <v>1</v>
      </c>
      <c r="I35" s="13" t="n">
        <v>0</v>
      </c>
      <c r="J35" s="13" t="n">
        <v>0</v>
      </c>
      <c r="K35" s="13" t="n">
        <v>0</v>
      </c>
      <c r="L35" s="17" t="n">
        <v>0</v>
      </c>
      <c r="M35" s="18" t="n">
        <f aca="false">IF(H35=0,"",I35/H35)</f>
        <v>0</v>
      </c>
    </row>
    <row r="36" customFormat="false" ht="15" hidden="false" customHeight="false" outlineLevel="0" collapsed="false">
      <c r="A36" s="13" t="s">
        <v>85</v>
      </c>
      <c r="B36" s="13" t="s">
        <v>170</v>
      </c>
      <c r="C36" s="13" t="n">
        <v>0</v>
      </c>
      <c r="D36" s="13" t="n">
        <v>0</v>
      </c>
      <c r="E36" s="13" t="n">
        <v>0</v>
      </c>
      <c r="F36" s="13" t="n">
        <v>0</v>
      </c>
      <c r="G36" s="17" t="n">
        <v>0</v>
      </c>
      <c r="H36" s="13" t="n">
        <v>89</v>
      </c>
      <c r="I36" s="13" t="n">
        <v>85</v>
      </c>
      <c r="J36" s="13" t="n">
        <v>0</v>
      </c>
      <c r="K36" s="13" t="n">
        <v>12</v>
      </c>
      <c r="L36" s="17" t="n">
        <v>0</v>
      </c>
      <c r="M36" s="18" t="n">
        <f aca="false">IF(H36=0,"",I36/H36)</f>
        <v>0.955056179775281</v>
      </c>
    </row>
    <row r="37" customFormat="false" ht="15" hidden="false" customHeight="false" outlineLevel="0" collapsed="false">
      <c r="A37" s="13" t="s">
        <v>85</v>
      </c>
      <c r="B37" s="13" t="s">
        <v>171</v>
      </c>
      <c r="C37" s="13" t="n">
        <v>0</v>
      </c>
      <c r="D37" s="13" t="n">
        <v>0</v>
      </c>
      <c r="E37" s="13" t="n">
        <v>0</v>
      </c>
      <c r="F37" s="13" t="n">
        <v>0</v>
      </c>
      <c r="G37" s="17" t="n">
        <v>0</v>
      </c>
      <c r="H37" s="13" t="n">
        <v>12</v>
      </c>
      <c r="I37" s="13" t="n">
        <v>8</v>
      </c>
      <c r="J37" s="13" t="n">
        <v>0</v>
      </c>
      <c r="K37" s="13" t="n">
        <v>0</v>
      </c>
      <c r="L37" s="17" t="n">
        <v>0.00148068</v>
      </c>
      <c r="M37" s="18" t="n">
        <f aca="false">IF(H37=0,"",I37/H37)</f>
        <v>0.666666666666667</v>
      </c>
    </row>
    <row r="38" customFormat="false" ht="15" hidden="false" customHeight="false" outlineLevel="0" collapsed="false">
      <c r="A38" s="13" t="s">
        <v>85</v>
      </c>
      <c r="B38" s="13" t="s">
        <v>172</v>
      </c>
      <c r="C38" s="13" t="n">
        <v>0</v>
      </c>
      <c r="D38" s="13" t="n">
        <v>0</v>
      </c>
      <c r="E38" s="13" t="n">
        <v>0</v>
      </c>
      <c r="F38" s="13" t="n">
        <v>0</v>
      </c>
      <c r="G38" s="17" t="n">
        <v>0</v>
      </c>
      <c r="H38" s="13" t="n">
        <v>270</v>
      </c>
      <c r="I38" s="13" t="n">
        <v>30</v>
      </c>
      <c r="J38" s="13" t="n">
        <v>233</v>
      </c>
      <c r="K38" s="13" t="n">
        <v>0</v>
      </c>
      <c r="L38" s="17" t="n">
        <v>0.2519584</v>
      </c>
      <c r="M38" s="18" t="n">
        <f aca="false">IF(H38=0,"",I38/H38)</f>
        <v>0.111111111111111</v>
      </c>
    </row>
    <row r="39" customFormat="false" ht="15" hidden="false" customHeight="false" outlineLevel="0" collapsed="false">
      <c r="A39" s="13" t="s">
        <v>85</v>
      </c>
      <c r="B39" s="13" t="s">
        <v>173</v>
      </c>
      <c r="C39" s="13" t="n">
        <v>0</v>
      </c>
      <c r="D39" s="13" t="n">
        <v>0</v>
      </c>
      <c r="E39" s="13" t="n">
        <v>0</v>
      </c>
      <c r="F39" s="13" t="n">
        <v>0</v>
      </c>
      <c r="G39" s="17" t="n">
        <v>0</v>
      </c>
      <c r="H39" s="13" t="n">
        <v>64</v>
      </c>
      <c r="I39" s="13" t="n">
        <v>2</v>
      </c>
      <c r="J39" s="13" t="n">
        <v>62</v>
      </c>
      <c r="K39" s="13" t="n">
        <v>0</v>
      </c>
      <c r="L39" s="17" t="n">
        <v>0.0411764</v>
      </c>
      <c r="M39" s="18" t="n">
        <f aca="false">IF(H39=0,"",I39/H39)</f>
        <v>0.03125</v>
      </c>
    </row>
    <row r="40" customFormat="false" ht="15" hidden="false" customHeight="false" outlineLevel="0" collapsed="false">
      <c r="A40" s="13" t="s">
        <v>85</v>
      </c>
      <c r="B40" s="13" t="s">
        <v>175</v>
      </c>
      <c r="C40" s="13" t="n">
        <v>0</v>
      </c>
      <c r="D40" s="13" t="n">
        <v>0</v>
      </c>
      <c r="E40" s="13" t="n">
        <v>0</v>
      </c>
      <c r="F40" s="13" t="n">
        <v>0</v>
      </c>
      <c r="G40" s="17" t="n">
        <v>0</v>
      </c>
      <c r="H40" s="13" t="n">
        <v>18</v>
      </c>
      <c r="I40" s="13" t="n">
        <v>0</v>
      </c>
      <c r="J40" s="13" t="n">
        <v>0</v>
      </c>
      <c r="K40" s="13" t="n">
        <v>25</v>
      </c>
      <c r="L40" s="17" t="n">
        <v>0</v>
      </c>
      <c r="M40" s="18" t="n">
        <f aca="false">IF(H40=0,"",I40/H40)</f>
        <v>0</v>
      </c>
    </row>
    <row r="41" customFormat="false" ht="15" hidden="false" customHeight="false" outlineLevel="0" collapsed="false">
      <c r="A41" s="13" t="s">
        <v>85</v>
      </c>
      <c r="B41" s="13" t="s">
        <v>176</v>
      </c>
      <c r="C41" s="13" t="n">
        <v>0</v>
      </c>
      <c r="D41" s="13" t="n">
        <v>0</v>
      </c>
      <c r="E41" s="13" t="n">
        <v>0</v>
      </c>
      <c r="F41" s="13" t="n">
        <v>0</v>
      </c>
      <c r="G41" s="17" t="n">
        <v>0</v>
      </c>
      <c r="H41" s="13" t="n">
        <v>100</v>
      </c>
      <c r="I41" s="13" t="n">
        <v>0</v>
      </c>
      <c r="J41" s="13" t="n">
        <v>0</v>
      </c>
      <c r="K41" s="13" t="n">
        <v>0</v>
      </c>
      <c r="L41" s="17" t="n">
        <v>0</v>
      </c>
      <c r="M41" s="18" t="n">
        <f aca="false">IF(H41=0,"",I41/H41)</f>
        <v>0</v>
      </c>
    </row>
    <row r="42" customFormat="false" ht="15" hidden="false" customHeight="false" outlineLevel="0" collapsed="false">
      <c r="A42" s="13" t="s">
        <v>191</v>
      </c>
      <c r="B42" s="13" t="s">
        <v>176</v>
      </c>
      <c r="C42" s="13" t="n">
        <v>0</v>
      </c>
      <c r="D42" s="13" t="n">
        <v>0</v>
      </c>
      <c r="E42" s="13" t="n">
        <v>0</v>
      </c>
      <c r="F42" s="13" t="n">
        <v>0</v>
      </c>
      <c r="G42" s="17" t="n">
        <v>0</v>
      </c>
      <c r="H42" s="13" t="n">
        <v>1</v>
      </c>
      <c r="I42" s="13" t="n">
        <v>0</v>
      </c>
      <c r="J42" s="13" t="n">
        <v>0</v>
      </c>
      <c r="K42" s="13" t="n">
        <v>0</v>
      </c>
      <c r="L42" s="17" t="n">
        <v>0</v>
      </c>
      <c r="M42" s="18" t="n">
        <f aca="false">IF(H42=0,"",I42/H42)</f>
        <v>0</v>
      </c>
    </row>
    <row r="43" customFormat="false" ht="15" hidden="false" customHeight="false" outlineLevel="0" collapsed="false">
      <c r="A43" s="13" t="s">
        <v>191</v>
      </c>
      <c r="B43" s="13" t="s">
        <v>176</v>
      </c>
      <c r="C43" s="13" t="n">
        <v>0</v>
      </c>
      <c r="D43" s="13" t="n">
        <v>0</v>
      </c>
      <c r="E43" s="13" t="n">
        <v>0</v>
      </c>
      <c r="F43" s="13" t="n">
        <v>0</v>
      </c>
      <c r="G43" s="17" t="n">
        <v>0</v>
      </c>
      <c r="H43" s="13" t="n">
        <v>1</v>
      </c>
      <c r="I43" s="13" t="n">
        <v>0</v>
      </c>
      <c r="J43" s="13" t="n">
        <v>0</v>
      </c>
      <c r="K43" s="13" t="n">
        <v>0</v>
      </c>
      <c r="L43" s="17" t="n">
        <v>0</v>
      </c>
      <c r="M43" s="18" t="n">
        <f aca="false">IF(H43=0,"",I43/H43)</f>
        <v>0</v>
      </c>
    </row>
    <row r="44" customFormat="false" ht="15" hidden="false" customHeight="false" outlineLevel="0" collapsed="false">
      <c r="A44" s="13" t="s">
        <v>192</v>
      </c>
      <c r="B44" s="13" t="s">
        <v>176</v>
      </c>
      <c r="C44" s="13" t="n">
        <v>0</v>
      </c>
      <c r="D44" s="13" t="n">
        <v>0</v>
      </c>
      <c r="E44" s="13" t="n">
        <v>0</v>
      </c>
      <c r="F44" s="13" t="n">
        <v>0</v>
      </c>
      <c r="G44" s="17" t="n">
        <v>0</v>
      </c>
      <c r="H44" s="13" t="n">
        <v>1</v>
      </c>
      <c r="I44" s="13" t="n">
        <v>0</v>
      </c>
      <c r="J44" s="13" t="n">
        <v>0</v>
      </c>
      <c r="K44" s="13" t="n">
        <v>0</v>
      </c>
      <c r="L44" s="17" t="n">
        <v>0</v>
      </c>
      <c r="M44" s="18" t="n">
        <f aca="false">IF(H44=0,"",I44/H44)</f>
        <v>0</v>
      </c>
    </row>
    <row r="45" customFormat="false" ht="15" hidden="false" customHeight="false" outlineLevel="0" collapsed="false">
      <c r="A45" s="13" t="s">
        <v>193</v>
      </c>
      <c r="B45" s="13" t="s">
        <v>176</v>
      </c>
      <c r="C45" s="13" t="n">
        <v>0</v>
      </c>
      <c r="D45" s="13" t="n">
        <v>0</v>
      </c>
      <c r="E45" s="13" t="n">
        <v>0</v>
      </c>
      <c r="F45" s="13" t="n">
        <v>0</v>
      </c>
      <c r="G45" s="17" t="n">
        <v>0</v>
      </c>
      <c r="H45" s="13" t="n">
        <v>1</v>
      </c>
      <c r="I45" s="13" t="n">
        <v>0</v>
      </c>
      <c r="J45" s="13" t="n">
        <v>0</v>
      </c>
      <c r="K45" s="13" t="n">
        <v>0</v>
      </c>
      <c r="L45" s="17" t="n">
        <v>0</v>
      </c>
      <c r="M45" s="18" t="n">
        <f aca="false">IF(H45=0,"",I45/H45)</f>
        <v>0</v>
      </c>
    </row>
    <row r="46" customFormat="false" ht="15" hidden="false" customHeight="false" outlineLevel="0" collapsed="false">
      <c r="A46" s="13" t="s">
        <v>194</v>
      </c>
      <c r="B46" s="13" t="s">
        <v>176</v>
      </c>
      <c r="C46" s="13" t="n">
        <v>0</v>
      </c>
      <c r="D46" s="13" t="n">
        <v>0</v>
      </c>
      <c r="E46" s="13" t="n">
        <v>0</v>
      </c>
      <c r="F46" s="13" t="n">
        <v>0</v>
      </c>
      <c r="G46" s="17" t="n">
        <v>0</v>
      </c>
      <c r="H46" s="13" t="n">
        <v>1</v>
      </c>
      <c r="I46" s="13" t="n">
        <v>0</v>
      </c>
      <c r="J46" s="13" t="n">
        <v>0</v>
      </c>
      <c r="K46" s="13" t="n">
        <v>0</v>
      </c>
      <c r="L46" s="17" t="n">
        <v>0</v>
      </c>
      <c r="M46" s="18" t="n">
        <f aca="false">IF(H46=0,"",I46/H46)</f>
        <v>0</v>
      </c>
    </row>
    <row r="47" customFormat="false" ht="15" hidden="false" customHeight="false" outlineLevel="0" collapsed="false">
      <c r="A47" s="13" t="s">
        <v>195</v>
      </c>
      <c r="B47" s="13" t="s">
        <v>176</v>
      </c>
      <c r="C47" s="13" t="n">
        <v>0</v>
      </c>
      <c r="D47" s="13" t="n">
        <v>0</v>
      </c>
      <c r="E47" s="13" t="n">
        <v>0</v>
      </c>
      <c r="F47" s="13" t="n">
        <v>0</v>
      </c>
      <c r="G47" s="17" t="n">
        <v>0</v>
      </c>
      <c r="H47" s="13" t="n">
        <v>1</v>
      </c>
      <c r="I47" s="13" t="n">
        <v>0</v>
      </c>
      <c r="J47" s="13" t="n">
        <v>0</v>
      </c>
      <c r="K47" s="13" t="n">
        <v>0</v>
      </c>
      <c r="L47" s="17" t="n">
        <v>0</v>
      </c>
      <c r="M47" s="18" t="n">
        <f aca="false">IF(H47=0,"",I47/H47)</f>
        <v>0</v>
      </c>
    </row>
    <row r="48" customFormat="false" ht="15" hidden="false" customHeight="false" outlineLevel="0" collapsed="false">
      <c r="A48" s="13" t="s">
        <v>91</v>
      </c>
      <c r="B48" s="13" t="s">
        <v>170</v>
      </c>
      <c r="C48" s="13" t="n">
        <v>0</v>
      </c>
      <c r="D48" s="13" t="n">
        <v>0</v>
      </c>
      <c r="E48" s="13" t="n">
        <v>0</v>
      </c>
      <c r="F48" s="13" t="n">
        <v>0</v>
      </c>
      <c r="G48" s="17" t="n">
        <v>0</v>
      </c>
      <c r="H48" s="13" t="n">
        <v>2</v>
      </c>
      <c r="I48" s="13" t="n">
        <v>2</v>
      </c>
      <c r="J48" s="13" t="n">
        <v>0</v>
      </c>
      <c r="K48" s="13" t="n">
        <v>0</v>
      </c>
      <c r="L48" s="17" t="n">
        <v>0</v>
      </c>
      <c r="M48" s="18" t="n">
        <f aca="false">IF(H48=0,"",I48/H48)</f>
        <v>1</v>
      </c>
    </row>
    <row r="49" customFormat="false" ht="15" hidden="false" customHeight="false" outlineLevel="0" collapsed="false">
      <c r="A49" s="13" t="s">
        <v>91</v>
      </c>
      <c r="B49" s="13" t="s">
        <v>172</v>
      </c>
      <c r="C49" s="13" t="n">
        <v>0</v>
      </c>
      <c r="D49" s="13" t="n">
        <v>0</v>
      </c>
      <c r="E49" s="13" t="n">
        <v>0</v>
      </c>
      <c r="F49" s="13" t="n">
        <v>0</v>
      </c>
      <c r="G49" s="17" t="n">
        <v>0</v>
      </c>
      <c r="H49" s="13" t="n">
        <v>7</v>
      </c>
      <c r="I49" s="13" t="n">
        <v>0</v>
      </c>
      <c r="J49" s="13" t="n">
        <v>6</v>
      </c>
      <c r="K49" s="13" t="n">
        <v>0</v>
      </c>
      <c r="L49" s="17" t="n">
        <v>0.0100152</v>
      </c>
      <c r="M49" s="18" t="n">
        <f aca="false">IF(H49=0,"",I49/H49)</f>
        <v>0</v>
      </c>
    </row>
    <row r="50" customFormat="false" ht="15" hidden="false" customHeight="false" outlineLevel="0" collapsed="false">
      <c r="A50" s="13" t="s">
        <v>91</v>
      </c>
      <c r="B50" s="13" t="s">
        <v>173</v>
      </c>
      <c r="C50" s="13" t="n">
        <v>0</v>
      </c>
      <c r="D50" s="13" t="n">
        <v>0</v>
      </c>
      <c r="E50" s="13" t="n">
        <v>0</v>
      </c>
      <c r="F50" s="13" t="n">
        <v>0</v>
      </c>
      <c r="G50" s="17" t="n">
        <v>0</v>
      </c>
      <c r="H50" s="13" t="n">
        <v>3</v>
      </c>
      <c r="I50" s="13" t="n">
        <v>2</v>
      </c>
      <c r="J50" s="13" t="n">
        <v>1</v>
      </c>
      <c r="K50" s="13" t="n">
        <v>0</v>
      </c>
      <c r="L50" s="17" t="n">
        <v>0.0054524</v>
      </c>
      <c r="M50" s="18" t="n">
        <f aca="false">IF(H50=0,"",I50/H50)</f>
        <v>0.666666666666667</v>
      </c>
    </row>
    <row r="51" customFormat="false" ht="15" hidden="false" customHeight="false" outlineLevel="0" collapsed="false">
      <c r="A51" s="13" t="s">
        <v>91</v>
      </c>
      <c r="B51" s="13" t="s">
        <v>174</v>
      </c>
      <c r="C51" s="13" t="n">
        <v>0</v>
      </c>
      <c r="D51" s="13" t="n">
        <v>0</v>
      </c>
      <c r="E51" s="13" t="n">
        <v>0</v>
      </c>
      <c r="F51" s="13" t="n">
        <v>0</v>
      </c>
      <c r="G51" s="17" t="n">
        <v>0</v>
      </c>
      <c r="H51" s="13" t="n">
        <v>4</v>
      </c>
      <c r="I51" s="13" t="n">
        <v>4</v>
      </c>
      <c r="J51" s="13" t="n">
        <v>0</v>
      </c>
      <c r="K51" s="13" t="n">
        <v>0</v>
      </c>
      <c r="L51" s="17" t="n">
        <v>0.00092112</v>
      </c>
      <c r="M51" s="18" t="n">
        <f aca="false">IF(H51=0,"",I51/H51)</f>
        <v>1</v>
      </c>
    </row>
    <row r="52" customFormat="false" ht="15" hidden="false" customHeight="false" outlineLevel="0" collapsed="false">
      <c r="A52" s="13" t="s">
        <v>91</v>
      </c>
      <c r="B52" s="13" t="s">
        <v>175</v>
      </c>
      <c r="C52" s="13" t="n">
        <v>0</v>
      </c>
      <c r="D52" s="13" t="n">
        <v>0</v>
      </c>
      <c r="E52" s="13" t="n">
        <v>0</v>
      </c>
      <c r="F52" s="13" t="n">
        <v>0</v>
      </c>
      <c r="G52" s="17" t="n">
        <v>0</v>
      </c>
      <c r="H52" s="13" t="n">
        <v>6</v>
      </c>
      <c r="I52" s="13" t="n">
        <v>0</v>
      </c>
      <c r="J52" s="13" t="n">
        <v>0</v>
      </c>
      <c r="K52" s="13" t="n">
        <v>6</v>
      </c>
      <c r="L52" s="17" t="n">
        <v>0</v>
      </c>
      <c r="M52" s="18" t="n">
        <f aca="false">IF(H52=0,"",I52/H52)</f>
        <v>0</v>
      </c>
    </row>
    <row r="53" customFormat="false" ht="15" hidden="false" customHeight="false" outlineLevel="0" collapsed="false">
      <c r="A53" s="13" t="s">
        <v>91</v>
      </c>
      <c r="B53" s="13" t="s">
        <v>176</v>
      </c>
      <c r="C53" s="13" t="n">
        <v>0</v>
      </c>
      <c r="D53" s="13" t="n">
        <v>0</v>
      </c>
      <c r="E53" s="13" t="n">
        <v>0</v>
      </c>
      <c r="F53" s="13" t="n">
        <v>0</v>
      </c>
      <c r="G53" s="17" t="n">
        <v>0</v>
      </c>
      <c r="H53" s="13" t="n">
        <v>5</v>
      </c>
      <c r="I53" s="13" t="n">
        <v>0</v>
      </c>
      <c r="J53" s="13" t="n">
        <v>0</v>
      </c>
      <c r="K53" s="13" t="n">
        <v>0</v>
      </c>
      <c r="L53" s="17" t="n">
        <v>0</v>
      </c>
      <c r="M53" s="18" t="n">
        <f aca="false">IF(H53=0,"",I53/H53)</f>
        <v>0</v>
      </c>
    </row>
    <row r="54" customFormat="false" ht="15" hidden="false" customHeight="false" outlineLevel="0" collapsed="false">
      <c r="A54" s="13" t="s">
        <v>196</v>
      </c>
      <c r="B54" s="13" t="s">
        <v>176</v>
      </c>
      <c r="C54" s="13" t="n">
        <v>0</v>
      </c>
      <c r="D54" s="13" t="n">
        <v>0</v>
      </c>
      <c r="E54" s="13" t="n">
        <v>0</v>
      </c>
      <c r="F54" s="13" t="n">
        <v>0</v>
      </c>
      <c r="G54" s="17" t="n">
        <v>0</v>
      </c>
      <c r="H54" s="13" t="n">
        <v>1</v>
      </c>
      <c r="I54" s="13" t="n">
        <v>0</v>
      </c>
      <c r="J54" s="13" t="n">
        <v>0</v>
      </c>
      <c r="K54" s="13" t="n">
        <v>0</v>
      </c>
      <c r="L54" s="17" t="n">
        <v>0</v>
      </c>
      <c r="M54" s="18" t="n">
        <f aca="false">IF(H54=0,"",I54/H54)</f>
        <v>0</v>
      </c>
    </row>
    <row r="55" customFormat="false" ht="15" hidden="false" customHeight="false" outlineLevel="0" collapsed="false">
      <c r="A55" s="13" t="s">
        <v>197</v>
      </c>
      <c r="B55" s="13" t="s">
        <v>176</v>
      </c>
      <c r="C55" s="13" t="n">
        <v>0</v>
      </c>
      <c r="D55" s="13" t="n">
        <v>0</v>
      </c>
      <c r="E55" s="13" t="n">
        <v>0</v>
      </c>
      <c r="F55" s="13" t="n">
        <v>0</v>
      </c>
      <c r="G55" s="17" t="n">
        <v>0</v>
      </c>
      <c r="H55" s="13" t="n">
        <v>1</v>
      </c>
      <c r="I55" s="13" t="n">
        <v>0</v>
      </c>
      <c r="J55" s="13" t="n">
        <v>0</v>
      </c>
      <c r="K55" s="13" t="n">
        <v>0</v>
      </c>
      <c r="L55" s="17" t="n">
        <v>0</v>
      </c>
      <c r="M55" s="18" t="n">
        <f aca="false">IF(H55=0,"",I55/H55)</f>
        <v>0</v>
      </c>
    </row>
    <row r="56" customFormat="false" ht="15" hidden="false" customHeight="false" outlineLevel="0" collapsed="false">
      <c r="A56" s="13" t="s">
        <v>198</v>
      </c>
      <c r="B56" s="13" t="s">
        <v>176</v>
      </c>
      <c r="C56" s="13" t="n">
        <v>0</v>
      </c>
      <c r="D56" s="13" t="n">
        <v>0</v>
      </c>
      <c r="E56" s="13" t="n">
        <v>0</v>
      </c>
      <c r="F56" s="13" t="n">
        <v>0</v>
      </c>
      <c r="G56" s="17" t="n">
        <v>0</v>
      </c>
      <c r="H56" s="13" t="n">
        <v>1</v>
      </c>
      <c r="I56" s="13" t="n">
        <v>0</v>
      </c>
      <c r="J56" s="13" t="n">
        <v>0</v>
      </c>
      <c r="K56" s="13" t="n">
        <v>0</v>
      </c>
      <c r="L56" s="17" t="n">
        <v>0</v>
      </c>
      <c r="M56" s="18" t="n">
        <f aca="false">IF(H56=0,"",I56/H56)</f>
        <v>0</v>
      </c>
    </row>
    <row r="57" customFormat="false" ht="15" hidden="false" customHeight="false" outlineLevel="0" collapsed="false">
      <c r="A57" s="13" t="s">
        <v>133</v>
      </c>
      <c r="B57" s="13" t="s">
        <v>172</v>
      </c>
      <c r="C57" s="13" t="n">
        <v>0</v>
      </c>
      <c r="D57" s="13" t="n">
        <v>0</v>
      </c>
      <c r="E57" s="13" t="n">
        <v>0</v>
      </c>
      <c r="F57" s="13" t="n">
        <v>0</v>
      </c>
      <c r="G57" s="17" t="n">
        <v>0</v>
      </c>
      <c r="H57" s="13" t="n">
        <v>22</v>
      </c>
      <c r="I57" s="13" t="n">
        <v>9</v>
      </c>
      <c r="J57" s="13" t="n">
        <v>13</v>
      </c>
      <c r="K57" s="13" t="n">
        <v>0</v>
      </c>
      <c r="L57" s="17" t="n">
        <v>0.0135584</v>
      </c>
      <c r="M57" s="18" t="n">
        <f aca="false">IF(H57=0,"",I57/H57)</f>
        <v>0.409090909090909</v>
      </c>
    </row>
    <row r="58" customFormat="false" ht="15" hidden="false" customHeight="false" outlineLevel="0" collapsed="false">
      <c r="A58" s="13" t="s">
        <v>133</v>
      </c>
      <c r="B58" s="13" t="s">
        <v>173</v>
      </c>
      <c r="C58" s="13" t="n">
        <v>0</v>
      </c>
      <c r="D58" s="13" t="n">
        <v>0</v>
      </c>
      <c r="E58" s="13" t="n">
        <v>0</v>
      </c>
      <c r="F58" s="13" t="n">
        <v>0</v>
      </c>
      <c r="G58" s="17" t="n">
        <v>0</v>
      </c>
      <c r="H58" s="13" t="n">
        <v>38</v>
      </c>
      <c r="I58" s="13" t="n">
        <v>0</v>
      </c>
      <c r="J58" s="13" t="n">
        <v>38</v>
      </c>
      <c r="K58" s="13" t="n">
        <v>0</v>
      </c>
      <c r="L58" s="17" t="n">
        <v>0</v>
      </c>
      <c r="M58" s="18" t="n">
        <f aca="false">IF(H58=0,"",I58/H58)</f>
        <v>0</v>
      </c>
    </row>
    <row r="59" customFormat="false" ht="15" hidden="false" customHeight="false" outlineLevel="0" collapsed="false">
      <c r="A59" s="13" t="s">
        <v>133</v>
      </c>
      <c r="B59" s="13" t="s">
        <v>176</v>
      </c>
      <c r="C59" s="13" t="n">
        <v>0</v>
      </c>
      <c r="D59" s="13" t="n">
        <v>0</v>
      </c>
      <c r="E59" s="13" t="n">
        <v>0</v>
      </c>
      <c r="F59" s="13" t="n">
        <v>0</v>
      </c>
      <c r="G59" s="17" t="n">
        <v>0</v>
      </c>
      <c r="H59" s="13" t="n">
        <v>12</v>
      </c>
      <c r="I59" s="13" t="n">
        <v>0</v>
      </c>
      <c r="J59" s="13" t="n">
        <v>0</v>
      </c>
      <c r="K59" s="13" t="n">
        <v>0</v>
      </c>
      <c r="L59" s="17" t="n">
        <v>0</v>
      </c>
      <c r="M59" s="18" t="n">
        <f aca="false">IF(H59=0,"",I59/H59)</f>
        <v>0</v>
      </c>
    </row>
    <row r="60" customFormat="false" ht="15" hidden="false" customHeight="false" outlineLevel="0" collapsed="false">
      <c r="A60" s="13" t="s">
        <v>199</v>
      </c>
      <c r="B60" s="13" t="s">
        <v>176</v>
      </c>
      <c r="C60" s="13" t="n">
        <v>0</v>
      </c>
      <c r="D60" s="13" t="n">
        <v>0</v>
      </c>
      <c r="E60" s="13" t="n">
        <v>0</v>
      </c>
      <c r="F60" s="13" t="n">
        <v>0</v>
      </c>
      <c r="G60" s="17" t="n">
        <v>0</v>
      </c>
      <c r="H60" s="13" t="n">
        <v>1</v>
      </c>
      <c r="I60" s="13" t="n">
        <v>0</v>
      </c>
      <c r="J60" s="13" t="n">
        <v>0</v>
      </c>
      <c r="K60" s="13" t="n">
        <v>0</v>
      </c>
      <c r="L60" s="17" t="n">
        <v>0</v>
      </c>
      <c r="M60" s="18" t="n">
        <f aca="false">IF(H60=0,"",I60/H60)</f>
        <v>0</v>
      </c>
    </row>
    <row r="61" customFormat="false" ht="15" hidden="false" customHeight="false" outlineLevel="0" collapsed="false">
      <c r="A61" s="13" t="s">
        <v>200</v>
      </c>
      <c r="B61" s="13" t="s">
        <v>176</v>
      </c>
      <c r="C61" s="13" t="n">
        <v>0</v>
      </c>
      <c r="D61" s="13" t="n">
        <v>0</v>
      </c>
      <c r="E61" s="13" t="n">
        <v>0</v>
      </c>
      <c r="F61" s="13" t="n">
        <v>0</v>
      </c>
      <c r="G61" s="17" t="n">
        <v>0</v>
      </c>
      <c r="H61" s="13" t="n">
        <v>1</v>
      </c>
      <c r="I61" s="13" t="n">
        <v>0</v>
      </c>
      <c r="J61" s="13" t="n">
        <v>0</v>
      </c>
      <c r="K61" s="13" t="n">
        <v>0</v>
      </c>
      <c r="L61" s="17" t="n">
        <v>0</v>
      </c>
      <c r="M61" s="18" t="n">
        <f aca="false">IF(H61=0,"",I61/H61)</f>
        <v>0</v>
      </c>
    </row>
    <row r="62" customFormat="false" ht="15" hidden="false" customHeight="false" outlineLevel="0" collapsed="false">
      <c r="A62" s="13" t="s">
        <v>201</v>
      </c>
      <c r="B62" s="13" t="s">
        <v>176</v>
      </c>
      <c r="C62" s="13" t="n">
        <v>0</v>
      </c>
      <c r="D62" s="13" t="n">
        <v>0</v>
      </c>
      <c r="E62" s="13" t="n">
        <v>0</v>
      </c>
      <c r="F62" s="13" t="n">
        <v>0</v>
      </c>
      <c r="G62" s="17" t="n">
        <v>0</v>
      </c>
      <c r="H62" s="13" t="n">
        <v>1</v>
      </c>
      <c r="I62" s="13" t="n">
        <v>0</v>
      </c>
      <c r="J62" s="13" t="n">
        <v>0</v>
      </c>
      <c r="K62" s="13" t="n">
        <v>0</v>
      </c>
      <c r="L62" s="17" t="n">
        <v>0</v>
      </c>
      <c r="M62" s="18" t="n">
        <f aca="false">IF(H62=0,"",I62/H62)</f>
        <v>0</v>
      </c>
    </row>
    <row r="63" customFormat="false" ht="15" hidden="false" customHeight="false" outlineLevel="0" collapsed="false">
      <c r="A63" s="13" t="s">
        <v>202</v>
      </c>
      <c r="B63" s="13" t="s">
        <v>176</v>
      </c>
      <c r="C63" s="13" t="n">
        <v>0</v>
      </c>
      <c r="D63" s="13" t="n">
        <v>0</v>
      </c>
      <c r="E63" s="13" t="n">
        <v>0</v>
      </c>
      <c r="F63" s="13" t="n">
        <v>0</v>
      </c>
      <c r="G63" s="17" t="n">
        <v>0</v>
      </c>
      <c r="H63" s="13" t="n">
        <v>1</v>
      </c>
      <c r="I63" s="13" t="n">
        <v>0</v>
      </c>
      <c r="J63" s="13" t="n">
        <v>0</v>
      </c>
      <c r="K63" s="13" t="n">
        <v>0</v>
      </c>
      <c r="L63" s="17" t="n">
        <v>0</v>
      </c>
      <c r="M63" s="18" t="n">
        <f aca="false">IF(H63=0,"",I63/H63)</f>
        <v>0</v>
      </c>
    </row>
    <row r="64" customFormat="false" ht="15" hidden="false" customHeight="false" outlineLevel="0" collapsed="false">
      <c r="A64" s="13" t="s">
        <v>203</v>
      </c>
      <c r="B64" s="13" t="s">
        <v>176</v>
      </c>
      <c r="C64" s="13" t="n">
        <v>0</v>
      </c>
      <c r="D64" s="13" t="n">
        <v>0</v>
      </c>
      <c r="E64" s="13" t="n">
        <v>0</v>
      </c>
      <c r="F64" s="13" t="n">
        <v>0</v>
      </c>
      <c r="G64" s="17" t="n">
        <v>0</v>
      </c>
      <c r="H64" s="13" t="n">
        <v>1</v>
      </c>
      <c r="I64" s="13" t="n">
        <v>0</v>
      </c>
      <c r="J64" s="13" t="n">
        <v>0</v>
      </c>
      <c r="K64" s="13" t="n">
        <v>0</v>
      </c>
      <c r="L64" s="17" t="n">
        <v>0</v>
      </c>
      <c r="M64" s="18" t="n">
        <f aca="false">IF(H64=0,"",I64/H64)</f>
        <v>0</v>
      </c>
    </row>
    <row r="65" customFormat="false" ht="15" hidden="false" customHeight="false" outlineLevel="0" collapsed="false">
      <c r="A65" s="13" t="s">
        <v>204</v>
      </c>
      <c r="B65" s="13" t="s">
        <v>176</v>
      </c>
      <c r="C65" s="13" t="n">
        <v>0</v>
      </c>
      <c r="D65" s="13" t="n">
        <v>0</v>
      </c>
      <c r="E65" s="13" t="n">
        <v>0</v>
      </c>
      <c r="F65" s="13" t="n">
        <v>0</v>
      </c>
      <c r="G65" s="17" t="n">
        <v>0</v>
      </c>
      <c r="H65" s="13" t="n">
        <v>1</v>
      </c>
      <c r="I65" s="13" t="n">
        <v>0</v>
      </c>
      <c r="J65" s="13" t="n">
        <v>0</v>
      </c>
      <c r="K65" s="13" t="n">
        <v>0</v>
      </c>
      <c r="L65" s="17" t="n">
        <v>0</v>
      </c>
      <c r="M65" s="18" t="n">
        <f aca="false">IF(H65=0,"",I65/H65)</f>
        <v>0</v>
      </c>
    </row>
    <row r="66" customFormat="false" ht="15" hidden="false" customHeight="false" outlineLevel="0" collapsed="false">
      <c r="A66" s="13" t="s">
        <v>113</v>
      </c>
      <c r="B66" s="13" t="s">
        <v>169</v>
      </c>
      <c r="C66" s="13" t="n">
        <v>0</v>
      </c>
      <c r="D66" s="13" t="n">
        <v>0</v>
      </c>
      <c r="E66" s="13" t="n">
        <v>0</v>
      </c>
      <c r="F66" s="13" t="n">
        <v>0</v>
      </c>
      <c r="G66" s="17" t="n">
        <v>0</v>
      </c>
      <c r="H66" s="13" t="n">
        <v>23</v>
      </c>
      <c r="I66" s="13" t="n">
        <v>0</v>
      </c>
      <c r="J66" s="13" t="n">
        <v>21</v>
      </c>
      <c r="K66" s="13" t="n">
        <v>46</v>
      </c>
      <c r="L66" s="17" t="n">
        <v>0</v>
      </c>
      <c r="M66" s="18" t="n">
        <f aca="false">IF(H66=0,"",I66/H66)</f>
        <v>0</v>
      </c>
    </row>
    <row r="67" customFormat="false" ht="15" hidden="false" customHeight="false" outlineLevel="0" collapsed="false">
      <c r="A67" s="13" t="s">
        <v>113</v>
      </c>
      <c r="B67" s="13" t="s">
        <v>170</v>
      </c>
      <c r="C67" s="13" t="n">
        <v>0</v>
      </c>
      <c r="D67" s="13" t="n">
        <v>0</v>
      </c>
      <c r="E67" s="13" t="n">
        <v>0</v>
      </c>
      <c r="F67" s="13" t="n">
        <v>0</v>
      </c>
      <c r="G67" s="17" t="n">
        <v>0</v>
      </c>
      <c r="H67" s="13" t="n">
        <v>28</v>
      </c>
      <c r="I67" s="13" t="n">
        <v>3</v>
      </c>
      <c r="J67" s="13" t="n">
        <v>0</v>
      </c>
      <c r="K67" s="13" t="n">
        <v>7</v>
      </c>
      <c r="L67" s="17" t="n">
        <v>0</v>
      </c>
      <c r="M67" s="18" t="n">
        <f aca="false">IF(H67=0,"",I67/H67)</f>
        <v>0.107142857142857</v>
      </c>
    </row>
    <row r="68" customFormat="false" ht="15" hidden="false" customHeight="false" outlineLevel="0" collapsed="false">
      <c r="A68" s="13" t="s">
        <v>113</v>
      </c>
      <c r="B68" s="13" t="s">
        <v>171</v>
      </c>
      <c r="C68" s="13" t="n">
        <v>0</v>
      </c>
      <c r="D68" s="13" t="n">
        <v>0</v>
      </c>
      <c r="E68" s="13" t="n">
        <v>0</v>
      </c>
      <c r="F68" s="13" t="n">
        <v>0</v>
      </c>
      <c r="G68" s="17" t="n">
        <v>0</v>
      </c>
      <c r="H68" s="13" t="n">
        <v>23</v>
      </c>
      <c r="I68" s="13" t="n">
        <v>0</v>
      </c>
      <c r="J68" s="13" t="n">
        <v>18</v>
      </c>
      <c r="K68" s="13" t="n">
        <v>0</v>
      </c>
      <c r="L68" s="17" t="n">
        <v>0.00279909</v>
      </c>
      <c r="M68" s="18" t="n">
        <f aca="false">IF(H68=0,"",I68/H68)</f>
        <v>0</v>
      </c>
    </row>
    <row r="69" customFormat="false" ht="15" hidden="false" customHeight="false" outlineLevel="0" collapsed="false">
      <c r="A69" s="13" t="s">
        <v>113</v>
      </c>
      <c r="B69" s="13" t="s">
        <v>172</v>
      </c>
      <c r="C69" s="13" t="n">
        <v>0</v>
      </c>
      <c r="D69" s="13" t="n">
        <v>0</v>
      </c>
      <c r="E69" s="13" t="n">
        <v>0</v>
      </c>
      <c r="F69" s="13" t="n">
        <v>0</v>
      </c>
      <c r="G69" s="17" t="n">
        <v>0</v>
      </c>
      <c r="H69" s="13" t="n">
        <v>166</v>
      </c>
      <c r="I69" s="13" t="n">
        <v>8</v>
      </c>
      <c r="J69" s="13" t="n">
        <v>155</v>
      </c>
      <c r="K69" s="13" t="n">
        <v>0</v>
      </c>
      <c r="L69" s="17" t="n">
        <v>0.123994666666667</v>
      </c>
      <c r="M69" s="18" t="n">
        <f aca="false">IF(H69=0,"",I69/H69)</f>
        <v>0.0481927710843374</v>
      </c>
    </row>
    <row r="70" customFormat="false" ht="15" hidden="false" customHeight="false" outlineLevel="0" collapsed="false">
      <c r="A70" s="13" t="s">
        <v>113</v>
      </c>
      <c r="B70" s="13" t="s">
        <v>173</v>
      </c>
      <c r="C70" s="13" t="n">
        <v>0</v>
      </c>
      <c r="D70" s="13" t="n">
        <v>0</v>
      </c>
      <c r="E70" s="13" t="n">
        <v>0</v>
      </c>
      <c r="F70" s="13" t="n">
        <v>0</v>
      </c>
      <c r="G70" s="17" t="n">
        <v>0</v>
      </c>
      <c r="H70" s="13" t="n">
        <v>16</v>
      </c>
      <c r="I70" s="13" t="n">
        <v>2</v>
      </c>
      <c r="J70" s="13" t="n">
        <v>14</v>
      </c>
      <c r="K70" s="13" t="n">
        <v>0</v>
      </c>
      <c r="L70" s="17" t="n">
        <v>0.0312716</v>
      </c>
      <c r="M70" s="18" t="n">
        <f aca="false">IF(H70=0,"",I70/H70)</f>
        <v>0.125</v>
      </c>
    </row>
    <row r="71" customFormat="false" ht="15" hidden="false" customHeight="false" outlineLevel="0" collapsed="false">
      <c r="A71" s="13" t="s">
        <v>113</v>
      </c>
      <c r="B71" s="13" t="s">
        <v>175</v>
      </c>
      <c r="C71" s="13" t="n">
        <v>0</v>
      </c>
      <c r="D71" s="13" t="n">
        <v>0</v>
      </c>
      <c r="E71" s="13" t="n">
        <v>0</v>
      </c>
      <c r="F71" s="13" t="n">
        <v>0</v>
      </c>
      <c r="G71" s="17" t="n">
        <v>0</v>
      </c>
      <c r="H71" s="13" t="n">
        <v>25</v>
      </c>
      <c r="I71" s="13" t="n">
        <v>0</v>
      </c>
      <c r="J71" s="13" t="n">
        <v>0</v>
      </c>
      <c r="K71" s="13" t="n">
        <v>25</v>
      </c>
      <c r="L71" s="17" t="n">
        <v>0</v>
      </c>
      <c r="M71" s="18" t="n">
        <f aca="false">IF(H71=0,"",I71/H71)</f>
        <v>0</v>
      </c>
    </row>
    <row r="72" customFormat="false" ht="15" hidden="false" customHeight="false" outlineLevel="0" collapsed="false">
      <c r="A72" s="13" t="s">
        <v>113</v>
      </c>
      <c r="B72" s="13" t="s">
        <v>176</v>
      </c>
      <c r="C72" s="13" t="n">
        <v>0</v>
      </c>
      <c r="D72" s="13" t="n">
        <v>0</v>
      </c>
      <c r="E72" s="13" t="n">
        <v>0</v>
      </c>
      <c r="F72" s="13" t="n">
        <v>0</v>
      </c>
      <c r="G72" s="17" t="n">
        <v>0</v>
      </c>
      <c r="H72" s="13" t="n">
        <v>66</v>
      </c>
      <c r="I72" s="13" t="n">
        <v>0</v>
      </c>
      <c r="J72" s="13" t="n">
        <v>0</v>
      </c>
      <c r="K72" s="13" t="n">
        <v>0</v>
      </c>
      <c r="L72" s="17" t="n">
        <v>0</v>
      </c>
      <c r="M72" s="18" t="n">
        <f aca="false">IF(H72=0,"",I72/H72)</f>
        <v>0</v>
      </c>
    </row>
    <row r="73" customFormat="false" ht="15" hidden="false" customHeight="false" outlineLevel="0" collapsed="false">
      <c r="A73" s="13" t="s">
        <v>205</v>
      </c>
      <c r="B73" s="13" t="s">
        <v>176</v>
      </c>
      <c r="C73" s="13" t="n">
        <v>0</v>
      </c>
      <c r="D73" s="13" t="n">
        <v>0</v>
      </c>
      <c r="E73" s="13" t="n">
        <v>0</v>
      </c>
      <c r="F73" s="13" t="n">
        <v>0</v>
      </c>
      <c r="G73" s="17" t="n">
        <v>0</v>
      </c>
      <c r="H73" s="13" t="n">
        <v>1</v>
      </c>
      <c r="I73" s="13" t="n">
        <v>0</v>
      </c>
      <c r="J73" s="13" t="n">
        <v>0</v>
      </c>
      <c r="K73" s="13" t="n">
        <v>0</v>
      </c>
      <c r="L73" s="17" t="n">
        <v>0</v>
      </c>
      <c r="M73" s="18" t="n">
        <f aca="false">IF(H73=0,"",I73/H73)</f>
        <v>0</v>
      </c>
    </row>
    <row r="74" customFormat="false" ht="15" hidden="false" customHeight="false" outlineLevel="0" collapsed="false">
      <c r="A74" s="13" t="s">
        <v>206</v>
      </c>
      <c r="B74" s="13" t="s">
        <v>176</v>
      </c>
      <c r="C74" s="13" t="n">
        <v>0</v>
      </c>
      <c r="D74" s="13" t="n">
        <v>0</v>
      </c>
      <c r="E74" s="13" t="n">
        <v>0</v>
      </c>
      <c r="F74" s="13" t="n">
        <v>0</v>
      </c>
      <c r="G74" s="17" t="n">
        <v>0</v>
      </c>
      <c r="H74" s="13" t="n">
        <v>1</v>
      </c>
      <c r="I74" s="13" t="n">
        <v>0</v>
      </c>
      <c r="J74" s="13" t="n">
        <v>0</v>
      </c>
      <c r="K74" s="13" t="n">
        <v>0</v>
      </c>
      <c r="L74" s="17" t="n">
        <v>0</v>
      </c>
      <c r="M74" s="18" t="n">
        <f aca="false">IF(H74=0,"",I74/H74)</f>
        <v>0</v>
      </c>
    </row>
    <row r="75" customFormat="false" ht="15" hidden="false" customHeight="false" outlineLevel="0" collapsed="false">
      <c r="A75" s="13" t="s">
        <v>117</v>
      </c>
      <c r="B75" s="13" t="s">
        <v>169</v>
      </c>
      <c r="C75" s="13" t="n">
        <v>0</v>
      </c>
      <c r="D75" s="13" t="n">
        <v>0</v>
      </c>
      <c r="E75" s="13" t="n">
        <v>0</v>
      </c>
      <c r="F75" s="13" t="n">
        <v>0</v>
      </c>
      <c r="G75" s="17" t="n">
        <v>0</v>
      </c>
      <c r="H75" s="13" t="n">
        <v>27</v>
      </c>
      <c r="I75" s="13" t="n">
        <v>0</v>
      </c>
      <c r="J75" s="13" t="n">
        <v>27</v>
      </c>
      <c r="K75" s="13" t="n">
        <v>54</v>
      </c>
      <c r="L75" s="17" t="n">
        <v>0</v>
      </c>
      <c r="M75" s="18" t="n">
        <f aca="false">IF(H75=0,"",I75/H75)</f>
        <v>0</v>
      </c>
    </row>
    <row r="76" customFormat="false" ht="15" hidden="false" customHeight="false" outlineLevel="0" collapsed="false">
      <c r="A76" s="13" t="s">
        <v>117</v>
      </c>
      <c r="B76" s="13" t="s">
        <v>170</v>
      </c>
      <c r="C76" s="13" t="n">
        <v>0</v>
      </c>
      <c r="D76" s="13" t="n">
        <v>0</v>
      </c>
      <c r="E76" s="13" t="n">
        <v>0</v>
      </c>
      <c r="F76" s="13" t="n">
        <v>0</v>
      </c>
      <c r="G76" s="17" t="n">
        <v>0</v>
      </c>
      <c r="H76" s="13" t="n">
        <v>27</v>
      </c>
      <c r="I76" s="13" t="n">
        <v>0</v>
      </c>
      <c r="J76" s="13" t="n">
        <v>0</v>
      </c>
      <c r="K76" s="13" t="n">
        <v>0</v>
      </c>
      <c r="L76" s="17" t="n">
        <v>0</v>
      </c>
      <c r="M76" s="18" t="n">
        <f aca="false">IF(H76=0,"",I76/H76)</f>
        <v>0</v>
      </c>
    </row>
    <row r="77" customFormat="false" ht="15" hidden="false" customHeight="false" outlineLevel="0" collapsed="false">
      <c r="A77" s="13" t="s">
        <v>117</v>
      </c>
      <c r="B77" s="13" t="s">
        <v>172</v>
      </c>
      <c r="C77" s="13" t="n">
        <v>0</v>
      </c>
      <c r="D77" s="13" t="n">
        <v>0</v>
      </c>
      <c r="E77" s="13" t="n">
        <v>0</v>
      </c>
      <c r="F77" s="13" t="n">
        <v>0</v>
      </c>
      <c r="G77" s="17" t="n">
        <v>0</v>
      </c>
      <c r="H77" s="13" t="n">
        <v>167</v>
      </c>
      <c r="I77" s="13" t="n">
        <v>28</v>
      </c>
      <c r="J77" s="13" t="n">
        <v>139</v>
      </c>
      <c r="K77" s="13" t="n">
        <v>0</v>
      </c>
      <c r="L77" s="17" t="n">
        <v>0.0216085333333333</v>
      </c>
      <c r="M77" s="18" t="n">
        <f aca="false">IF(H77=0,"",I77/H77)</f>
        <v>0.167664670658683</v>
      </c>
    </row>
    <row r="78" customFormat="false" ht="15" hidden="false" customHeight="false" outlineLevel="0" collapsed="false">
      <c r="A78" s="13" t="s">
        <v>117</v>
      </c>
      <c r="B78" s="13" t="s">
        <v>173</v>
      </c>
      <c r="C78" s="13" t="n">
        <v>0</v>
      </c>
      <c r="D78" s="13" t="n">
        <v>0</v>
      </c>
      <c r="E78" s="13" t="n">
        <v>0</v>
      </c>
      <c r="F78" s="13" t="n">
        <v>0</v>
      </c>
      <c r="G78" s="17" t="n">
        <v>0</v>
      </c>
      <c r="H78" s="13" t="n">
        <v>2</v>
      </c>
      <c r="I78" s="13" t="n">
        <v>1</v>
      </c>
      <c r="J78" s="13" t="n">
        <v>1</v>
      </c>
      <c r="K78" s="13" t="n">
        <v>0</v>
      </c>
      <c r="L78" s="17" t="n">
        <v>0.0117632</v>
      </c>
      <c r="M78" s="18" t="n">
        <f aca="false">IF(H78=0,"",I78/H78)</f>
        <v>0.5</v>
      </c>
    </row>
    <row r="79" customFormat="false" ht="15" hidden="false" customHeight="false" outlineLevel="0" collapsed="false">
      <c r="A79" s="13" t="s">
        <v>117</v>
      </c>
      <c r="B79" s="13" t="s">
        <v>174</v>
      </c>
      <c r="C79" s="13" t="n">
        <v>0</v>
      </c>
      <c r="D79" s="13" t="n">
        <v>0</v>
      </c>
      <c r="E79" s="13" t="n">
        <v>0</v>
      </c>
      <c r="F79" s="13" t="n">
        <v>0</v>
      </c>
      <c r="G79" s="17" t="n">
        <v>0</v>
      </c>
      <c r="H79" s="13" t="n">
        <v>10</v>
      </c>
      <c r="I79" s="13" t="n">
        <v>8</v>
      </c>
      <c r="J79" s="13" t="n">
        <v>0</v>
      </c>
      <c r="K79" s="13" t="n">
        <v>0</v>
      </c>
      <c r="L79" s="17" t="n">
        <v>0.0025695</v>
      </c>
      <c r="M79" s="18" t="n">
        <f aca="false">IF(H79=0,"",I79/H79)</f>
        <v>0.8</v>
      </c>
    </row>
    <row r="80" customFormat="false" ht="15" hidden="false" customHeight="false" outlineLevel="0" collapsed="false">
      <c r="A80" s="13" t="s">
        <v>117</v>
      </c>
      <c r="B80" s="13" t="s">
        <v>175</v>
      </c>
      <c r="C80" s="13" t="n">
        <v>0</v>
      </c>
      <c r="D80" s="13" t="n">
        <v>0</v>
      </c>
      <c r="E80" s="13" t="n">
        <v>0</v>
      </c>
      <c r="F80" s="13" t="n">
        <v>0</v>
      </c>
      <c r="G80" s="17" t="n">
        <v>0</v>
      </c>
      <c r="H80" s="13" t="n">
        <v>12</v>
      </c>
      <c r="I80" s="13" t="n">
        <v>0</v>
      </c>
      <c r="J80" s="13" t="n">
        <v>0</v>
      </c>
      <c r="K80" s="13" t="n">
        <v>12</v>
      </c>
      <c r="L80" s="17" t="n">
        <v>0</v>
      </c>
      <c r="M80" s="18" t="n">
        <f aca="false">IF(H80=0,"",I80/H80)</f>
        <v>0</v>
      </c>
    </row>
    <row r="81" customFormat="false" ht="15" hidden="false" customHeight="false" outlineLevel="0" collapsed="false">
      <c r="A81" s="13" t="s">
        <v>117</v>
      </c>
      <c r="B81" s="13" t="s">
        <v>176</v>
      </c>
      <c r="C81" s="13" t="n">
        <v>0</v>
      </c>
      <c r="D81" s="13" t="n">
        <v>0</v>
      </c>
      <c r="E81" s="13" t="n">
        <v>0</v>
      </c>
      <c r="F81" s="13" t="n">
        <v>0</v>
      </c>
      <c r="G81" s="17" t="n">
        <v>0</v>
      </c>
      <c r="H81" s="13" t="n">
        <v>47</v>
      </c>
      <c r="I81" s="13" t="n">
        <v>0</v>
      </c>
      <c r="J81" s="13" t="n">
        <v>0</v>
      </c>
      <c r="K81" s="13" t="n">
        <v>0</v>
      </c>
      <c r="L81" s="17" t="n">
        <v>0</v>
      </c>
      <c r="M81" s="18" t="n">
        <f aca="false">IF(H81=0,"",I81/H81)</f>
        <v>0</v>
      </c>
    </row>
    <row r="82" customFormat="false" ht="15" hidden="false" customHeight="false" outlineLevel="0" collapsed="false">
      <c r="A82" s="13" t="s">
        <v>207</v>
      </c>
      <c r="B82" s="13" t="s">
        <v>176</v>
      </c>
      <c r="C82" s="13" t="n">
        <v>0</v>
      </c>
      <c r="D82" s="13" t="n">
        <v>0</v>
      </c>
      <c r="E82" s="13" t="n">
        <v>0</v>
      </c>
      <c r="F82" s="13" t="n">
        <v>0</v>
      </c>
      <c r="G82" s="17" t="n">
        <v>0</v>
      </c>
      <c r="H82" s="13" t="n">
        <v>1</v>
      </c>
      <c r="I82" s="13" t="n">
        <v>0</v>
      </c>
      <c r="J82" s="13" t="n">
        <v>0</v>
      </c>
      <c r="K82" s="13" t="n">
        <v>0</v>
      </c>
      <c r="L82" s="17" t="n">
        <v>0</v>
      </c>
      <c r="M82" s="18" t="n">
        <f aca="false">IF(H82=0,"",I82/H82)</f>
        <v>0</v>
      </c>
    </row>
    <row r="83" customFormat="false" ht="15" hidden="false" customHeight="false" outlineLevel="0" collapsed="false">
      <c r="A83" s="13" t="s">
        <v>81</v>
      </c>
      <c r="B83" s="13" t="s">
        <v>169</v>
      </c>
      <c r="C83" s="13" t="n">
        <v>0</v>
      </c>
      <c r="D83" s="13" t="n">
        <v>0</v>
      </c>
      <c r="E83" s="13" t="n">
        <v>0</v>
      </c>
      <c r="F83" s="13" t="n">
        <v>0</v>
      </c>
      <c r="G83" s="17" t="n">
        <v>0</v>
      </c>
      <c r="H83" s="13" t="n">
        <v>9</v>
      </c>
      <c r="I83" s="13" t="n">
        <v>0</v>
      </c>
      <c r="J83" s="13" t="n">
        <v>0</v>
      </c>
      <c r="K83" s="13" t="n">
        <v>18</v>
      </c>
      <c r="L83" s="17" t="n">
        <v>0</v>
      </c>
      <c r="M83" s="18" t="n">
        <f aca="false">IF(H83=0,"",I83/H83)</f>
        <v>0</v>
      </c>
    </row>
    <row r="84" customFormat="false" ht="15" hidden="false" customHeight="false" outlineLevel="0" collapsed="false">
      <c r="A84" s="13" t="s">
        <v>81</v>
      </c>
      <c r="B84" s="13" t="s">
        <v>170</v>
      </c>
      <c r="C84" s="13" t="n">
        <v>0</v>
      </c>
      <c r="D84" s="13" t="n">
        <v>0</v>
      </c>
      <c r="E84" s="13" t="n">
        <v>0</v>
      </c>
      <c r="F84" s="13" t="n">
        <v>0</v>
      </c>
      <c r="G84" s="17" t="n">
        <v>0</v>
      </c>
      <c r="H84" s="13" t="n">
        <v>26</v>
      </c>
      <c r="I84" s="13" t="n">
        <v>17</v>
      </c>
      <c r="J84" s="13" t="n">
        <v>9</v>
      </c>
      <c r="K84" s="13" t="n">
        <v>0</v>
      </c>
      <c r="L84" s="17" t="n">
        <v>0</v>
      </c>
      <c r="M84" s="18" t="n">
        <f aca="false">IF(H84=0,"",I84/H84)</f>
        <v>0.653846153846154</v>
      </c>
    </row>
    <row r="85" customFormat="false" ht="15" hidden="false" customHeight="false" outlineLevel="0" collapsed="false">
      <c r="A85" s="13" t="s">
        <v>81</v>
      </c>
      <c r="B85" s="13" t="s">
        <v>172</v>
      </c>
      <c r="C85" s="13" t="n">
        <v>0</v>
      </c>
      <c r="D85" s="13" t="n">
        <v>0</v>
      </c>
      <c r="E85" s="13" t="n">
        <v>0</v>
      </c>
      <c r="F85" s="13" t="n">
        <v>0</v>
      </c>
      <c r="G85" s="17" t="n">
        <v>0</v>
      </c>
      <c r="H85" s="13" t="n">
        <v>212</v>
      </c>
      <c r="I85" s="13" t="n">
        <v>88</v>
      </c>
      <c r="J85" s="13" t="n">
        <v>124</v>
      </c>
      <c r="K85" s="13" t="n">
        <v>0</v>
      </c>
      <c r="L85" s="17" t="n">
        <v>0.13576</v>
      </c>
      <c r="M85" s="18" t="n">
        <f aca="false">IF(H85=0,"",I85/H85)</f>
        <v>0.415094339622642</v>
      </c>
    </row>
    <row r="86" customFormat="false" ht="15" hidden="false" customHeight="false" outlineLevel="0" collapsed="false">
      <c r="A86" s="13" t="s">
        <v>81</v>
      </c>
      <c r="B86" s="13" t="s">
        <v>173</v>
      </c>
      <c r="C86" s="13" t="n">
        <v>0</v>
      </c>
      <c r="D86" s="13" t="n">
        <v>0</v>
      </c>
      <c r="E86" s="13" t="n">
        <v>0</v>
      </c>
      <c r="F86" s="13" t="n">
        <v>0</v>
      </c>
      <c r="G86" s="17" t="n">
        <v>0</v>
      </c>
      <c r="H86" s="13" t="n">
        <v>74</v>
      </c>
      <c r="I86" s="13" t="n">
        <v>72</v>
      </c>
      <c r="J86" s="13" t="n">
        <v>2</v>
      </c>
      <c r="K86" s="13" t="n">
        <v>0</v>
      </c>
      <c r="L86" s="17" t="n">
        <v>0.1499612</v>
      </c>
      <c r="M86" s="18" t="n">
        <f aca="false">IF(H86=0,"",I86/H86)</f>
        <v>0.972972972972973</v>
      </c>
    </row>
    <row r="87" customFormat="false" ht="15" hidden="false" customHeight="false" outlineLevel="0" collapsed="false">
      <c r="A87" s="13" t="s">
        <v>81</v>
      </c>
      <c r="B87" s="13" t="s">
        <v>174</v>
      </c>
      <c r="C87" s="13" t="n">
        <v>0</v>
      </c>
      <c r="D87" s="13" t="n">
        <v>0</v>
      </c>
      <c r="E87" s="13" t="n">
        <v>0</v>
      </c>
      <c r="F87" s="13" t="n">
        <v>0</v>
      </c>
      <c r="G87" s="17" t="n">
        <v>0</v>
      </c>
      <c r="H87" s="13" t="n">
        <v>9</v>
      </c>
      <c r="I87" s="13" t="n">
        <v>6</v>
      </c>
      <c r="J87" s="13" t="n">
        <v>0</v>
      </c>
      <c r="K87" s="13" t="n">
        <v>0</v>
      </c>
      <c r="L87" s="17" t="n">
        <v>0.00279223</v>
      </c>
      <c r="M87" s="18" t="n">
        <f aca="false">IF(H87=0,"",I87/H87)</f>
        <v>0.666666666666667</v>
      </c>
    </row>
    <row r="88" customFormat="false" ht="15" hidden="false" customHeight="false" outlineLevel="0" collapsed="false">
      <c r="A88" s="13" t="s">
        <v>81</v>
      </c>
      <c r="B88" s="13" t="s">
        <v>175</v>
      </c>
      <c r="C88" s="13" t="n">
        <v>0</v>
      </c>
      <c r="D88" s="13" t="n">
        <v>0</v>
      </c>
      <c r="E88" s="13" t="n">
        <v>0</v>
      </c>
      <c r="F88" s="13" t="n">
        <v>0</v>
      </c>
      <c r="G88" s="17" t="n">
        <v>0</v>
      </c>
      <c r="H88" s="13" t="n">
        <v>9</v>
      </c>
      <c r="I88" s="13" t="n">
        <v>0</v>
      </c>
      <c r="J88" s="13" t="n">
        <v>0</v>
      </c>
      <c r="K88" s="13" t="n">
        <v>9</v>
      </c>
      <c r="L88" s="17" t="n">
        <v>0</v>
      </c>
      <c r="M88" s="18" t="n">
        <f aca="false">IF(H88=0,"",I88/H88)</f>
        <v>0</v>
      </c>
    </row>
    <row r="89" customFormat="false" ht="15" hidden="false" customHeight="false" outlineLevel="0" collapsed="false">
      <c r="A89" s="13" t="s">
        <v>81</v>
      </c>
      <c r="B89" s="13" t="s">
        <v>176</v>
      </c>
      <c r="C89" s="13" t="n">
        <v>0</v>
      </c>
      <c r="D89" s="13" t="n">
        <v>0</v>
      </c>
      <c r="E89" s="13" t="n">
        <v>0</v>
      </c>
      <c r="F89" s="13" t="n">
        <v>0</v>
      </c>
      <c r="G89" s="17" t="n">
        <v>0</v>
      </c>
      <c r="H89" s="13" t="n">
        <v>84</v>
      </c>
      <c r="I89" s="13" t="n">
        <v>0</v>
      </c>
      <c r="J89" s="13" t="n">
        <v>0</v>
      </c>
      <c r="K89" s="13" t="n">
        <v>0</v>
      </c>
      <c r="L89" s="17" t="n">
        <v>0</v>
      </c>
      <c r="M89" s="18" t="n">
        <f aca="false">IF(H89=0,"",I89/H89)</f>
        <v>0</v>
      </c>
    </row>
    <row r="90" customFormat="false" ht="15" hidden="false" customHeight="false" outlineLevel="0" collapsed="false">
      <c r="A90" s="13" t="s">
        <v>208</v>
      </c>
      <c r="B90" s="13" t="s">
        <v>176</v>
      </c>
      <c r="C90" s="13" t="n">
        <v>0</v>
      </c>
      <c r="D90" s="13" t="n">
        <v>0</v>
      </c>
      <c r="E90" s="13" t="n">
        <v>0</v>
      </c>
      <c r="F90" s="13" t="n">
        <v>0</v>
      </c>
      <c r="G90" s="17" t="n">
        <v>0</v>
      </c>
      <c r="H90" s="13" t="n">
        <v>1</v>
      </c>
      <c r="I90" s="13" t="n">
        <v>0</v>
      </c>
      <c r="J90" s="13" t="n">
        <v>0</v>
      </c>
      <c r="K90" s="13" t="n">
        <v>0</v>
      </c>
      <c r="L90" s="17" t="n">
        <v>0</v>
      </c>
      <c r="M90" s="18" t="n">
        <f aca="false">IF(H90=0,"",I90/H90)</f>
        <v>0</v>
      </c>
    </row>
    <row r="91" customFormat="false" ht="15" hidden="false" customHeight="false" outlineLevel="0" collapsed="false">
      <c r="A91" s="13" t="s">
        <v>71</v>
      </c>
      <c r="B91" s="13" t="s">
        <v>170</v>
      </c>
      <c r="C91" s="13" t="n">
        <v>0</v>
      </c>
      <c r="D91" s="13" t="n">
        <v>0</v>
      </c>
      <c r="E91" s="13" t="n">
        <v>0</v>
      </c>
      <c r="F91" s="13" t="n">
        <v>0</v>
      </c>
      <c r="G91" s="17" t="n">
        <v>0</v>
      </c>
      <c r="H91" s="13" t="n">
        <v>50</v>
      </c>
      <c r="I91" s="13" t="n">
        <v>50</v>
      </c>
      <c r="J91" s="13" t="n">
        <v>0</v>
      </c>
      <c r="K91" s="13" t="n">
        <v>0</v>
      </c>
      <c r="L91" s="17" t="n">
        <v>0</v>
      </c>
      <c r="M91" s="18" t="n">
        <f aca="false">IF(H91=0,"",I91/H91)</f>
        <v>1</v>
      </c>
    </row>
    <row r="92" customFormat="false" ht="15" hidden="false" customHeight="false" outlineLevel="0" collapsed="false">
      <c r="A92" s="13" t="s">
        <v>71</v>
      </c>
      <c r="B92" s="13" t="s">
        <v>172</v>
      </c>
      <c r="C92" s="13" t="n">
        <v>0</v>
      </c>
      <c r="D92" s="13" t="n">
        <v>0</v>
      </c>
      <c r="E92" s="13" t="n">
        <v>0</v>
      </c>
      <c r="F92" s="13" t="n">
        <v>0</v>
      </c>
      <c r="G92" s="17" t="n">
        <v>0</v>
      </c>
      <c r="H92" s="13" t="n">
        <v>642</v>
      </c>
      <c r="I92" s="13" t="n">
        <v>466</v>
      </c>
      <c r="J92" s="13" t="n">
        <v>162</v>
      </c>
      <c r="K92" s="13" t="n">
        <v>0</v>
      </c>
      <c r="L92" s="17" t="n">
        <v>0.2473401</v>
      </c>
      <c r="M92" s="18" t="n">
        <f aca="false">IF(H92=0,"",I92/H92)</f>
        <v>0.725856697819315</v>
      </c>
    </row>
    <row r="93" customFormat="false" ht="15" hidden="false" customHeight="false" outlineLevel="0" collapsed="false">
      <c r="A93" s="13" t="s">
        <v>71</v>
      </c>
      <c r="B93" s="13" t="s">
        <v>173</v>
      </c>
      <c r="C93" s="13" t="n">
        <v>0</v>
      </c>
      <c r="D93" s="13" t="n">
        <v>0</v>
      </c>
      <c r="E93" s="13" t="n">
        <v>0</v>
      </c>
      <c r="F93" s="13" t="n">
        <v>0</v>
      </c>
      <c r="G93" s="17" t="n">
        <v>0</v>
      </c>
      <c r="H93" s="13" t="n">
        <v>54</v>
      </c>
      <c r="I93" s="13" t="n">
        <v>38</v>
      </c>
      <c r="J93" s="13" t="n">
        <v>16</v>
      </c>
      <c r="K93" s="13" t="n">
        <v>0</v>
      </c>
      <c r="L93" s="17" t="n">
        <v>0.0776004</v>
      </c>
      <c r="M93" s="18" t="n">
        <f aca="false">IF(H93=0,"",I93/H93)</f>
        <v>0.703703703703704</v>
      </c>
    </row>
    <row r="94" customFormat="false" ht="15" hidden="false" customHeight="false" outlineLevel="0" collapsed="false">
      <c r="A94" s="13" t="s">
        <v>71</v>
      </c>
      <c r="B94" s="13" t="s">
        <v>174</v>
      </c>
      <c r="C94" s="13" t="n">
        <v>0</v>
      </c>
      <c r="D94" s="13" t="n">
        <v>0</v>
      </c>
      <c r="E94" s="13" t="n">
        <v>0</v>
      </c>
      <c r="F94" s="13" t="n">
        <v>0</v>
      </c>
      <c r="G94" s="17" t="n">
        <v>0</v>
      </c>
      <c r="H94" s="13" t="n">
        <v>19</v>
      </c>
      <c r="I94" s="13" t="n">
        <v>17</v>
      </c>
      <c r="J94" s="13" t="n">
        <v>0</v>
      </c>
      <c r="K94" s="13" t="n">
        <v>0</v>
      </c>
      <c r="L94" s="17" t="n">
        <v>0.00578265</v>
      </c>
      <c r="M94" s="18" t="n">
        <f aca="false">IF(H94=0,"",I94/H94)</f>
        <v>0.894736842105263</v>
      </c>
    </row>
    <row r="95" customFormat="false" ht="15" hidden="false" customHeight="false" outlineLevel="0" collapsed="false">
      <c r="A95" s="13" t="s">
        <v>71</v>
      </c>
      <c r="B95" s="13" t="s">
        <v>175</v>
      </c>
      <c r="C95" s="13" t="n">
        <v>0</v>
      </c>
      <c r="D95" s="13" t="n">
        <v>0</v>
      </c>
      <c r="E95" s="13" t="n">
        <v>0</v>
      </c>
      <c r="F95" s="13" t="n">
        <v>0</v>
      </c>
      <c r="G95" s="17" t="n">
        <v>0</v>
      </c>
      <c r="H95" s="13" t="n">
        <v>23</v>
      </c>
      <c r="I95" s="13" t="n">
        <v>0</v>
      </c>
      <c r="J95" s="13" t="n">
        <v>0</v>
      </c>
      <c r="K95" s="13" t="n">
        <v>24</v>
      </c>
      <c r="L95" s="17" t="n">
        <v>0</v>
      </c>
      <c r="M95" s="18" t="n">
        <f aca="false">IF(H95=0,"",I95/H95)</f>
        <v>0</v>
      </c>
    </row>
    <row r="96" customFormat="false" ht="15" hidden="false" customHeight="false" outlineLevel="0" collapsed="false">
      <c r="A96" s="13" t="s">
        <v>71</v>
      </c>
      <c r="B96" s="13" t="s">
        <v>176</v>
      </c>
      <c r="C96" s="13" t="n">
        <v>0</v>
      </c>
      <c r="D96" s="13" t="n">
        <v>0</v>
      </c>
      <c r="E96" s="13" t="n">
        <v>0</v>
      </c>
      <c r="F96" s="13" t="n">
        <v>0</v>
      </c>
      <c r="G96" s="17" t="n">
        <v>0</v>
      </c>
      <c r="H96" s="13" t="n">
        <v>112</v>
      </c>
      <c r="I96" s="13" t="n">
        <v>0</v>
      </c>
      <c r="J96" s="13" t="n">
        <v>0</v>
      </c>
      <c r="K96" s="13" t="n">
        <v>0</v>
      </c>
      <c r="L96" s="17" t="n">
        <v>0</v>
      </c>
      <c r="M96" s="18" t="n">
        <f aca="false">IF(H96=0,"",I96/H96)</f>
        <v>0</v>
      </c>
    </row>
    <row r="97" customFormat="false" ht="15" hidden="false" customHeight="false" outlineLevel="0" collapsed="false">
      <c r="A97" s="13" t="s">
        <v>209</v>
      </c>
      <c r="B97" s="13" t="s">
        <v>176</v>
      </c>
      <c r="C97" s="13" t="n">
        <v>0</v>
      </c>
      <c r="D97" s="13" t="n">
        <v>0</v>
      </c>
      <c r="E97" s="13" t="n">
        <v>0</v>
      </c>
      <c r="F97" s="13" t="n">
        <v>0</v>
      </c>
      <c r="G97" s="17" t="n">
        <v>0</v>
      </c>
      <c r="H97" s="13" t="n">
        <v>1</v>
      </c>
      <c r="I97" s="13" t="n">
        <v>0</v>
      </c>
      <c r="J97" s="13" t="n">
        <v>0</v>
      </c>
      <c r="K97" s="13" t="n">
        <v>0</v>
      </c>
      <c r="L97" s="17" t="n">
        <v>0</v>
      </c>
      <c r="M97" s="18" t="n">
        <f aca="false">IF(H97=0,"",I97/H97)</f>
        <v>0</v>
      </c>
    </row>
    <row r="98" customFormat="false" ht="15" hidden="false" customHeight="false" outlineLevel="0" collapsed="false">
      <c r="A98" s="13" t="s">
        <v>210</v>
      </c>
      <c r="B98" s="13" t="s">
        <v>176</v>
      </c>
      <c r="C98" s="13" t="n">
        <v>0</v>
      </c>
      <c r="D98" s="13" t="n">
        <v>0</v>
      </c>
      <c r="E98" s="13" t="n">
        <v>0</v>
      </c>
      <c r="F98" s="13" t="n">
        <v>0</v>
      </c>
      <c r="G98" s="17" t="n">
        <v>0</v>
      </c>
      <c r="H98" s="13" t="n">
        <v>1</v>
      </c>
      <c r="I98" s="13" t="n">
        <v>0</v>
      </c>
      <c r="J98" s="13" t="n">
        <v>0</v>
      </c>
      <c r="K98" s="13" t="n">
        <v>0</v>
      </c>
      <c r="L98" s="17" t="n">
        <v>0</v>
      </c>
      <c r="M98" s="18" t="n">
        <f aca="false">IF(H98=0,"",I98/H98)</f>
        <v>0</v>
      </c>
    </row>
    <row r="99" customFormat="false" ht="15" hidden="false" customHeight="false" outlineLevel="0" collapsed="false">
      <c r="A99" s="13" t="s">
        <v>211</v>
      </c>
      <c r="B99" s="13" t="s">
        <v>176</v>
      </c>
      <c r="C99" s="13" t="n">
        <v>0</v>
      </c>
      <c r="D99" s="13" t="n">
        <v>0</v>
      </c>
      <c r="E99" s="13" t="n">
        <v>0</v>
      </c>
      <c r="F99" s="13" t="n">
        <v>0</v>
      </c>
      <c r="G99" s="17" t="n">
        <v>0</v>
      </c>
      <c r="H99" s="13" t="n">
        <v>1</v>
      </c>
      <c r="I99" s="13" t="n">
        <v>0</v>
      </c>
      <c r="J99" s="13" t="n">
        <v>0</v>
      </c>
      <c r="K99" s="13" t="n">
        <v>0</v>
      </c>
      <c r="L99" s="17" t="n">
        <v>0</v>
      </c>
      <c r="M99" s="18" t="n">
        <f aca="false">IF(H99=0,"",I99/H99)</f>
        <v>0</v>
      </c>
    </row>
    <row r="100" customFormat="false" ht="15" hidden="false" customHeight="false" outlineLevel="0" collapsed="false">
      <c r="A100" s="13" t="s">
        <v>212</v>
      </c>
      <c r="B100" s="13" t="s">
        <v>176</v>
      </c>
      <c r="C100" s="13" t="n">
        <v>0</v>
      </c>
      <c r="D100" s="13" t="n">
        <v>0</v>
      </c>
      <c r="E100" s="13" t="n">
        <v>0</v>
      </c>
      <c r="F100" s="13" t="n">
        <v>0</v>
      </c>
      <c r="G100" s="17" t="n">
        <v>0</v>
      </c>
      <c r="H100" s="13" t="n">
        <v>1</v>
      </c>
      <c r="I100" s="13" t="n">
        <v>0</v>
      </c>
      <c r="J100" s="13" t="n">
        <v>0</v>
      </c>
      <c r="K100" s="13" t="n">
        <v>0</v>
      </c>
      <c r="L100" s="17" t="n">
        <v>0</v>
      </c>
      <c r="M100" s="18" t="n">
        <f aca="false">IF(H100=0,"",I100/H100)</f>
        <v>0</v>
      </c>
    </row>
    <row r="101" customFormat="false" ht="15" hidden="false" customHeight="false" outlineLevel="0" collapsed="false">
      <c r="A101" s="13" t="s">
        <v>213</v>
      </c>
      <c r="B101" s="13" t="s">
        <v>176</v>
      </c>
      <c r="C101" s="13" t="n">
        <v>0</v>
      </c>
      <c r="D101" s="13" t="n">
        <v>0</v>
      </c>
      <c r="E101" s="13" t="n">
        <v>0</v>
      </c>
      <c r="F101" s="13" t="n">
        <v>0</v>
      </c>
      <c r="G101" s="17" t="n">
        <v>0</v>
      </c>
      <c r="H101" s="13" t="n">
        <v>1</v>
      </c>
      <c r="I101" s="13" t="n">
        <v>0</v>
      </c>
      <c r="J101" s="13" t="n">
        <v>0</v>
      </c>
      <c r="K101" s="13" t="n">
        <v>0</v>
      </c>
      <c r="L101" s="17" t="n">
        <v>0</v>
      </c>
      <c r="M101" s="18" t="n">
        <f aca="false">IF(H101=0,"",I101/H101)</f>
        <v>0</v>
      </c>
    </row>
    <row r="102" customFormat="false" ht="15" hidden="false" customHeight="false" outlineLevel="0" collapsed="false">
      <c r="A102" s="13" t="s">
        <v>214</v>
      </c>
      <c r="B102" s="13" t="s">
        <v>176</v>
      </c>
      <c r="C102" s="13" t="n">
        <v>0</v>
      </c>
      <c r="D102" s="13" t="n">
        <v>0</v>
      </c>
      <c r="E102" s="13" t="n">
        <v>0</v>
      </c>
      <c r="F102" s="13" t="n">
        <v>0</v>
      </c>
      <c r="G102" s="17" t="n">
        <v>0</v>
      </c>
      <c r="H102" s="13" t="n">
        <v>1</v>
      </c>
      <c r="I102" s="13" t="n">
        <v>0</v>
      </c>
      <c r="J102" s="13" t="n">
        <v>0</v>
      </c>
      <c r="K102" s="13" t="n">
        <v>0</v>
      </c>
      <c r="L102" s="17" t="n">
        <v>0</v>
      </c>
      <c r="M102" s="18" t="n">
        <f aca="false">IF(H102=0,"",I102/H102)</f>
        <v>0</v>
      </c>
    </row>
    <row r="103" customFormat="false" ht="15" hidden="false" customHeight="false" outlineLevel="0" collapsed="false">
      <c r="A103" s="13" t="s">
        <v>215</v>
      </c>
      <c r="B103" s="13" t="s">
        <v>176</v>
      </c>
      <c r="C103" s="13" t="n">
        <v>0</v>
      </c>
      <c r="D103" s="13" t="n">
        <v>0</v>
      </c>
      <c r="E103" s="13" t="n">
        <v>0</v>
      </c>
      <c r="F103" s="13" t="n">
        <v>0</v>
      </c>
      <c r="G103" s="17" t="n">
        <v>0</v>
      </c>
      <c r="H103" s="13" t="n">
        <v>1</v>
      </c>
      <c r="I103" s="13" t="n">
        <v>0</v>
      </c>
      <c r="J103" s="13" t="n">
        <v>0</v>
      </c>
      <c r="K103" s="13" t="n">
        <v>0</v>
      </c>
      <c r="L103" s="17" t="n">
        <v>0</v>
      </c>
      <c r="M103" s="18" t="n">
        <f aca="false">IF(H103=0,"",I103/H103)</f>
        <v>0</v>
      </c>
    </row>
    <row r="104" customFormat="false" ht="15" hidden="false" customHeight="false" outlineLevel="0" collapsed="false">
      <c r="A104" s="13" t="s">
        <v>216</v>
      </c>
      <c r="B104" s="13" t="s">
        <v>176</v>
      </c>
      <c r="C104" s="13" t="n">
        <v>0</v>
      </c>
      <c r="D104" s="13" t="n">
        <v>0</v>
      </c>
      <c r="E104" s="13" t="n">
        <v>0</v>
      </c>
      <c r="F104" s="13" t="n">
        <v>0</v>
      </c>
      <c r="G104" s="17" t="n">
        <v>0</v>
      </c>
      <c r="H104" s="13" t="n">
        <v>1</v>
      </c>
      <c r="I104" s="13" t="n">
        <v>0</v>
      </c>
      <c r="J104" s="13" t="n">
        <v>0</v>
      </c>
      <c r="K104" s="13" t="n">
        <v>0</v>
      </c>
      <c r="L104" s="17" t="n">
        <v>0</v>
      </c>
      <c r="M104" s="18" t="n">
        <f aca="false">IF(H104=0,"",I104/H104)</f>
        <v>0</v>
      </c>
    </row>
    <row r="105" customFormat="false" ht="15" hidden="false" customHeight="false" outlineLevel="0" collapsed="false">
      <c r="A105" s="13" t="s">
        <v>217</v>
      </c>
      <c r="B105" s="13" t="s">
        <v>176</v>
      </c>
      <c r="C105" s="13" t="n">
        <v>0</v>
      </c>
      <c r="D105" s="13" t="n">
        <v>0</v>
      </c>
      <c r="E105" s="13" t="n">
        <v>0</v>
      </c>
      <c r="F105" s="13" t="n">
        <v>0</v>
      </c>
      <c r="G105" s="17" t="n">
        <v>0</v>
      </c>
      <c r="H105" s="13" t="n">
        <v>1</v>
      </c>
      <c r="I105" s="13" t="n">
        <v>0</v>
      </c>
      <c r="J105" s="13" t="n">
        <v>0</v>
      </c>
      <c r="K105" s="13" t="n">
        <v>0</v>
      </c>
      <c r="L105" s="17" t="n">
        <v>0</v>
      </c>
      <c r="M105" s="18" t="n">
        <f aca="false">IF(H105=0,"",I105/H105)</f>
        <v>0</v>
      </c>
    </row>
    <row r="106" customFormat="false" ht="15" hidden="false" customHeight="false" outlineLevel="0" collapsed="false">
      <c r="A106" s="13" t="s">
        <v>218</v>
      </c>
      <c r="B106" s="13" t="s">
        <v>176</v>
      </c>
      <c r="C106" s="13" t="n">
        <v>0</v>
      </c>
      <c r="D106" s="13" t="n">
        <v>0</v>
      </c>
      <c r="E106" s="13" t="n">
        <v>0</v>
      </c>
      <c r="F106" s="13" t="n">
        <v>0</v>
      </c>
      <c r="G106" s="17" t="n">
        <v>0</v>
      </c>
      <c r="H106" s="13" t="n">
        <v>1</v>
      </c>
      <c r="I106" s="13" t="n">
        <v>0</v>
      </c>
      <c r="J106" s="13" t="n">
        <v>0</v>
      </c>
      <c r="K106" s="13" t="n">
        <v>0</v>
      </c>
      <c r="L106" s="17" t="n">
        <v>0</v>
      </c>
      <c r="M106" s="18" t="n">
        <f aca="false">IF(H106=0,"",I106/H106)</f>
        <v>0</v>
      </c>
    </row>
    <row r="107" customFormat="false" ht="15" hidden="false" customHeight="false" outlineLevel="0" collapsed="false">
      <c r="A107" s="13" t="s">
        <v>219</v>
      </c>
      <c r="B107" s="13" t="s">
        <v>176</v>
      </c>
      <c r="C107" s="13" t="n">
        <v>0</v>
      </c>
      <c r="D107" s="13" t="n">
        <v>0</v>
      </c>
      <c r="E107" s="13" t="n">
        <v>0</v>
      </c>
      <c r="F107" s="13" t="n">
        <v>0</v>
      </c>
      <c r="G107" s="17" t="n">
        <v>0</v>
      </c>
      <c r="H107" s="13" t="n">
        <v>1</v>
      </c>
      <c r="I107" s="13" t="n">
        <v>0</v>
      </c>
      <c r="J107" s="13" t="n">
        <v>0</v>
      </c>
      <c r="K107" s="13" t="n">
        <v>0</v>
      </c>
      <c r="L107" s="17" t="n">
        <v>0</v>
      </c>
      <c r="M107" s="18" t="n">
        <f aca="false">IF(H107=0,"",I107/H107)</f>
        <v>0</v>
      </c>
    </row>
    <row r="108" customFormat="false" ht="15" hidden="false" customHeight="false" outlineLevel="0" collapsed="false">
      <c r="A108" s="13" t="s">
        <v>220</v>
      </c>
      <c r="B108" s="13" t="s">
        <v>176</v>
      </c>
      <c r="C108" s="13" t="n">
        <v>0</v>
      </c>
      <c r="D108" s="13" t="n">
        <v>0</v>
      </c>
      <c r="E108" s="13" t="n">
        <v>0</v>
      </c>
      <c r="F108" s="13" t="n">
        <v>0</v>
      </c>
      <c r="G108" s="17" t="n">
        <v>0</v>
      </c>
      <c r="H108" s="13" t="n">
        <v>1</v>
      </c>
      <c r="I108" s="13" t="n">
        <v>0</v>
      </c>
      <c r="J108" s="13" t="n">
        <v>0</v>
      </c>
      <c r="K108" s="13" t="n">
        <v>0</v>
      </c>
      <c r="L108" s="17" t="n">
        <v>0</v>
      </c>
      <c r="M108" s="18" t="n">
        <f aca="false">IF(H108=0,"",I108/H108)</f>
        <v>0</v>
      </c>
    </row>
    <row r="109" customFormat="false" ht="15" hidden="false" customHeight="false" outlineLevel="0" collapsed="false">
      <c r="A109" s="13" t="s">
        <v>221</v>
      </c>
      <c r="B109" s="13" t="s">
        <v>176</v>
      </c>
      <c r="C109" s="13" t="n">
        <v>0</v>
      </c>
      <c r="D109" s="13" t="n">
        <v>0</v>
      </c>
      <c r="E109" s="13" t="n">
        <v>0</v>
      </c>
      <c r="F109" s="13" t="n">
        <v>0</v>
      </c>
      <c r="G109" s="17" t="n">
        <v>0</v>
      </c>
      <c r="H109" s="13" t="n">
        <v>1</v>
      </c>
      <c r="I109" s="13" t="n">
        <v>0</v>
      </c>
      <c r="J109" s="13" t="n">
        <v>0</v>
      </c>
      <c r="K109" s="13" t="n">
        <v>0</v>
      </c>
      <c r="L109" s="17" t="n">
        <v>0</v>
      </c>
      <c r="M109" s="18" t="n">
        <f aca="false">IF(H109=0,"",I109/H109)</f>
        <v>0</v>
      </c>
    </row>
    <row r="110" customFormat="false" ht="15" hidden="false" customHeight="false" outlineLevel="0" collapsed="false">
      <c r="A110" s="13" t="s">
        <v>222</v>
      </c>
      <c r="B110" s="13" t="s">
        <v>176</v>
      </c>
      <c r="C110" s="13" t="n">
        <v>0</v>
      </c>
      <c r="D110" s="13" t="n">
        <v>0</v>
      </c>
      <c r="E110" s="13" t="n">
        <v>0</v>
      </c>
      <c r="F110" s="13" t="n">
        <v>0</v>
      </c>
      <c r="G110" s="17" t="n">
        <v>0</v>
      </c>
      <c r="H110" s="13" t="n">
        <v>1</v>
      </c>
      <c r="I110" s="13" t="n">
        <v>0</v>
      </c>
      <c r="J110" s="13" t="n">
        <v>0</v>
      </c>
      <c r="K110" s="13" t="n">
        <v>0</v>
      </c>
      <c r="L110" s="17" t="n">
        <v>0</v>
      </c>
      <c r="M110" s="18" t="n">
        <f aca="false">IF(H110=0,"",I110/H110)</f>
        <v>0</v>
      </c>
    </row>
    <row r="111" customFormat="false" ht="15" hidden="false" customHeight="false" outlineLevel="0" collapsed="false">
      <c r="A111" s="13" t="s">
        <v>223</v>
      </c>
      <c r="B111" s="13" t="s">
        <v>176</v>
      </c>
      <c r="C111" s="13" t="n">
        <v>0</v>
      </c>
      <c r="D111" s="13" t="n">
        <v>0</v>
      </c>
      <c r="E111" s="13" t="n">
        <v>0</v>
      </c>
      <c r="F111" s="13" t="n">
        <v>0</v>
      </c>
      <c r="G111" s="17" t="n">
        <v>0</v>
      </c>
      <c r="H111" s="13" t="n">
        <v>1</v>
      </c>
      <c r="I111" s="13" t="n">
        <v>0</v>
      </c>
      <c r="J111" s="13" t="n">
        <v>0</v>
      </c>
      <c r="K111" s="13" t="n">
        <v>0</v>
      </c>
      <c r="L111" s="17" t="n">
        <v>0</v>
      </c>
      <c r="M111" s="18" t="n">
        <f aca="false">IF(H111=0,"",I111/H111)</f>
        <v>0</v>
      </c>
    </row>
    <row r="112" customFormat="false" ht="15" hidden="false" customHeight="false" outlineLevel="0" collapsed="false">
      <c r="A112" s="13" t="s">
        <v>224</v>
      </c>
      <c r="B112" s="13" t="s">
        <v>176</v>
      </c>
      <c r="C112" s="13" t="n">
        <v>0</v>
      </c>
      <c r="D112" s="13" t="n">
        <v>0</v>
      </c>
      <c r="E112" s="13" t="n">
        <v>0</v>
      </c>
      <c r="F112" s="13" t="n">
        <v>0</v>
      </c>
      <c r="G112" s="17" t="n">
        <v>0</v>
      </c>
      <c r="H112" s="13" t="n">
        <v>1</v>
      </c>
      <c r="I112" s="13" t="n">
        <v>0</v>
      </c>
      <c r="J112" s="13" t="n">
        <v>0</v>
      </c>
      <c r="K112" s="13" t="n">
        <v>0</v>
      </c>
      <c r="L112" s="17" t="n">
        <v>0</v>
      </c>
      <c r="M112" s="18" t="n">
        <f aca="false">IF(H112=0,"",I112/H112)</f>
        <v>0</v>
      </c>
    </row>
    <row r="113" customFormat="false" ht="15" hidden="false" customHeight="false" outlineLevel="0" collapsed="false">
      <c r="A113" s="13" t="s">
        <v>225</v>
      </c>
      <c r="B113" s="13" t="s">
        <v>176</v>
      </c>
      <c r="C113" s="13" t="n">
        <v>0</v>
      </c>
      <c r="D113" s="13" t="n">
        <v>0</v>
      </c>
      <c r="E113" s="13" t="n">
        <v>0</v>
      </c>
      <c r="F113" s="13" t="n">
        <v>0</v>
      </c>
      <c r="G113" s="17" t="n">
        <v>0</v>
      </c>
      <c r="H113" s="13" t="n">
        <v>1</v>
      </c>
      <c r="I113" s="13" t="n">
        <v>0</v>
      </c>
      <c r="J113" s="13" t="n">
        <v>0</v>
      </c>
      <c r="K113" s="13" t="n">
        <v>0</v>
      </c>
      <c r="L113" s="17" t="n">
        <v>0</v>
      </c>
      <c r="M113" s="18" t="n">
        <f aca="false">IF(H113=0,"",I113/H113)</f>
        <v>0</v>
      </c>
    </row>
    <row r="114" customFormat="false" ht="15" hidden="false" customHeight="false" outlineLevel="0" collapsed="false">
      <c r="A114" s="13" t="s">
        <v>226</v>
      </c>
      <c r="B114" s="13" t="s">
        <v>176</v>
      </c>
      <c r="C114" s="13" t="n">
        <v>0</v>
      </c>
      <c r="D114" s="13" t="n">
        <v>0</v>
      </c>
      <c r="E114" s="13" t="n">
        <v>0</v>
      </c>
      <c r="F114" s="13" t="n">
        <v>0</v>
      </c>
      <c r="G114" s="17" t="n">
        <v>0</v>
      </c>
      <c r="H114" s="13" t="n">
        <v>1</v>
      </c>
      <c r="I114" s="13" t="n">
        <v>0</v>
      </c>
      <c r="J114" s="13" t="n">
        <v>0</v>
      </c>
      <c r="K114" s="13" t="n">
        <v>0</v>
      </c>
      <c r="L114" s="17" t="n">
        <v>0</v>
      </c>
      <c r="M114" s="18" t="n">
        <f aca="false">IF(H114=0,"",I114/H114)</f>
        <v>0</v>
      </c>
    </row>
    <row r="115" customFormat="false" ht="15" hidden="false" customHeight="false" outlineLevel="0" collapsed="false">
      <c r="A115" s="13" t="s">
        <v>227</v>
      </c>
      <c r="B115" s="13" t="s">
        <v>176</v>
      </c>
      <c r="C115" s="13" t="n">
        <v>0</v>
      </c>
      <c r="D115" s="13" t="n">
        <v>0</v>
      </c>
      <c r="E115" s="13" t="n">
        <v>0</v>
      </c>
      <c r="F115" s="13" t="n">
        <v>0</v>
      </c>
      <c r="G115" s="17" t="n">
        <v>0</v>
      </c>
      <c r="H115" s="13" t="n">
        <v>1</v>
      </c>
      <c r="I115" s="13" t="n">
        <v>0</v>
      </c>
      <c r="J115" s="13" t="n">
        <v>0</v>
      </c>
      <c r="K115" s="13" t="n">
        <v>0</v>
      </c>
      <c r="L115" s="17" t="n">
        <v>0</v>
      </c>
      <c r="M115" s="18" t="n">
        <f aca="false">IF(H115=0,"",I115/H115)</f>
        <v>0</v>
      </c>
    </row>
    <row r="116" customFormat="false" ht="15" hidden="false" customHeight="false" outlineLevel="0" collapsed="false">
      <c r="A116" s="13" t="s">
        <v>228</v>
      </c>
      <c r="B116" s="13" t="s">
        <v>176</v>
      </c>
      <c r="C116" s="13" t="n">
        <v>0</v>
      </c>
      <c r="D116" s="13" t="n">
        <v>0</v>
      </c>
      <c r="E116" s="13" t="n">
        <v>0</v>
      </c>
      <c r="F116" s="13" t="n">
        <v>0</v>
      </c>
      <c r="G116" s="17" t="n">
        <v>0</v>
      </c>
      <c r="H116" s="13" t="n">
        <v>1</v>
      </c>
      <c r="I116" s="13" t="n">
        <v>0</v>
      </c>
      <c r="J116" s="13" t="n">
        <v>0</v>
      </c>
      <c r="K116" s="13" t="n">
        <v>0</v>
      </c>
      <c r="L116" s="17" t="n">
        <v>0</v>
      </c>
      <c r="M116" s="18" t="n">
        <f aca="false">IF(H116=0,"",I116/H116)</f>
        <v>0</v>
      </c>
    </row>
    <row r="117" customFormat="false" ht="15" hidden="false" customHeight="false" outlineLevel="0" collapsed="false">
      <c r="A117" s="13" t="s">
        <v>89</v>
      </c>
      <c r="B117" s="13" t="s">
        <v>170</v>
      </c>
      <c r="C117" s="13" t="n">
        <v>0</v>
      </c>
      <c r="D117" s="13" t="n">
        <v>0</v>
      </c>
      <c r="E117" s="13" t="n">
        <v>0</v>
      </c>
      <c r="F117" s="13" t="n">
        <v>0</v>
      </c>
      <c r="G117" s="17" t="n">
        <v>0</v>
      </c>
      <c r="H117" s="13" t="n">
        <v>67</v>
      </c>
      <c r="I117" s="13" t="n">
        <v>1</v>
      </c>
      <c r="J117" s="13" t="n">
        <v>66</v>
      </c>
      <c r="K117" s="13" t="n">
        <v>0</v>
      </c>
      <c r="L117" s="17" t="n">
        <v>0</v>
      </c>
      <c r="M117" s="18" t="n">
        <f aca="false">IF(H117=0,"",I117/H117)</f>
        <v>0.0149253731343284</v>
      </c>
    </row>
    <row r="118" customFormat="false" ht="15" hidden="false" customHeight="false" outlineLevel="0" collapsed="false">
      <c r="A118" s="13" t="s">
        <v>89</v>
      </c>
      <c r="B118" s="13" t="s">
        <v>172</v>
      </c>
      <c r="C118" s="13" t="n">
        <v>0</v>
      </c>
      <c r="D118" s="13" t="n">
        <v>0</v>
      </c>
      <c r="E118" s="13" t="n">
        <v>0</v>
      </c>
      <c r="F118" s="13" t="n">
        <v>0</v>
      </c>
      <c r="G118" s="17" t="n">
        <v>0</v>
      </c>
      <c r="H118" s="13" t="n">
        <v>377</v>
      </c>
      <c r="I118" s="13" t="n">
        <v>9</v>
      </c>
      <c r="J118" s="13" t="n">
        <v>368</v>
      </c>
      <c r="K118" s="13" t="n">
        <v>0</v>
      </c>
      <c r="L118" s="17" t="n">
        <v>0.0831766</v>
      </c>
      <c r="M118" s="18" t="n">
        <f aca="false">IF(H118=0,"",I118/H118)</f>
        <v>0.0238726790450928</v>
      </c>
    </row>
    <row r="119" customFormat="false" ht="15" hidden="false" customHeight="false" outlineLevel="0" collapsed="false">
      <c r="A119" s="13" t="s">
        <v>89</v>
      </c>
      <c r="B119" s="13" t="s">
        <v>173</v>
      </c>
      <c r="C119" s="13" t="n">
        <v>0</v>
      </c>
      <c r="D119" s="13" t="n">
        <v>0</v>
      </c>
      <c r="E119" s="13" t="n">
        <v>0</v>
      </c>
      <c r="F119" s="13" t="n">
        <v>0</v>
      </c>
      <c r="G119" s="17" t="n">
        <v>0</v>
      </c>
      <c r="H119" s="13" t="n">
        <v>73</v>
      </c>
      <c r="I119" s="13" t="n">
        <v>42</v>
      </c>
      <c r="J119" s="13" t="n">
        <v>31</v>
      </c>
      <c r="K119" s="13" t="n">
        <v>0</v>
      </c>
      <c r="L119" s="17" t="n">
        <v>0.1782212</v>
      </c>
      <c r="M119" s="18" t="n">
        <f aca="false">IF(H119=0,"",I119/H119)</f>
        <v>0.575342465753425</v>
      </c>
    </row>
    <row r="120" customFormat="false" ht="15" hidden="false" customHeight="false" outlineLevel="0" collapsed="false">
      <c r="A120" s="13" t="s">
        <v>89</v>
      </c>
      <c r="B120" s="13" t="s">
        <v>176</v>
      </c>
      <c r="C120" s="13" t="n">
        <v>0</v>
      </c>
      <c r="D120" s="13" t="n">
        <v>0</v>
      </c>
      <c r="E120" s="13" t="n">
        <v>0</v>
      </c>
      <c r="F120" s="13" t="n">
        <v>0</v>
      </c>
      <c r="G120" s="17" t="n">
        <v>0</v>
      </c>
      <c r="H120" s="13" t="n">
        <v>205</v>
      </c>
      <c r="I120" s="13" t="n">
        <v>0</v>
      </c>
      <c r="J120" s="13" t="n">
        <v>0</v>
      </c>
      <c r="K120" s="13" t="n">
        <v>0</v>
      </c>
      <c r="L120" s="17" t="n">
        <v>0</v>
      </c>
      <c r="M120" s="18" t="n">
        <f aca="false">IF(H120=0,"",I120/H120)</f>
        <v>0</v>
      </c>
    </row>
    <row r="121" customFormat="false" ht="15" hidden="false" customHeight="false" outlineLevel="0" collapsed="false">
      <c r="A121" s="13" t="s">
        <v>229</v>
      </c>
      <c r="B121" s="13" t="s">
        <v>176</v>
      </c>
      <c r="C121" s="13" t="n">
        <v>0</v>
      </c>
      <c r="D121" s="13" t="n">
        <v>0</v>
      </c>
      <c r="E121" s="13" t="n">
        <v>0</v>
      </c>
      <c r="F121" s="13" t="n">
        <v>0</v>
      </c>
      <c r="G121" s="17" t="n">
        <v>0</v>
      </c>
      <c r="H121" s="13" t="n">
        <v>1</v>
      </c>
      <c r="I121" s="13" t="n">
        <v>0</v>
      </c>
      <c r="J121" s="13" t="n">
        <v>0</v>
      </c>
      <c r="K121" s="13" t="n">
        <v>0</v>
      </c>
      <c r="L121" s="17" t="n">
        <v>0</v>
      </c>
      <c r="M121" s="18" t="n">
        <f aca="false">IF(H121=0,"",I121/H121)</f>
        <v>0</v>
      </c>
    </row>
    <row r="122" customFormat="false" ht="15" hidden="false" customHeight="false" outlineLevel="0" collapsed="false">
      <c r="A122" s="13" t="s">
        <v>230</v>
      </c>
      <c r="B122" s="13" t="s">
        <v>176</v>
      </c>
      <c r="C122" s="13" t="n">
        <v>0</v>
      </c>
      <c r="D122" s="13" t="n">
        <v>0</v>
      </c>
      <c r="E122" s="13" t="n">
        <v>0</v>
      </c>
      <c r="F122" s="13" t="n">
        <v>0</v>
      </c>
      <c r="G122" s="17" t="n">
        <v>0</v>
      </c>
      <c r="H122" s="13" t="n">
        <v>1</v>
      </c>
      <c r="I122" s="13" t="n">
        <v>0</v>
      </c>
      <c r="J122" s="13" t="n">
        <v>0</v>
      </c>
      <c r="K122" s="13" t="n">
        <v>0</v>
      </c>
      <c r="L122" s="17" t="n">
        <v>0</v>
      </c>
      <c r="M122" s="18" t="n">
        <f aca="false">IF(H122=0,"",I122/H122)</f>
        <v>0</v>
      </c>
    </row>
    <row r="123" customFormat="false" ht="15" hidden="false" customHeight="false" outlineLevel="0" collapsed="false">
      <c r="A123" s="13" t="s">
        <v>125</v>
      </c>
      <c r="B123" s="13" t="s">
        <v>170</v>
      </c>
      <c r="C123" s="13" t="n">
        <v>0</v>
      </c>
      <c r="D123" s="13" t="n">
        <v>0</v>
      </c>
      <c r="E123" s="13" t="n">
        <v>0</v>
      </c>
      <c r="F123" s="13" t="n">
        <v>0</v>
      </c>
      <c r="G123" s="17" t="n">
        <v>0</v>
      </c>
      <c r="H123" s="13" t="n">
        <v>1</v>
      </c>
      <c r="I123" s="13" t="n">
        <v>1</v>
      </c>
      <c r="J123" s="13" t="n">
        <v>0</v>
      </c>
      <c r="K123" s="13" t="n">
        <v>0</v>
      </c>
      <c r="L123" s="17" t="n">
        <v>0</v>
      </c>
      <c r="M123" s="18" t="n">
        <f aca="false">IF(H123=0,"",I123/H123)</f>
        <v>1</v>
      </c>
    </row>
    <row r="124" customFormat="false" ht="15" hidden="false" customHeight="false" outlineLevel="0" collapsed="false">
      <c r="A124" s="13" t="s">
        <v>125</v>
      </c>
      <c r="B124" s="13" t="s">
        <v>172</v>
      </c>
      <c r="C124" s="13" t="n">
        <v>0</v>
      </c>
      <c r="D124" s="13" t="n">
        <v>0</v>
      </c>
      <c r="E124" s="13" t="n">
        <v>0</v>
      </c>
      <c r="F124" s="13" t="n">
        <v>0</v>
      </c>
      <c r="G124" s="17" t="n">
        <v>0</v>
      </c>
      <c r="H124" s="13" t="n">
        <v>23</v>
      </c>
      <c r="I124" s="13" t="n">
        <v>0</v>
      </c>
      <c r="J124" s="13" t="n">
        <v>23</v>
      </c>
      <c r="K124" s="13" t="n">
        <v>0</v>
      </c>
      <c r="L124" s="17" t="n">
        <v>0.0250016</v>
      </c>
      <c r="M124" s="18" t="n">
        <f aca="false">IF(H124=0,"",I124/H124)</f>
        <v>0</v>
      </c>
    </row>
    <row r="125" customFormat="false" ht="15" hidden="false" customHeight="false" outlineLevel="0" collapsed="false">
      <c r="A125" s="13" t="s">
        <v>125</v>
      </c>
      <c r="B125" s="13" t="s">
        <v>173</v>
      </c>
      <c r="C125" s="13" t="n">
        <v>0</v>
      </c>
      <c r="D125" s="13" t="n">
        <v>0</v>
      </c>
      <c r="E125" s="13" t="n">
        <v>0</v>
      </c>
      <c r="F125" s="13" t="n">
        <v>0</v>
      </c>
      <c r="G125" s="17" t="n">
        <v>0</v>
      </c>
      <c r="H125" s="13" t="n">
        <v>2</v>
      </c>
      <c r="I125" s="13" t="n">
        <v>0</v>
      </c>
      <c r="J125" s="13" t="n">
        <v>2</v>
      </c>
      <c r="K125" s="13" t="n">
        <v>0</v>
      </c>
      <c r="L125" s="17" t="n">
        <v>0</v>
      </c>
      <c r="M125" s="18" t="n">
        <f aca="false">IF(H125=0,"",I125/H125)</f>
        <v>0</v>
      </c>
    </row>
    <row r="126" customFormat="false" ht="15" hidden="false" customHeight="false" outlineLevel="0" collapsed="false">
      <c r="A126" s="13" t="s">
        <v>125</v>
      </c>
      <c r="B126" s="13" t="s">
        <v>175</v>
      </c>
      <c r="C126" s="13" t="n">
        <v>0</v>
      </c>
      <c r="D126" s="13" t="n">
        <v>0</v>
      </c>
      <c r="E126" s="13" t="n">
        <v>0</v>
      </c>
      <c r="F126" s="13" t="n">
        <v>0</v>
      </c>
      <c r="G126" s="17" t="n">
        <v>0</v>
      </c>
      <c r="H126" s="13" t="n">
        <v>16</v>
      </c>
      <c r="I126" s="13" t="n">
        <v>0</v>
      </c>
      <c r="J126" s="13" t="n">
        <v>0</v>
      </c>
      <c r="K126" s="13" t="n">
        <v>16</v>
      </c>
      <c r="L126" s="17" t="n">
        <v>0</v>
      </c>
      <c r="M126" s="18" t="n">
        <f aca="false">IF(H126=0,"",I126/H126)</f>
        <v>0</v>
      </c>
    </row>
    <row r="127" customFormat="false" ht="15" hidden="false" customHeight="false" outlineLevel="0" collapsed="false">
      <c r="A127" s="13" t="s">
        <v>125</v>
      </c>
      <c r="B127" s="13" t="s">
        <v>176</v>
      </c>
      <c r="C127" s="13" t="n">
        <v>0</v>
      </c>
      <c r="D127" s="13" t="n">
        <v>0</v>
      </c>
      <c r="E127" s="13" t="n">
        <v>0</v>
      </c>
      <c r="F127" s="13" t="n">
        <v>0</v>
      </c>
      <c r="G127" s="17" t="n">
        <v>0</v>
      </c>
      <c r="H127" s="13" t="n">
        <v>18</v>
      </c>
      <c r="I127" s="13" t="n">
        <v>0</v>
      </c>
      <c r="J127" s="13" t="n">
        <v>0</v>
      </c>
      <c r="K127" s="13" t="n">
        <v>0</v>
      </c>
      <c r="L127" s="17" t="n">
        <v>0</v>
      </c>
      <c r="M127" s="18" t="n">
        <f aca="false">IF(H127=0,"",I127/H127)</f>
        <v>0</v>
      </c>
    </row>
    <row r="128" customFormat="false" ht="15" hidden="false" customHeight="false" outlineLevel="0" collapsed="false">
      <c r="A128" s="13" t="s">
        <v>231</v>
      </c>
      <c r="B128" s="13" t="s">
        <v>176</v>
      </c>
      <c r="C128" s="13" t="n">
        <v>0</v>
      </c>
      <c r="D128" s="13" t="n">
        <v>0</v>
      </c>
      <c r="E128" s="13" t="n">
        <v>0</v>
      </c>
      <c r="F128" s="13" t="n">
        <v>0</v>
      </c>
      <c r="G128" s="17" t="n">
        <v>0</v>
      </c>
      <c r="H128" s="13" t="n">
        <v>1</v>
      </c>
      <c r="I128" s="13" t="n">
        <v>0</v>
      </c>
      <c r="J128" s="13" t="n">
        <v>0</v>
      </c>
      <c r="K128" s="13" t="n">
        <v>0</v>
      </c>
      <c r="L128" s="17" t="n">
        <v>0</v>
      </c>
      <c r="M128" s="18" t="n">
        <f aca="false">IF(H128=0,"",I128/H128)</f>
        <v>0</v>
      </c>
    </row>
    <row r="129" customFormat="false" ht="15" hidden="false" customHeight="false" outlineLevel="0" collapsed="false">
      <c r="A129" s="13" t="s">
        <v>232</v>
      </c>
      <c r="B129" s="13" t="s">
        <v>176</v>
      </c>
      <c r="C129" s="13" t="n">
        <v>0</v>
      </c>
      <c r="D129" s="13" t="n">
        <v>0</v>
      </c>
      <c r="E129" s="13" t="n">
        <v>0</v>
      </c>
      <c r="F129" s="13" t="n">
        <v>0</v>
      </c>
      <c r="G129" s="17" t="n">
        <v>0</v>
      </c>
      <c r="H129" s="13" t="n">
        <v>1</v>
      </c>
      <c r="I129" s="13" t="n">
        <v>0</v>
      </c>
      <c r="J129" s="13" t="n">
        <v>0</v>
      </c>
      <c r="K129" s="13" t="n">
        <v>0</v>
      </c>
      <c r="L129" s="17" t="n">
        <v>0</v>
      </c>
      <c r="M129" s="18" t="n">
        <f aca="false">IF(H129=0,"",I129/H129)</f>
        <v>0</v>
      </c>
    </row>
    <row r="130" customFormat="false" ht="15" hidden="false" customHeight="false" outlineLevel="0" collapsed="false">
      <c r="A130" s="13" t="s">
        <v>233</v>
      </c>
      <c r="B130" s="13" t="s">
        <v>176</v>
      </c>
      <c r="C130" s="13" t="n">
        <v>0</v>
      </c>
      <c r="D130" s="13" t="n">
        <v>0</v>
      </c>
      <c r="E130" s="13" t="n">
        <v>0</v>
      </c>
      <c r="F130" s="13" t="n">
        <v>0</v>
      </c>
      <c r="G130" s="17" t="n">
        <v>0</v>
      </c>
      <c r="H130" s="13" t="n">
        <v>1</v>
      </c>
      <c r="I130" s="13" t="n">
        <v>0</v>
      </c>
      <c r="J130" s="13" t="n">
        <v>0</v>
      </c>
      <c r="K130" s="13" t="n">
        <v>0</v>
      </c>
      <c r="L130" s="17" t="n">
        <v>0</v>
      </c>
      <c r="M130" s="18" t="n">
        <f aca="false">IF(H130=0,"",I130/H130)</f>
        <v>0</v>
      </c>
    </row>
    <row r="131" customFormat="false" ht="15" hidden="false" customHeight="false" outlineLevel="0" collapsed="false">
      <c r="A131" s="13" t="s">
        <v>234</v>
      </c>
      <c r="B131" s="13" t="s">
        <v>176</v>
      </c>
      <c r="C131" s="13" t="n">
        <v>0</v>
      </c>
      <c r="D131" s="13" t="n">
        <v>0</v>
      </c>
      <c r="E131" s="13" t="n">
        <v>0</v>
      </c>
      <c r="F131" s="13" t="n">
        <v>0</v>
      </c>
      <c r="G131" s="17" t="n">
        <v>0</v>
      </c>
      <c r="H131" s="13" t="n">
        <v>1</v>
      </c>
      <c r="I131" s="13" t="n">
        <v>0</v>
      </c>
      <c r="J131" s="13" t="n">
        <v>0</v>
      </c>
      <c r="K131" s="13" t="n">
        <v>0</v>
      </c>
      <c r="L131" s="17" t="n">
        <v>0</v>
      </c>
      <c r="M131" s="18" t="n">
        <f aca="false">IF(H131=0,"",I131/H131)</f>
        <v>0</v>
      </c>
    </row>
    <row r="132" customFormat="false" ht="15" hidden="false" customHeight="false" outlineLevel="0" collapsed="false">
      <c r="A132" s="13" t="s">
        <v>235</v>
      </c>
      <c r="B132" s="13" t="s">
        <v>176</v>
      </c>
      <c r="C132" s="13" t="n">
        <v>0</v>
      </c>
      <c r="D132" s="13" t="n">
        <v>0</v>
      </c>
      <c r="E132" s="13" t="n">
        <v>0</v>
      </c>
      <c r="F132" s="13" t="n">
        <v>0</v>
      </c>
      <c r="G132" s="17" t="n">
        <v>0</v>
      </c>
      <c r="H132" s="13" t="n">
        <v>1</v>
      </c>
      <c r="I132" s="13" t="n">
        <v>0</v>
      </c>
      <c r="J132" s="13" t="n">
        <v>0</v>
      </c>
      <c r="K132" s="13" t="n">
        <v>0</v>
      </c>
      <c r="L132" s="17" t="n">
        <v>0</v>
      </c>
      <c r="M132" s="18" t="n">
        <f aca="false">IF(H132=0,"",I132/H132)</f>
        <v>0</v>
      </c>
    </row>
    <row r="133" customFormat="false" ht="15" hidden="false" customHeight="false" outlineLevel="0" collapsed="false">
      <c r="A133" s="13" t="s">
        <v>236</v>
      </c>
      <c r="B133" s="13" t="s">
        <v>176</v>
      </c>
      <c r="C133" s="13" t="n">
        <v>0</v>
      </c>
      <c r="D133" s="13" t="n">
        <v>0</v>
      </c>
      <c r="E133" s="13" t="n">
        <v>0</v>
      </c>
      <c r="F133" s="13" t="n">
        <v>0</v>
      </c>
      <c r="G133" s="17" t="n">
        <v>0</v>
      </c>
      <c r="H133" s="13" t="n">
        <v>1</v>
      </c>
      <c r="I133" s="13" t="n">
        <v>0</v>
      </c>
      <c r="J133" s="13" t="n">
        <v>0</v>
      </c>
      <c r="K133" s="13" t="n">
        <v>0</v>
      </c>
      <c r="L133" s="17" t="n">
        <v>0</v>
      </c>
      <c r="M133" s="18" t="n">
        <f aca="false">IF(H133=0,"",I133/H133)</f>
        <v>0</v>
      </c>
    </row>
    <row r="134" customFormat="false" ht="15" hidden="false" customHeight="false" outlineLevel="0" collapsed="false">
      <c r="A134" s="13" t="s">
        <v>237</v>
      </c>
      <c r="B134" s="13" t="s">
        <v>176</v>
      </c>
      <c r="C134" s="13" t="n">
        <v>0</v>
      </c>
      <c r="D134" s="13" t="n">
        <v>0</v>
      </c>
      <c r="E134" s="13" t="n">
        <v>0</v>
      </c>
      <c r="F134" s="13" t="n">
        <v>0</v>
      </c>
      <c r="G134" s="17" t="n">
        <v>0</v>
      </c>
      <c r="H134" s="13" t="n">
        <v>1</v>
      </c>
      <c r="I134" s="13" t="n">
        <v>0</v>
      </c>
      <c r="J134" s="13" t="n">
        <v>0</v>
      </c>
      <c r="K134" s="13" t="n">
        <v>0</v>
      </c>
      <c r="L134" s="17" t="n">
        <v>0</v>
      </c>
      <c r="M134" s="18" t="n">
        <f aca="false">IF(H134=0,"",I134/H134)</f>
        <v>0</v>
      </c>
    </row>
    <row r="135" customFormat="false" ht="15" hidden="false" customHeight="false" outlineLevel="0" collapsed="false">
      <c r="A135" s="13" t="s">
        <v>238</v>
      </c>
      <c r="B135" s="13" t="s">
        <v>176</v>
      </c>
      <c r="C135" s="13" t="n">
        <v>0</v>
      </c>
      <c r="D135" s="13" t="n">
        <v>0</v>
      </c>
      <c r="E135" s="13" t="n">
        <v>0</v>
      </c>
      <c r="F135" s="13" t="n">
        <v>0</v>
      </c>
      <c r="G135" s="17" t="n">
        <v>0</v>
      </c>
      <c r="H135" s="13" t="n">
        <v>1</v>
      </c>
      <c r="I135" s="13" t="n">
        <v>0</v>
      </c>
      <c r="J135" s="13" t="n">
        <v>0</v>
      </c>
      <c r="K135" s="13" t="n">
        <v>0</v>
      </c>
      <c r="L135" s="17" t="n">
        <v>0</v>
      </c>
      <c r="M135" s="18" t="n">
        <f aca="false">IF(H135=0,"",I135/H135)</f>
        <v>0</v>
      </c>
    </row>
    <row r="136" customFormat="false" ht="15" hidden="false" customHeight="false" outlineLevel="0" collapsed="false">
      <c r="A136" s="13" t="s">
        <v>239</v>
      </c>
      <c r="B136" s="13" t="s">
        <v>176</v>
      </c>
      <c r="C136" s="13" t="n">
        <v>0</v>
      </c>
      <c r="D136" s="13" t="n">
        <v>0</v>
      </c>
      <c r="E136" s="13" t="n">
        <v>0</v>
      </c>
      <c r="F136" s="13" t="n">
        <v>0</v>
      </c>
      <c r="G136" s="17" t="n">
        <v>0</v>
      </c>
      <c r="H136" s="13" t="n">
        <v>1</v>
      </c>
      <c r="I136" s="13" t="n">
        <v>0</v>
      </c>
      <c r="J136" s="13" t="n">
        <v>0</v>
      </c>
      <c r="K136" s="13" t="n">
        <v>0</v>
      </c>
      <c r="L136" s="17" t="n">
        <v>0</v>
      </c>
      <c r="M136" s="18" t="n">
        <f aca="false">IF(H136=0,"",I136/H136)</f>
        <v>0</v>
      </c>
    </row>
    <row r="137" customFormat="false" ht="15" hidden="false" customHeight="false" outlineLevel="0" collapsed="false">
      <c r="A137" s="13" t="s">
        <v>240</v>
      </c>
      <c r="B137" s="13" t="s">
        <v>176</v>
      </c>
      <c r="C137" s="13" t="n">
        <v>0</v>
      </c>
      <c r="D137" s="13" t="n">
        <v>0</v>
      </c>
      <c r="E137" s="13" t="n">
        <v>0</v>
      </c>
      <c r="F137" s="13" t="n">
        <v>0</v>
      </c>
      <c r="G137" s="17" t="n">
        <v>0</v>
      </c>
      <c r="H137" s="13" t="n">
        <v>1</v>
      </c>
      <c r="I137" s="13" t="n">
        <v>0</v>
      </c>
      <c r="J137" s="13" t="n">
        <v>0</v>
      </c>
      <c r="K137" s="13" t="n">
        <v>0</v>
      </c>
      <c r="L137" s="17" t="n">
        <v>0</v>
      </c>
      <c r="M137" s="18" t="n">
        <f aca="false">IF(H137=0,"",I137/H137)</f>
        <v>0</v>
      </c>
    </row>
    <row r="138" customFormat="false" ht="15" hidden="false" customHeight="false" outlineLevel="0" collapsed="false">
      <c r="A138" s="13" t="s">
        <v>241</v>
      </c>
      <c r="B138" s="13" t="s">
        <v>176</v>
      </c>
      <c r="C138" s="13" t="n">
        <v>0</v>
      </c>
      <c r="D138" s="13" t="n">
        <v>0</v>
      </c>
      <c r="E138" s="13" t="n">
        <v>0</v>
      </c>
      <c r="F138" s="13" t="n">
        <v>0</v>
      </c>
      <c r="G138" s="17" t="n">
        <v>0</v>
      </c>
      <c r="H138" s="13" t="n">
        <v>1</v>
      </c>
      <c r="I138" s="13" t="n">
        <v>0</v>
      </c>
      <c r="J138" s="13" t="n">
        <v>0</v>
      </c>
      <c r="K138" s="13" t="n">
        <v>0</v>
      </c>
      <c r="L138" s="17" t="n">
        <v>0</v>
      </c>
      <c r="M138" s="18" t="n">
        <f aca="false">IF(H138=0,"",I138/H138)</f>
        <v>0</v>
      </c>
    </row>
    <row r="139" customFormat="false" ht="15" hidden="false" customHeight="false" outlineLevel="0" collapsed="false">
      <c r="A139" s="13" t="s">
        <v>242</v>
      </c>
      <c r="B139" s="13" t="s">
        <v>176</v>
      </c>
      <c r="C139" s="13" t="n">
        <v>0</v>
      </c>
      <c r="D139" s="13" t="n">
        <v>0</v>
      </c>
      <c r="E139" s="13" t="n">
        <v>0</v>
      </c>
      <c r="F139" s="13" t="n">
        <v>0</v>
      </c>
      <c r="G139" s="17" t="n">
        <v>0</v>
      </c>
      <c r="H139" s="13" t="n">
        <v>1</v>
      </c>
      <c r="I139" s="13" t="n">
        <v>0</v>
      </c>
      <c r="J139" s="13" t="n">
        <v>0</v>
      </c>
      <c r="K139" s="13" t="n">
        <v>0</v>
      </c>
      <c r="L139" s="17" t="n">
        <v>0</v>
      </c>
      <c r="M139" s="18" t="n">
        <f aca="false">IF(H139=0,"",I139/H139)</f>
        <v>0</v>
      </c>
    </row>
    <row r="140" customFormat="false" ht="15" hidden="false" customHeight="false" outlineLevel="0" collapsed="false">
      <c r="A140" s="13" t="s">
        <v>243</v>
      </c>
      <c r="B140" s="13" t="s">
        <v>176</v>
      </c>
      <c r="C140" s="13" t="n">
        <v>0</v>
      </c>
      <c r="D140" s="13" t="n">
        <v>0</v>
      </c>
      <c r="E140" s="13" t="n">
        <v>0</v>
      </c>
      <c r="F140" s="13" t="n">
        <v>0</v>
      </c>
      <c r="G140" s="17" t="n">
        <v>0</v>
      </c>
      <c r="H140" s="13" t="n">
        <v>1</v>
      </c>
      <c r="I140" s="13" t="n">
        <v>0</v>
      </c>
      <c r="J140" s="13" t="n">
        <v>0</v>
      </c>
      <c r="K140" s="13" t="n">
        <v>0</v>
      </c>
      <c r="L140" s="17" t="n">
        <v>0</v>
      </c>
      <c r="M140" s="18" t="n">
        <f aca="false">IF(H140=0,"",I140/H140)</f>
        <v>0</v>
      </c>
    </row>
    <row r="141" customFormat="false" ht="15" hidden="false" customHeight="false" outlineLevel="0" collapsed="false">
      <c r="A141" s="13" t="s">
        <v>244</v>
      </c>
      <c r="B141" s="13" t="s">
        <v>176</v>
      </c>
      <c r="C141" s="13" t="n">
        <v>0</v>
      </c>
      <c r="D141" s="13" t="n">
        <v>0</v>
      </c>
      <c r="E141" s="13" t="n">
        <v>0</v>
      </c>
      <c r="F141" s="13" t="n">
        <v>0</v>
      </c>
      <c r="G141" s="17" t="n">
        <v>0</v>
      </c>
      <c r="H141" s="13" t="n">
        <v>1</v>
      </c>
      <c r="I141" s="13" t="n">
        <v>0</v>
      </c>
      <c r="J141" s="13" t="n">
        <v>0</v>
      </c>
      <c r="K141" s="13" t="n">
        <v>0</v>
      </c>
      <c r="L141" s="17" t="n">
        <v>0</v>
      </c>
      <c r="M141" s="18" t="n">
        <f aca="false">IF(H141=0,"",I141/H141)</f>
        <v>0</v>
      </c>
    </row>
    <row r="142" customFormat="false" ht="15" hidden="false" customHeight="false" outlineLevel="0" collapsed="false">
      <c r="A142" s="13" t="s">
        <v>245</v>
      </c>
      <c r="B142" s="13" t="s">
        <v>176</v>
      </c>
      <c r="C142" s="13" t="n">
        <v>0</v>
      </c>
      <c r="D142" s="13" t="n">
        <v>0</v>
      </c>
      <c r="E142" s="13" t="n">
        <v>0</v>
      </c>
      <c r="F142" s="13" t="n">
        <v>0</v>
      </c>
      <c r="G142" s="17" t="n">
        <v>0</v>
      </c>
      <c r="H142" s="13" t="n">
        <v>1</v>
      </c>
      <c r="I142" s="13" t="n">
        <v>0</v>
      </c>
      <c r="J142" s="13" t="n">
        <v>0</v>
      </c>
      <c r="K142" s="13" t="n">
        <v>0</v>
      </c>
      <c r="L142" s="17" t="n">
        <v>0</v>
      </c>
      <c r="M142" s="18" t="n">
        <f aca="false">IF(H142=0,"",I142/H142)</f>
        <v>0</v>
      </c>
    </row>
    <row r="143" customFormat="false" ht="15" hidden="false" customHeight="false" outlineLevel="0" collapsed="false">
      <c r="A143" s="13" t="s">
        <v>246</v>
      </c>
      <c r="B143" s="13" t="s">
        <v>176</v>
      </c>
      <c r="C143" s="13" t="n">
        <v>0</v>
      </c>
      <c r="D143" s="13" t="n">
        <v>0</v>
      </c>
      <c r="E143" s="13" t="n">
        <v>0</v>
      </c>
      <c r="F143" s="13" t="n">
        <v>0</v>
      </c>
      <c r="G143" s="17" t="n">
        <v>0</v>
      </c>
      <c r="H143" s="13" t="n">
        <v>1</v>
      </c>
      <c r="I143" s="13" t="n">
        <v>0</v>
      </c>
      <c r="J143" s="13" t="n">
        <v>0</v>
      </c>
      <c r="K143" s="13" t="n">
        <v>0</v>
      </c>
      <c r="L143" s="17" t="n">
        <v>0</v>
      </c>
      <c r="M143" s="18" t="n">
        <f aca="false">IF(H143=0,"",I143/H143)</f>
        <v>0</v>
      </c>
    </row>
    <row r="144" customFormat="false" ht="15" hidden="false" customHeight="false" outlineLevel="0" collapsed="false">
      <c r="A144" s="13" t="s">
        <v>247</v>
      </c>
      <c r="B144" s="13" t="s">
        <v>176</v>
      </c>
      <c r="C144" s="13" t="n">
        <v>0</v>
      </c>
      <c r="D144" s="13" t="n">
        <v>0</v>
      </c>
      <c r="E144" s="13" t="n">
        <v>0</v>
      </c>
      <c r="F144" s="13" t="n">
        <v>0</v>
      </c>
      <c r="G144" s="17" t="n">
        <v>0</v>
      </c>
      <c r="H144" s="13" t="n">
        <v>1</v>
      </c>
      <c r="I144" s="13" t="n">
        <v>0</v>
      </c>
      <c r="J144" s="13" t="n">
        <v>0</v>
      </c>
      <c r="K144" s="13" t="n">
        <v>0</v>
      </c>
      <c r="L144" s="17" t="n">
        <v>0</v>
      </c>
      <c r="M144" s="18" t="n">
        <f aca="false">IF(H144=0,"",I144/H144)</f>
        <v>0</v>
      </c>
    </row>
    <row r="145" customFormat="false" ht="15" hidden="false" customHeight="false" outlineLevel="0" collapsed="false">
      <c r="A145" s="13" t="s">
        <v>248</v>
      </c>
      <c r="B145" s="13" t="s">
        <v>176</v>
      </c>
      <c r="C145" s="13" t="n">
        <v>0</v>
      </c>
      <c r="D145" s="13" t="n">
        <v>0</v>
      </c>
      <c r="E145" s="13" t="n">
        <v>0</v>
      </c>
      <c r="F145" s="13" t="n">
        <v>0</v>
      </c>
      <c r="G145" s="17" t="n">
        <v>0</v>
      </c>
      <c r="H145" s="13" t="n">
        <v>1</v>
      </c>
      <c r="I145" s="13" t="n">
        <v>0</v>
      </c>
      <c r="J145" s="13" t="n">
        <v>0</v>
      </c>
      <c r="K145" s="13" t="n">
        <v>0</v>
      </c>
      <c r="L145" s="17" t="n">
        <v>0</v>
      </c>
      <c r="M145" s="18" t="n">
        <f aca="false">IF(H145=0,"",I145/H145)</f>
        <v>0</v>
      </c>
    </row>
    <row r="146" customFormat="false" ht="15" hidden="false" customHeight="false" outlineLevel="0" collapsed="false">
      <c r="A146" s="13" t="s">
        <v>249</v>
      </c>
      <c r="B146" s="13" t="s">
        <v>176</v>
      </c>
      <c r="C146" s="13" t="n">
        <v>0</v>
      </c>
      <c r="D146" s="13" t="n">
        <v>0</v>
      </c>
      <c r="E146" s="13" t="n">
        <v>0</v>
      </c>
      <c r="F146" s="13" t="n">
        <v>0</v>
      </c>
      <c r="G146" s="17" t="n">
        <v>0</v>
      </c>
      <c r="H146" s="13" t="n">
        <v>1</v>
      </c>
      <c r="I146" s="13" t="n">
        <v>0</v>
      </c>
      <c r="J146" s="13" t="n">
        <v>0</v>
      </c>
      <c r="K146" s="13" t="n">
        <v>0</v>
      </c>
      <c r="L146" s="17" t="n">
        <v>0</v>
      </c>
      <c r="M146" s="18" t="n">
        <f aca="false">IF(H146=0,"",I146/H146)</f>
        <v>0</v>
      </c>
    </row>
    <row r="147" customFormat="false" ht="15" hidden="false" customHeight="false" outlineLevel="0" collapsed="false">
      <c r="A147" s="13" t="s">
        <v>250</v>
      </c>
      <c r="B147" s="13" t="s">
        <v>176</v>
      </c>
      <c r="C147" s="13" t="n">
        <v>0</v>
      </c>
      <c r="D147" s="13" t="n">
        <v>0</v>
      </c>
      <c r="E147" s="13" t="n">
        <v>0</v>
      </c>
      <c r="F147" s="13" t="n">
        <v>0</v>
      </c>
      <c r="G147" s="17" t="n">
        <v>0</v>
      </c>
      <c r="H147" s="13" t="n">
        <v>1</v>
      </c>
      <c r="I147" s="13" t="n">
        <v>0</v>
      </c>
      <c r="J147" s="13" t="n">
        <v>0</v>
      </c>
      <c r="K147" s="13" t="n">
        <v>0</v>
      </c>
      <c r="L147" s="17" t="n">
        <v>0</v>
      </c>
      <c r="M147" s="18" t="n">
        <f aca="false">IF(H147=0,"",I147/H147)</f>
        <v>0</v>
      </c>
    </row>
    <row r="148" customFormat="false" ht="15" hidden="false" customHeight="false" outlineLevel="0" collapsed="false">
      <c r="A148" s="13" t="s">
        <v>251</v>
      </c>
      <c r="B148" s="13" t="s">
        <v>176</v>
      </c>
      <c r="C148" s="13" t="n">
        <v>0</v>
      </c>
      <c r="D148" s="13" t="n">
        <v>0</v>
      </c>
      <c r="E148" s="13" t="n">
        <v>0</v>
      </c>
      <c r="F148" s="13" t="n">
        <v>0</v>
      </c>
      <c r="G148" s="17" t="n">
        <v>0</v>
      </c>
      <c r="H148" s="13" t="n">
        <v>1</v>
      </c>
      <c r="I148" s="13" t="n">
        <v>0</v>
      </c>
      <c r="J148" s="13" t="n">
        <v>0</v>
      </c>
      <c r="K148" s="13" t="n">
        <v>0</v>
      </c>
      <c r="L148" s="17" t="n">
        <v>0</v>
      </c>
      <c r="M148" s="18" t="n">
        <f aca="false">IF(H148=0,"",I148/H148)</f>
        <v>0</v>
      </c>
    </row>
    <row r="149" customFormat="false" ht="15" hidden="false" customHeight="false" outlineLevel="0" collapsed="false">
      <c r="A149" s="13" t="s">
        <v>252</v>
      </c>
      <c r="B149" s="13" t="s">
        <v>176</v>
      </c>
      <c r="C149" s="13" t="n">
        <v>0</v>
      </c>
      <c r="D149" s="13" t="n">
        <v>0</v>
      </c>
      <c r="E149" s="13" t="n">
        <v>0</v>
      </c>
      <c r="F149" s="13" t="n">
        <v>0</v>
      </c>
      <c r="G149" s="17" t="n">
        <v>0</v>
      </c>
      <c r="H149" s="13" t="n">
        <v>1</v>
      </c>
      <c r="I149" s="13" t="n">
        <v>0</v>
      </c>
      <c r="J149" s="13" t="n">
        <v>0</v>
      </c>
      <c r="K149" s="13" t="n">
        <v>0</v>
      </c>
      <c r="L149" s="17" t="n">
        <v>0</v>
      </c>
      <c r="M149" s="18" t="n">
        <f aca="false">IF(H149=0,"",I149/H149)</f>
        <v>0</v>
      </c>
    </row>
    <row r="150" customFormat="false" ht="15" hidden="false" customHeight="false" outlineLevel="0" collapsed="false">
      <c r="A150" s="13" t="s">
        <v>253</v>
      </c>
      <c r="B150" s="13" t="s">
        <v>176</v>
      </c>
      <c r="C150" s="13" t="n">
        <v>0</v>
      </c>
      <c r="D150" s="13" t="n">
        <v>0</v>
      </c>
      <c r="E150" s="13" t="n">
        <v>0</v>
      </c>
      <c r="F150" s="13" t="n">
        <v>0</v>
      </c>
      <c r="G150" s="17" t="n">
        <v>0</v>
      </c>
      <c r="H150" s="13" t="n">
        <v>1</v>
      </c>
      <c r="I150" s="13" t="n">
        <v>0</v>
      </c>
      <c r="J150" s="13" t="n">
        <v>0</v>
      </c>
      <c r="K150" s="13" t="n">
        <v>0</v>
      </c>
      <c r="L150" s="17" t="n">
        <v>0</v>
      </c>
      <c r="M150" s="18" t="n">
        <f aca="false">IF(H150=0,"",I150/H150)</f>
        <v>0</v>
      </c>
    </row>
    <row r="151" customFormat="false" ht="15" hidden="false" customHeight="false" outlineLevel="0" collapsed="false">
      <c r="A151" s="13" t="s">
        <v>254</v>
      </c>
      <c r="B151" s="13" t="s">
        <v>176</v>
      </c>
      <c r="C151" s="13" t="n">
        <v>0</v>
      </c>
      <c r="D151" s="13" t="n">
        <v>0</v>
      </c>
      <c r="E151" s="13" t="n">
        <v>0</v>
      </c>
      <c r="F151" s="13" t="n">
        <v>0</v>
      </c>
      <c r="G151" s="17" t="n">
        <v>0</v>
      </c>
      <c r="H151" s="13" t="n">
        <v>1</v>
      </c>
      <c r="I151" s="13" t="n">
        <v>0</v>
      </c>
      <c r="J151" s="13" t="n">
        <v>0</v>
      </c>
      <c r="K151" s="13" t="n">
        <v>0</v>
      </c>
      <c r="L151" s="17" t="n">
        <v>0</v>
      </c>
      <c r="M151" s="18" t="n">
        <f aca="false">IF(H151=0,"",I151/H151)</f>
        <v>0</v>
      </c>
    </row>
    <row r="152" customFormat="false" ht="15" hidden="false" customHeight="false" outlineLevel="0" collapsed="false">
      <c r="A152" s="13" t="s">
        <v>255</v>
      </c>
      <c r="B152" s="13" t="s">
        <v>176</v>
      </c>
      <c r="C152" s="13" t="n">
        <v>0</v>
      </c>
      <c r="D152" s="13" t="n">
        <v>0</v>
      </c>
      <c r="E152" s="13" t="n">
        <v>0</v>
      </c>
      <c r="F152" s="13" t="n">
        <v>0</v>
      </c>
      <c r="G152" s="17" t="n">
        <v>0</v>
      </c>
      <c r="H152" s="13" t="n">
        <v>1</v>
      </c>
      <c r="I152" s="13" t="n">
        <v>0</v>
      </c>
      <c r="J152" s="13" t="n">
        <v>0</v>
      </c>
      <c r="K152" s="13" t="n">
        <v>0</v>
      </c>
      <c r="L152" s="17" t="n">
        <v>0</v>
      </c>
      <c r="M152" s="18" t="n">
        <f aca="false">IF(H152=0,"",I152/H152)</f>
        <v>0</v>
      </c>
    </row>
    <row r="153" customFormat="false" ht="15" hidden="false" customHeight="false" outlineLevel="0" collapsed="false">
      <c r="A153" s="13" t="s">
        <v>256</v>
      </c>
      <c r="B153" s="13" t="s">
        <v>176</v>
      </c>
      <c r="C153" s="13" t="n">
        <v>0</v>
      </c>
      <c r="D153" s="13" t="n">
        <v>0</v>
      </c>
      <c r="E153" s="13" t="n">
        <v>0</v>
      </c>
      <c r="F153" s="13" t="n">
        <v>0</v>
      </c>
      <c r="G153" s="17" t="n">
        <v>0</v>
      </c>
      <c r="H153" s="13" t="n">
        <v>1</v>
      </c>
      <c r="I153" s="13" t="n">
        <v>0</v>
      </c>
      <c r="J153" s="13" t="n">
        <v>0</v>
      </c>
      <c r="K153" s="13" t="n">
        <v>0</v>
      </c>
      <c r="L153" s="17" t="n">
        <v>0</v>
      </c>
      <c r="M153" s="18" t="n">
        <f aca="false">IF(H153=0,"",I153/H153)</f>
        <v>0</v>
      </c>
    </row>
    <row r="154" customFormat="false" ht="15" hidden="false" customHeight="false" outlineLevel="0" collapsed="false">
      <c r="A154" s="13" t="s">
        <v>257</v>
      </c>
      <c r="B154" s="13" t="s">
        <v>176</v>
      </c>
      <c r="C154" s="13" t="n">
        <v>0</v>
      </c>
      <c r="D154" s="13" t="n">
        <v>0</v>
      </c>
      <c r="E154" s="13" t="n">
        <v>0</v>
      </c>
      <c r="F154" s="13" t="n">
        <v>0</v>
      </c>
      <c r="G154" s="17" t="n">
        <v>0</v>
      </c>
      <c r="H154" s="13" t="n">
        <v>2</v>
      </c>
      <c r="I154" s="13" t="n">
        <v>0</v>
      </c>
      <c r="J154" s="13" t="n">
        <v>0</v>
      </c>
      <c r="K154" s="13" t="n">
        <v>0</v>
      </c>
      <c r="L154" s="17" t="n">
        <v>0</v>
      </c>
      <c r="M154" s="18" t="n">
        <f aca="false">IF(H154=0,"",I154/H154)</f>
        <v>0</v>
      </c>
    </row>
    <row r="155" customFormat="false" ht="15" hidden="false" customHeight="false" outlineLevel="0" collapsed="false">
      <c r="A155" s="13" t="s">
        <v>258</v>
      </c>
      <c r="B155" s="13" t="s">
        <v>176</v>
      </c>
      <c r="C155" s="13" t="n">
        <v>0</v>
      </c>
      <c r="D155" s="13" t="n">
        <v>0</v>
      </c>
      <c r="E155" s="13" t="n">
        <v>0</v>
      </c>
      <c r="F155" s="13" t="n">
        <v>0</v>
      </c>
      <c r="G155" s="17" t="n">
        <v>0</v>
      </c>
      <c r="H155" s="13" t="n">
        <v>1</v>
      </c>
      <c r="I155" s="13" t="n">
        <v>0</v>
      </c>
      <c r="J155" s="13" t="n">
        <v>0</v>
      </c>
      <c r="K155" s="13" t="n">
        <v>0</v>
      </c>
      <c r="L155" s="17" t="n">
        <v>0</v>
      </c>
      <c r="M155" s="18" t="n">
        <f aca="false">IF(H155=0,"",I155/H155)</f>
        <v>0</v>
      </c>
    </row>
    <row r="156" customFormat="false" ht="15" hidden="false" customHeight="false" outlineLevel="0" collapsed="false">
      <c r="A156" s="13" t="s">
        <v>259</v>
      </c>
      <c r="B156" s="13" t="s">
        <v>176</v>
      </c>
      <c r="C156" s="13" t="n">
        <v>0</v>
      </c>
      <c r="D156" s="13" t="n">
        <v>0</v>
      </c>
      <c r="E156" s="13" t="n">
        <v>0</v>
      </c>
      <c r="F156" s="13" t="n">
        <v>0</v>
      </c>
      <c r="G156" s="17" t="n">
        <v>0</v>
      </c>
      <c r="H156" s="13" t="n">
        <v>1</v>
      </c>
      <c r="I156" s="13" t="n">
        <v>0</v>
      </c>
      <c r="J156" s="13" t="n">
        <v>0</v>
      </c>
      <c r="K156" s="13" t="n">
        <v>0</v>
      </c>
      <c r="L156" s="17" t="n">
        <v>0</v>
      </c>
      <c r="M156" s="18" t="n">
        <f aca="false">IF(H156=0,"",I156/H156)</f>
        <v>0</v>
      </c>
    </row>
    <row r="157" customFormat="false" ht="15" hidden="false" customHeight="false" outlineLevel="0" collapsed="false">
      <c r="A157" s="13" t="s">
        <v>260</v>
      </c>
      <c r="B157" s="13" t="s">
        <v>176</v>
      </c>
      <c r="C157" s="13" t="n">
        <v>0</v>
      </c>
      <c r="D157" s="13" t="n">
        <v>0</v>
      </c>
      <c r="E157" s="13" t="n">
        <v>0</v>
      </c>
      <c r="F157" s="13" t="n">
        <v>0</v>
      </c>
      <c r="G157" s="17" t="n">
        <v>0</v>
      </c>
      <c r="H157" s="13" t="n">
        <v>1</v>
      </c>
      <c r="I157" s="13" t="n">
        <v>0</v>
      </c>
      <c r="J157" s="13" t="n">
        <v>0</v>
      </c>
      <c r="K157" s="13" t="n">
        <v>0</v>
      </c>
      <c r="L157" s="17" t="n">
        <v>0</v>
      </c>
      <c r="M157" s="18" t="n">
        <f aca="false">IF(H157=0,"",I157/H157)</f>
        <v>0</v>
      </c>
    </row>
    <row r="158" customFormat="false" ht="15" hidden="false" customHeight="false" outlineLevel="0" collapsed="false">
      <c r="A158" s="13" t="s">
        <v>261</v>
      </c>
      <c r="B158" s="13" t="s">
        <v>176</v>
      </c>
      <c r="C158" s="13" t="n">
        <v>0</v>
      </c>
      <c r="D158" s="13" t="n">
        <v>0</v>
      </c>
      <c r="E158" s="13" t="n">
        <v>0</v>
      </c>
      <c r="F158" s="13" t="n">
        <v>0</v>
      </c>
      <c r="G158" s="17" t="n">
        <v>0</v>
      </c>
      <c r="H158" s="13" t="n">
        <v>1</v>
      </c>
      <c r="I158" s="13" t="n">
        <v>0</v>
      </c>
      <c r="J158" s="13" t="n">
        <v>0</v>
      </c>
      <c r="K158" s="13" t="n">
        <v>0</v>
      </c>
      <c r="L158" s="17" t="n">
        <v>0</v>
      </c>
      <c r="M158" s="18" t="n">
        <f aca="false">IF(H158=0,"",I158/H158)</f>
        <v>0</v>
      </c>
    </row>
    <row r="159" customFormat="false" ht="15" hidden="false" customHeight="false" outlineLevel="0" collapsed="false">
      <c r="A159" s="13" t="s">
        <v>262</v>
      </c>
      <c r="B159" s="13" t="s">
        <v>176</v>
      </c>
      <c r="C159" s="13" t="n">
        <v>0</v>
      </c>
      <c r="D159" s="13" t="n">
        <v>0</v>
      </c>
      <c r="E159" s="13" t="n">
        <v>0</v>
      </c>
      <c r="F159" s="13" t="n">
        <v>0</v>
      </c>
      <c r="G159" s="17" t="n">
        <v>0</v>
      </c>
      <c r="H159" s="13" t="n">
        <v>1</v>
      </c>
      <c r="I159" s="13" t="n">
        <v>0</v>
      </c>
      <c r="J159" s="13" t="n">
        <v>0</v>
      </c>
      <c r="K159" s="13" t="n">
        <v>0</v>
      </c>
      <c r="L159" s="17" t="n">
        <v>0</v>
      </c>
      <c r="M159" s="18" t="n">
        <f aca="false">IF(H159=0,"",I159/H159)</f>
        <v>0</v>
      </c>
    </row>
    <row r="160" customFormat="false" ht="15" hidden="false" customHeight="false" outlineLevel="0" collapsed="false">
      <c r="A160" s="13" t="s">
        <v>263</v>
      </c>
      <c r="B160" s="13" t="s">
        <v>176</v>
      </c>
      <c r="C160" s="13" t="n">
        <v>0</v>
      </c>
      <c r="D160" s="13" t="n">
        <v>0</v>
      </c>
      <c r="E160" s="13" t="n">
        <v>0</v>
      </c>
      <c r="F160" s="13" t="n">
        <v>0</v>
      </c>
      <c r="G160" s="17" t="n">
        <v>0</v>
      </c>
      <c r="H160" s="13" t="n">
        <v>1</v>
      </c>
      <c r="I160" s="13" t="n">
        <v>0</v>
      </c>
      <c r="J160" s="13" t="n">
        <v>0</v>
      </c>
      <c r="K160" s="13" t="n">
        <v>0</v>
      </c>
      <c r="L160" s="17" t="n">
        <v>0</v>
      </c>
      <c r="M160" s="18" t="n">
        <f aca="false">IF(H160=0,"",I160/H160)</f>
        <v>0</v>
      </c>
    </row>
    <row r="161" customFormat="false" ht="15" hidden="false" customHeight="false" outlineLevel="0" collapsed="false">
      <c r="A161" s="13" t="s">
        <v>264</v>
      </c>
      <c r="B161" s="13" t="s">
        <v>176</v>
      </c>
      <c r="C161" s="13" t="n">
        <v>0</v>
      </c>
      <c r="D161" s="13" t="n">
        <v>0</v>
      </c>
      <c r="E161" s="13" t="n">
        <v>0</v>
      </c>
      <c r="F161" s="13" t="n">
        <v>0</v>
      </c>
      <c r="G161" s="17" t="n">
        <v>0</v>
      </c>
      <c r="H161" s="13" t="n">
        <v>1</v>
      </c>
      <c r="I161" s="13" t="n">
        <v>0</v>
      </c>
      <c r="J161" s="13" t="n">
        <v>0</v>
      </c>
      <c r="K161" s="13" t="n">
        <v>0</v>
      </c>
      <c r="L161" s="17" t="n">
        <v>0</v>
      </c>
      <c r="M161" s="18" t="n">
        <f aca="false">IF(H161=0,"",I161/H161)</f>
        <v>0</v>
      </c>
    </row>
    <row r="162" customFormat="false" ht="15" hidden="false" customHeight="false" outlineLevel="0" collapsed="false">
      <c r="A162" s="13" t="s">
        <v>265</v>
      </c>
      <c r="B162" s="13" t="s">
        <v>176</v>
      </c>
      <c r="C162" s="13" t="n">
        <v>0</v>
      </c>
      <c r="D162" s="13" t="n">
        <v>0</v>
      </c>
      <c r="E162" s="13" t="n">
        <v>0</v>
      </c>
      <c r="F162" s="13" t="n">
        <v>0</v>
      </c>
      <c r="G162" s="17" t="n">
        <v>0</v>
      </c>
      <c r="H162" s="13" t="n">
        <v>1</v>
      </c>
      <c r="I162" s="13" t="n">
        <v>0</v>
      </c>
      <c r="J162" s="13" t="n">
        <v>0</v>
      </c>
      <c r="K162" s="13" t="n">
        <v>0</v>
      </c>
      <c r="L162" s="17" t="n">
        <v>0</v>
      </c>
      <c r="M162" s="18" t="n">
        <f aca="false">IF(H162=0,"",I162/H162)</f>
        <v>0</v>
      </c>
    </row>
    <row r="163" customFormat="false" ht="15" hidden="false" customHeight="false" outlineLevel="0" collapsed="false">
      <c r="A163" s="13" t="s">
        <v>266</v>
      </c>
      <c r="B163" s="13" t="s">
        <v>176</v>
      </c>
      <c r="C163" s="13" t="n">
        <v>0</v>
      </c>
      <c r="D163" s="13" t="n">
        <v>0</v>
      </c>
      <c r="E163" s="13" t="n">
        <v>0</v>
      </c>
      <c r="F163" s="13" t="n">
        <v>0</v>
      </c>
      <c r="G163" s="17" t="n">
        <v>0</v>
      </c>
      <c r="H163" s="13" t="n">
        <v>1</v>
      </c>
      <c r="I163" s="13" t="n">
        <v>0</v>
      </c>
      <c r="J163" s="13" t="n">
        <v>0</v>
      </c>
      <c r="K163" s="13" t="n">
        <v>0</v>
      </c>
      <c r="L163" s="17" t="n">
        <v>0</v>
      </c>
      <c r="M163" s="18" t="n">
        <f aca="false">IF(H163=0,"",I163/H163)</f>
        <v>0</v>
      </c>
    </row>
    <row r="164" customFormat="false" ht="15" hidden="false" customHeight="false" outlineLevel="0" collapsed="false">
      <c r="A164" s="13" t="s">
        <v>267</v>
      </c>
      <c r="B164" s="13" t="s">
        <v>176</v>
      </c>
      <c r="C164" s="13" t="n">
        <v>0</v>
      </c>
      <c r="D164" s="13" t="n">
        <v>0</v>
      </c>
      <c r="E164" s="13" t="n">
        <v>0</v>
      </c>
      <c r="F164" s="13" t="n">
        <v>0</v>
      </c>
      <c r="G164" s="17" t="n">
        <v>0</v>
      </c>
      <c r="H164" s="13" t="n">
        <v>1</v>
      </c>
      <c r="I164" s="13" t="n">
        <v>0</v>
      </c>
      <c r="J164" s="13" t="n">
        <v>0</v>
      </c>
      <c r="K164" s="13" t="n">
        <v>0</v>
      </c>
      <c r="L164" s="17" t="n">
        <v>0</v>
      </c>
      <c r="M164" s="18" t="n">
        <f aca="false">IF(H164=0,"",I164/H164)</f>
        <v>0</v>
      </c>
    </row>
    <row r="165" customFormat="false" ht="15" hidden="false" customHeight="false" outlineLevel="0" collapsed="false">
      <c r="A165" s="13" t="s">
        <v>268</v>
      </c>
      <c r="B165" s="13" t="s">
        <v>176</v>
      </c>
      <c r="C165" s="13" t="n">
        <v>0</v>
      </c>
      <c r="D165" s="13" t="n">
        <v>0</v>
      </c>
      <c r="E165" s="13" t="n">
        <v>0</v>
      </c>
      <c r="F165" s="13" t="n">
        <v>0</v>
      </c>
      <c r="G165" s="17" t="n">
        <v>0</v>
      </c>
      <c r="H165" s="13" t="n">
        <v>1</v>
      </c>
      <c r="I165" s="13" t="n">
        <v>0</v>
      </c>
      <c r="J165" s="13" t="n">
        <v>0</v>
      </c>
      <c r="K165" s="13" t="n">
        <v>0</v>
      </c>
      <c r="L165" s="17" t="n">
        <v>0</v>
      </c>
      <c r="M165" s="18" t="n">
        <f aca="false">IF(H165=0,"",I165/H165)</f>
        <v>0</v>
      </c>
    </row>
    <row r="166" customFormat="false" ht="15" hidden="false" customHeight="false" outlineLevel="0" collapsed="false">
      <c r="A166" s="13" t="s">
        <v>269</v>
      </c>
      <c r="B166" s="13" t="s">
        <v>176</v>
      </c>
      <c r="C166" s="13" t="n">
        <v>0</v>
      </c>
      <c r="D166" s="13" t="n">
        <v>0</v>
      </c>
      <c r="E166" s="13" t="n">
        <v>0</v>
      </c>
      <c r="F166" s="13" t="n">
        <v>0</v>
      </c>
      <c r="G166" s="17" t="n">
        <v>0</v>
      </c>
      <c r="H166" s="13" t="n">
        <v>1</v>
      </c>
      <c r="I166" s="13" t="n">
        <v>0</v>
      </c>
      <c r="J166" s="13" t="n">
        <v>0</v>
      </c>
      <c r="K166" s="13" t="n">
        <v>0</v>
      </c>
      <c r="L166" s="17" t="n">
        <v>0</v>
      </c>
      <c r="M166" s="18" t="n">
        <f aca="false">IF(H166=0,"",I166/H166)</f>
        <v>0</v>
      </c>
    </row>
    <row r="167" customFormat="false" ht="15" hidden="false" customHeight="false" outlineLevel="0" collapsed="false">
      <c r="A167" s="13" t="s">
        <v>149</v>
      </c>
      <c r="B167" s="13" t="s">
        <v>169</v>
      </c>
      <c r="C167" s="13" t="n">
        <v>1</v>
      </c>
      <c r="D167" s="13" t="n">
        <v>0</v>
      </c>
      <c r="E167" s="13" t="n">
        <v>1</v>
      </c>
      <c r="F167" s="13" t="n">
        <v>2</v>
      </c>
      <c r="G167" s="17" t="n">
        <v>0</v>
      </c>
      <c r="H167" s="13" t="n">
        <v>1</v>
      </c>
      <c r="I167" s="13" t="n">
        <v>0</v>
      </c>
      <c r="J167" s="13" t="n">
        <v>1</v>
      </c>
      <c r="K167" s="13" t="n">
        <v>2</v>
      </c>
      <c r="L167" s="17" t="n">
        <v>0</v>
      </c>
      <c r="M167" s="18" t="n">
        <f aca="false">IF(H167=0,"",I167/H167)</f>
        <v>0</v>
      </c>
    </row>
    <row r="168" customFormat="false" ht="15" hidden="false" customHeight="false" outlineLevel="0" collapsed="false">
      <c r="A168" s="13" t="s">
        <v>149</v>
      </c>
      <c r="B168" s="13" t="s">
        <v>170</v>
      </c>
      <c r="C168" s="13" t="n">
        <v>1</v>
      </c>
      <c r="D168" s="13" t="n">
        <v>0</v>
      </c>
      <c r="E168" s="13" t="n">
        <v>0</v>
      </c>
      <c r="F168" s="13" t="n">
        <v>0</v>
      </c>
      <c r="G168" s="17" t="n">
        <v>0</v>
      </c>
      <c r="H168" s="13" t="n">
        <v>6</v>
      </c>
      <c r="I168" s="13" t="n">
        <v>3</v>
      </c>
      <c r="J168" s="13" t="n">
        <v>2</v>
      </c>
      <c r="K168" s="13" t="n">
        <v>0</v>
      </c>
      <c r="L168" s="17" t="n">
        <v>0</v>
      </c>
      <c r="M168" s="18" t="n">
        <f aca="false">IF(H168=0,"",I168/H168)</f>
        <v>0.5</v>
      </c>
    </row>
    <row r="169" customFormat="false" ht="15" hidden="false" customHeight="false" outlineLevel="0" collapsed="false">
      <c r="A169" s="13" t="s">
        <v>149</v>
      </c>
      <c r="B169" s="13" t="s">
        <v>172</v>
      </c>
      <c r="C169" s="13" t="n">
        <v>6</v>
      </c>
      <c r="D169" s="13" t="n">
        <v>2</v>
      </c>
      <c r="E169" s="13" t="n">
        <v>4</v>
      </c>
      <c r="F169" s="13" t="n">
        <v>0</v>
      </c>
      <c r="G169" s="17" t="n">
        <v>0.0016952</v>
      </c>
      <c r="H169" s="13" t="n">
        <v>22</v>
      </c>
      <c r="I169" s="13" t="n">
        <v>12</v>
      </c>
      <c r="J169" s="13" t="n">
        <v>9</v>
      </c>
      <c r="K169" s="13" t="n">
        <v>0</v>
      </c>
      <c r="L169" s="17" t="n">
        <v>0.0079672</v>
      </c>
      <c r="M169" s="18" t="n">
        <f aca="false">IF(H169=0,"",I169/H169)</f>
        <v>0.545454545454545</v>
      </c>
    </row>
    <row r="170" customFormat="false" ht="15" hidden="false" customHeight="false" outlineLevel="0" collapsed="false">
      <c r="A170" s="13" t="s">
        <v>149</v>
      </c>
      <c r="B170" s="13" t="s">
        <v>173</v>
      </c>
      <c r="C170" s="13" t="n">
        <v>0</v>
      </c>
      <c r="D170" s="13" t="n">
        <v>0</v>
      </c>
      <c r="E170" s="13" t="n">
        <v>0</v>
      </c>
      <c r="F170" s="13" t="n">
        <v>0</v>
      </c>
      <c r="G170" s="17" t="n">
        <v>0</v>
      </c>
      <c r="H170" s="13" t="n">
        <v>6</v>
      </c>
      <c r="I170" s="13" t="n">
        <v>1</v>
      </c>
      <c r="J170" s="13" t="n">
        <v>5</v>
      </c>
      <c r="K170" s="13" t="n">
        <v>0</v>
      </c>
      <c r="L170" s="17" t="n">
        <v>0.0038712</v>
      </c>
      <c r="M170" s="18" t="n">
        <f aca="false">IF(H170=0,"",I170/H170)</f>
        <v>0.166666666666667</v>
      </c>
    </row>
    <row r="171" customFormat="false" ht="15" hidden="false" customHeight="false" outlineLevel="0" collapsed="false">
      <c r="A171" s="13" t="s">
        <v>149</v>
      </c>
      <c r="B171" s="13" t="s">
        <v>174</v>
      </c>
      <c r="C171" s="13" t="n">
        <v>0</v>
      </c>
      <c r="D171" s="13" t="n">
        <v>0</v>
      </c>
      <c r="E171" s="13" t="n">
        <v>0</v>
      </c>
      <c r="F171" s="13" t="n">
        <v>0</v>
      </c>
      <c r="G171" s="17" t="n">
        <v>0</v>
      </c>
      <c r="H171" s="13" t="n">
        <v>23</v>
      </c>
      <c r="I171" s="13" t="n">
        <v>18</v>
      </c>
      <c r="J171" s="13" t="n">
        <v>0</v>
      </c>
      <c r="K171" s="13" t="n">
        <v>0</v>
      </c>
      <c r="L171" s="17" t="n">
        <v>0.0071177</v>
      </c>
      <c r="M171" s="18" t="n">
        <f aca="false">IF(H171=0,"",I171/H171)</f>
        <v>0.782608695652174</v>
      </c>
    </row>
    <row r="172" customFormat="false" ht="15" hidden="false" customHeight="false" outlineLevel="0" collapsed="false">
      <c r="A172" s="13" t="s">
        <v>149</v>
      </c>
      <c r="B172" s="13" t="s">
        <v>175</v>
      </c>
      <c r="C172" s="13" t="n">
        <v>0</v>
      </c>
      <c r="D172" s="13" t="n">
        <v>0</v>
      </c>
      <c r="E172" s="13" t="n">
        <v>0</v>
      </c>
      <c r="F172" s="13" t="n">
        <v>0</v>
      </c>
      <c r="G172" s="17" t="n">
        <v>0</v>
      </c>
      <c r="H172" s="13" t="n">
        <v>23</v>
      </c>
      <c r="I172" s="13" t="n">
        <v>0</v>
      </c>
      <c r="J172" s="13" t="n">
        <v>0</v>
      </c>
      <c r="K172" s="13" t="n">
        <v>23</v>
      </c>
      <c r="L172" s="17" t="n">
        <v>0</v>
      </c>
      <c r="M172" s="18" t="n">
        <f aca="false">IF(H172=0,"",I172/H172)</f>
        <v>0</v>
      </c>
    </row>
    <row r="173" customFormat="false" ht="15" hidden="false" customHeight="false" outlineLevel="0" collapsed="false">
      <c r="A173" s="13" t="s">
        <v>149</v>
      </c>
      <c r="B173" s="13" t="s">
        <v>176</v>
      </c>
      <c r="C173" s="13" t="n">
        <v>0</v>
      </c>
      <c r="D173" s="13" t="n">
        <v>0</v>
      </c>
      <c r="E173" s="13" t="n">
        <v>0</v>
      </c>
      <c r="F173" s="13" t="n">
        <v>0</v>
      </c>
      <c r="G173" s="17" t="n">
        <v>0</v>
      </c>
      <c r="H173" s="13" t="n">
        <v>4</v>
      </c>
      <c r="I173" s="13" t="n">
        <v>0</v>
      </c>
      <c r="J173" s="13" t="n">
        <v>0</v>
      </c>
      <c r="K173" s="13" t="n">
        <v>0</v>
      </c>
      <c r="L173" s="17" t="n">
        <v>0</v>
      </c>
      <c r="M173" s="18" t="n">
        <f aca="false">IF(H173=0,"",I173/H173)</f>
        <v>0</v>
      </c>
    </row>
    <row r="174" customFormat="false" ht="15" hidden="false" customHeight="false" outlineLevel="0" collapsed="false">
      <c r="A174" s="13" t="s">
        <v>270</v>
      </c>
      <c r="B174" s="13" t="s">
        <v>176</v>
      </c>
      <c r="C174" s="13" t="n">
        <v>0</v>
      </c>
      <c r="D174" s="13" t="n">
        <v>0</v>
      </c>
      <c r="E174" s="13" t="n">
        <v>0</v>
      </c>
      <c r="F174" s="13" t="n">
        <v>0</v>
      </c>
      <c r="G174" s="17" t="n">
        <v>0</v>
      </c>
      <c r="H174" s="13" t="n">
        <v>1</v>
      </c>
      <c r="I174" s="13" t="n">
        <v>0</v>
      </c>
      <c r="J174" s="13" t="n">
        <v>0</v>
      </c>
      <c r="K174" s="13" t="n">
        <v>0</v>
      </c>
      <c r="L174" s="17" t="n">
        <v>0</v>
      </c>
      <c r="M174" s="18" t="n">
        <f aca="false">IF(H174=0,"",I174/H174)</f>
        <v>0</v>
      </c>
    </row>
    <row r="175" customFormat="false" ht="15" hidden="false" customHeight="false" outlineLevel="0" collapsed="false">
      <c r="A175" s="13" t="s">
        <v>151</v>
      </c>
      <c r="B175" s="13" t="s">
        <v>169</v>
      </c>
      <c r="C175" s="13" t="n">
        <v>1</v>
      </c>
      <c r="D175" s="13" t="n">
        <v>0</v>
      </c>
      <c r="E175" s="13" t="n">
        <v>1</v>
      </c>
      <c r="F175" s="13" t="n">
        <v>2</v>
      </c>
      <c r="G175" s="17" t="n">
        <v>0</v>
      </c>
      <c r="H175" s="13" t="n">
        <v>1</v>
      </c>
      <c r="I175" s="13" t="n">
        <v>0</v>
      </c>
      <c r="J175" s="13" t="n">
        <v>1</v>
      </c>
      <c r="K175" s="13" t="n">
        <v>2</v>
      </c>
      <c r="L175" s="17" t="n">
        <v>0</v>
      </c>
      <c r="M175" s="18" t="n">
        <f aca="false">IF(H175=0,"",I175/H175)</f>
        <v>0</v>
      </c>
    </row>
    <row r="176" customFormat="false" ht="15" hidden="false" customHeight="false" outlineLevel="0" collapsed="false">
      <c r="A176" s="13" t="s">
        <v>151</v>
      </c>
      <c r="B176" s="13" t="s">
        <v>170</v>
      </c>
      <c r="C176" s="13" t="n">
        <v>1</v>
      </c>
      <c r="D176" s="13" t="n">
        <v>0</v>
      </c>
      <c r="E176" s="13" t="n">
        <v>1</v>
      </c>
      <c r="F176" s="13" t="n">
        <v>0</v>
      </c>
      <c r="G176" s="17" t="n">
        <v>0</v>
      </c>
      <c r="H176" s="13" t="n">
        <v>3</v>
      </c>
      <c r="I176" s="13" t="n">
        <v>2</v>
      </c>
      <c r="J176" s="13" t="n">
        <v>1</v>
      </c>
      <c r="K176" s="13" t="n">
        <v>0</v>
      </c>
      <c r="L176" s="17" t="n">
        <v>0</v>
      </c>
      <c r="M176" s="18" t="n">
        <f aca="false">IF(H176=0,"",I176/H176)</f>
        <v>0.666666666666667</v>
      </c>
    </row>
    <row r="177" customFormat="false" ht="15" hidden="false" customHeight="false" outlineLevel="0" collapsed="false">
      <c r="A177" s="13" t="s">
        <v>151</v>
      </c>
      <c r="B177" s="13" t="s">
        <v>172</v>
      </c>
      <c r="C177" s="13" t="n">
        <v>6</v>
      </c>
      <c r="D177" s="13" t="n">
        <v>0</v>
      </c>
      <c r="E177" s="13" t="n">
        <v>6</v>
      </c>
      <c r="F177" s="13" t="n">
        <v>0</v>
      </c>
      <c r="G177" s="17" t="n">
        <v>0.002154</v>
      </c>
      <c r="H177" s="13" t="n">
        <v>18</v>
      </c>
      <c r="I177" s="13" t="n">
        <v>6</v>
      </c>
      <c r="J177" s="13" t="n">
        <v>10</v>
      </c>
      <c r="K177" s="13" t="n">
        <v>0</v>
      </c>
      <c r="L177" s="17" t="n">
        <v>0.0101712</v>
      </c>
      <c r="M177" s="18" t="n">
        <f aca="false">IF(H177=0,"",I177/H177)</f>
        <v>0.333333333333333</v>
      </c>
    </row>
    <row r="178" customFormat="false" ht="15" hidden="false" customHeight="false" outlineLevel="0" collapsed="false">
      <c r="A178" s="13" t="s">
        <v>151</v>
      </c>
      <c r="B178" s="13" t="s">
        <v>173</v>
      </c>
      <c r="C178" s="13" t="n">
        <v>0</v>
      </c>
      <c r="D178" s="13" t="n">
        <v>0</v>
      </c>
      <c r="E178" s="13" t="n">
        <v>0</v>
      </c>
      <c r="F178" s="13" t="n">
        <v>0</v>
      </c>
      <c r="G178" s="17" t="n">
        <v>0</v>
      </c>
      <c r="H178" s="13" t="n">
        <v>5</v>
      </c>
      <c r="I178" s="13" t="n">
        <v>1</v>
      </c>
      <c r="J178" s="13" t="n">
        <v>4</v>
      </c>
      <c r="K178" s="13" t="n">
        <v>0</v>
      </c>
      <c r="L178" s="17" t="n">
        <v>0.0196904</v>
      </c>
      <c r="M178" s="18" t="n">
        <f aca="false">IF(H178=0,"",I178/H178)</f>
        <v>0.2</v>
      </c>
    </row>
    <row r="179" customFormat="false" ht="15" hidden="false" customHeight="false" outlineLevel="0" collapsed="false">
      <c r="A179" s="13" t="s">
        <v>151</v>
      </c>
      <c r="B179" s="13" t="s">
        <v>174</v>
      </c>
      <c r="C179" s="13" t="n">
        <v>0</v>
      </c>
      <c r="D179" s="13" t="n">
        <v>0</v>
      </c>
      <c r="E179" s="13" t="n">
        <v>0</v>
      </c>
      <c r="F179" s="13" t="n">
        <v>0</v>
      </c>
      <c r="G179" s="17" t="n">
        <v>0</v>
      </c>
      <c r="H179" s="13" t="n">
        <v>80</v>
      </c>
      <c r="I179" s="13" t="n">
        <v>40</v>
      </c>
      <c r="J179" s="13" t="n">
        <v>1</v>
      </c>
      <c r="K179" s="13" t="n">
        <v>0</v>
      </c>
      <c r="L179" s="17" t="n">
        <v>0.03680443</v>
      </c>
      <c r="M179" s="18" t="n">
        <f aca="false">IF(H179=0,"",I179/H179)</f>
        <v>0.5</v>
      </c>
    </row>
    <row r="180" customFormat="false" ht="15" hidden="false" customHeight="false" outlineLevel="0" collapsed="false">
      <c r="A180" s="13" t="s">
        <v>151</v>
      </c>
      <c r="B180" s="13" t="s">
        <v>175</v>
      </c>
      <c r="C180" s="13" t="n">
        <v>0</v>
      </c>
      <c r="D180" s="13" t="n">
        <v>0</v>
      </c>
      <c r="E180" s="13" t="n">
        <v>0</v>
      </c>
      <c r="F180" s="13" t="n">
        <v>0</v>
      </c>
      <c r="G180" s="17" t="n">
        <v>0</v>
      </c>
      <c r="H180" s="13" t="n">
        <v>51</v>
      </c>
      <c r="I180" s="13" t="n">
        <v>0</v>
      </c>
      <c r="J180" s="13" t="n">
        <v>0</v>
      </c>
      <c r="K180" s="13" t="n">
        <v>125</v>
      </c>
      <c r="L180" s="17" t="n">
        <v>0</v>
      </c>
      <c r="M180" s="18" t="n">
        <f aca="false">IF(H180=0,"",I180/H180)</f>
        <v>0</v>
      </c>
    </row>
    <row r="181" customFormat="false" ht="15" hidden="false" customHeight="false" outlineLevel="0" collapsed="false">
      <c r="A181" s="13" t="s">
        <v>151</v>
      </c>
      <c r="B181" s="13" t="s">
        <v>176</v>
      </c>
      <c r="C181" s="13" t="n">
        <v>0</v>
      </c>
      <c r="D181" s="13" t="n">
        <v>0</v>
      </c>
      <c r="E181" s="13" t="n">
        <v>0</v>
      </c>
      <c r="F181" s="13" t="n">
        <v>0</v>
      </c>
      <c r="G181" s="17" t="n">
        <v>0</v>
      </c>
      <c r="H181" s="13" t="n">
        <v>2</v>
      </c>
      <c r="I181" s="13" t="n">
        <v>0</v>
      </c>
      <c r="J181" s="13" t="n">
        <v>0</v>
      </c>
      <c r="K181" s="13" t="n">
        <v>0</v>
      </c>
      <c r="L181" s="17" t="n">
        <v>0</v>
      </c>
      <c r="M181" s="18" t="n">
        <f aca="false">IF(H181=0,"",I181/H181)</f>
        <v>0</v>
      </c>
    </row>
    <row r="182" customFormat="false" ht="15" hidden="false" customHeight="false" outlineLevel="0" collapsed="false">
      <c r="A182" s="13" t="s">
        <v>67</v>
      </c>
      <c r="B182" s="13" t="s">
        <v>170</v>
      </c>
      <c r="C182" s="13" t="n">
        <v>0</v>
      </c>
      <c r="D182" s="13" t="n">
        <v>0</v>
      </c>
      <c r="E182" s="13" t="n">
        <v>0</v>
      </c>
      <c r="F182" s="13" t="n">
        <v>0</v>
      </c>
      <c r="G182" s="17" t="n">
        <v>0</v>
      </c>
      <c r="H182" s="13" t="n">
        <v>141</v>
      </c>
      <c r="I182" s="13" t="n">
        <v>138</v>
      </c>
      <c r="J182" s="13" t="n">
        <v>2</v>
      </c>
      <c r="K182" s="13" t="n">
        <v>1</v>
      </c>
      <c r="L182" s="17" t="n">
        <v>0</v>
      </c>
      <c r="M182" s="18" t="n">
        <f aca="false">IF(H182=0,"",I182/H182)</f>
        <v>0.978723404255319</v>
      </c>
    </row>
    <row r="183" customFormat="false" ht="15" hidden="false" customHeight="false" outlineLevel="0" collapsed="false">
      <c r="A183" s="13" t="s">
        <v>67</v>
      </c>
      <c r="B183" s="13" t="s">
        <v>172</v>
      </c>
      <c r="C183" s="13" t="n">
        <v>0</v>
      </c>
      <c r="D183" s="13" t="n">
        <v>0</v>
      </c>
      <c r="E183" s="13" t="n">
        <v>0</v>
      </c>
      <c r="F183" s="13" t="n">
        <v>0</v>
      </c>
      <c r="G183" s="17" t="n">
        <v>0</v>
      </c>
      <c r="H183" s="13" t="n">
        <v>573</v>
      </c>
      <c r="I183" s="13" t="n">
        <v>151</v>
      </c>
      <c r="J183" s="13" t="n">
        <v>402</v>
      </c>
      <c r="K183" s="13" t="n">
        <v>0</v>
      </c>
      <c r="L183" s="17" t="n">
        <v>0.4402922</v>
      </c>
      <c r="M183" s="18" t="n">
        <f aca="false">IF(H183=0,"",I183/H183)</f>
        <v>0.263525305410122</v>
      </c>
    </row>
    <row r="184" customFormat="false" ht="15" hidden="false" customHeight="false" outlineLevel="0" collapsed="false">
      <c r="A184" s="13" t="s">
        <v>67</v>
      </c>
      <c r="B184" s="13" t="s">
        <v>173</v>
      </c>
      <c r="C184" s="13" t="n">
        <v>0</v>
      </c>
      <c r="D184" s="13" t="n">
        <v>0</v>
      </c>
      <c r="E184" s="13" t="n">
        <v>0</v>
      </c>
      <c r="F184" s="13" t="n">
        <v>0</v>
      </c>
      <c r="G184" s="17" t="n">
        <v>0</v>
      </c>
      <c r="H184" s="13" t="n">
        <v>75</v>
      </c>
      <c r="I184" s="13" t="n">
        <v>68</v>
      </c>
      <c r="J184" s="13" t="n">
        <v>7</v>
      </c>
      <c r="K184" s="13" t="n">
        <v>0</v>
      </c>
      <c r="L184" s="17" t="n">
        <v>0.2616332</v>
      </c>
      <c r="M184" s="18" t="n">
        <f aca="false">IF(H184=0,"",I184/H184)</f>
        <v>0.906666666666667</v>
      </c>
    </row>
    <row r="185" customFormat="false" ht="15" hidden="false" customHeight="false" outlineLevel="0" collapsed="false">
      <c r="A185" s="13" t="s">
        <v>67</v>
      </c>
      <c r="B185" s="13" t="s">
        <v>175</v>
      </c>
      <c r="C185" s="13" t="n">
        <v>0</v>
      </c>
      <c r="D185" s="13" t="n">
        <v>0</v>
      </c>
      <c r="E185" s="13" t="n">
        <v>0</v>
      </c>
      <c r="F185" s="13" t="n">
        <v>0</v>
      </c>
      <c r="G185" s="17" t="n">
        <v>0</v>
      </c>
      <c r="H185" s="13" t="n">
        <v>1</v>
      </c>
      <c r="I185" s="13" t="n">
        <v>0</v>
      </c>
      <c r="J185" s="13" t="n">
        <v>0</v>
      </c>
      <c r="K185" s="13" t="n">
        <v>1</v>
      </c>
      <c r="L185" s="17" t="n">
        <v>0</v>
      </c>
      <c r="M185" s="18" t="n">
        <f aca="false">IF(H185=0,"",I185/H185)</f>
        <v>0</v>
      </c>
    </row>
    <row r="186" customFormat="false" ht="15" hidden="false" customHeight="false" outlineLevel="0" collapsed="false">
      <c r="A186" s="13" t="s">
        <v>67</v>
      </c>
      <c r="B186" s="13" t="s">
        <v>176</v>
      </c>
      <c r="C186" s="13" t="n">
        <v>0</v>
      </c>
      <c r="D186" s="13" t="n">
        <v>0</v>
      </c>
      <c r="E186" s="13" t="n">
        <v>0</v>
      </c>
      <c r="F186" s="13" t="n">
        <v>0</v>
      </c>
      <c r="G186" s="17" t="n">
        <v>0</v>
      </c>
      <c r="H186" s="13" t="n">
        <v>152</v>
      </c>
      <c r="I186" s="13" t="n">
        <v>0</v>
      </c>
      <c r="J186" s="13" t="n">
        <v>0</v>
      </c>
      <c r="K186" s="13" t="n">
        <v>0</v>
      </c>
      <c r="L186" s="17" t="n">
        <v>0</v>
      </c>
      <c r="M186" s="18" t="n">
        <f aca="false">IF(H186=0,"",I186/H186)</f>
        <v>0</v>
      </c>
    </row>
    <row r="187" customFormat="false" ht="15" hidden="false" customHeight="false" outlineLevel="0" collapsed="false">
      <c r="A187" s="13" t="s">
        <v>103</v>
      </c>
      <c r="B187" s="13" t="s">
        <v>170</v>
      </c>
      <c r="C187" s="13" t="n">
        <v>0</v>
      </c>
      <c r="D187" s="13" t="n">
        <v>0</v>
      </c>
      <c r="E187" s="13" t="n">
        <v>0</v>
      </c>
      <c r="F187" s="13" t="n">
        <v>0</v>
      </c>
      <c r="G187" s="17" t="n">
        <v>0</v>
      </c>
      <c r="H187" s="13" t="n">
        <v>58</v>
      </c>
      <c r="I187" s="13" t="n">
        <v>58</v>
      </c>
      <c r="J187" s="13" t="n">
        <v>0</v>
      </c>
      <c r="K187" s="13" t="n">
        <v>0</v>
      </c>
      <c r="L187" s="17" t="n">
        <v>0</v>
      </c>
      <c r="M187" s="18" t="n">
        <f aca="false">IF(H187=0,"",I187/H187)</f>
        <v>1</v>
      </c>
    </row>
    <row r="188" customFormat="false" ht="15" hidden="false" customHeight="false" outlineLevel="0" collapsed="false">
      <c r="A188" s="13" t="s">
        <v>103</v>
      </c>
      <c r="B188" s="13" t="s">
        <v>172</v>
      </c>
      <c r="C188" s="13" t="n">
        <v>0</v>
      </c>
      <c r="D188" s="13" t="n">
        <v>0</v>
      </c>
      <c r="E188" s="13" t="n">
        <v>0</v>
      </c>
      <c r="F188" s="13" t="n">
        <v>0</v>
      </c>
      <c r="G188" s="17" t="n">
        <v>0</v>
      </c>
      <c r="H188" s="13" t="n">
        <v>447</v>
      </c>
      <c r="I188" s="13" t="n">
        <v>258</v>
      </c>
      <c r="J188" s="13" t="n">
        <v>184</v>
      </c>
      <c r="K188" s="13" t="n">
        <v>0</v>
      </c>
      <c r="L188" s="17" t="n">
        <v>0.16596</v>
      </c>
      <c r="M188" s="18" t="n">
        <f aca="false">IF(H188=0,"",I188/H188)</f>
        <v>0.577181208053691</v>
      </c>
    </row>
    <row r="189" customFormat="false" ht="15" hidden="false" customHeight="false" outlineLevel="0" collapsed="false">
      <c r="A189" s="13" t="s">
        <v>103</v>
      </c>
      <c r="B189" s="13" t="s">
        <v>173</v>
      </c>
      <c r="C189" s="13" t="n">
        <v>0</v>
      </c>
      <c r="D189" s="13" t="n">
        <v>0</v>
      </c>
      <c r="E189" s="13" t="n">
        <v>0</v>
      </c>
      <c r="F189" s="13" t="n">
        <v>0</v>
      </c>
      <c r="G189" s="17" t="n">
        <v>0</v>
      </c>
      <c r="H189" s="13" t="n">
        <v>79</v>
      </c>
      <c r="I189" s="13" t="n">
        <v>62</v>
      </c>
      <c r="J189" s="13" t="n">
        <v>17</v>
      </c>
      <c r="K189" s="13" t="n">
        <v>0</v>
      </c>
      <c r="L189" s="17" t="n">
        <v>0.1390496</v>
      </c>
      <c r="M189" s="18" t="n">
        <f aca="false">IF(H189=0,"",I189/H189)</f>
        <v>0.784810126582278</v>
      </c>
    </row>
    <row r="190" customFormat="false" ht="15" hidden="false" customHeight="false" outlineLevel="0" collapsed="false">
      <c r="A190" s="13" t="s">
        <v>103</v>
      </c>
      <c r="B190" s="13" t="s">
        <v>174</v>
      </c>
      <c r="C190" s="13" t="n">
        <v>0</v>
      </c>
      <c r="D190" s="13" t="n">
        <v>0</v>
      </c>
      <c r="E190" s="13" t="n">
        <v>0</v>
      </c>
      <c r="F190" s="13" t="n">
        <v>0</v>
      </c>
      <c r="G190" s="17" t="n">
        <v>0</v>
      </c>
      <c r="H190" s="13" t="n">
        <v>16</v>
      </c>
      <c r="I190" s="13" t="n">
        <v>15</v>
      </c>
      <c r="J190" s="13" t="n">
        <v>0</v>
      </c>
      <c r="K190" s="13" t="n">
        <v>0</v>
      </c>
      <c r="L190" s="17" t="n">
        <v>0.00431966</v>
      </c>
      <c r="M190" s="18" t="n">
        <f aca="false">IF(H190=0,"",I190/H190)</f>
        <v>0.9375</v>
      </c>
    </row>
    <row r="191" customFormat="false" ht="15" hidden="false" customHeight="false" outlineLevel="0" collapsed="false">
      <c r="A191" s="13" t="s">
        <v>103</v>
      </c>
      <c r="B191" s="13" t="s">
        <v>175</v>
      </c>
      <c r="C191" s="13" t="n">
        <v>0</v>
      </c>
      <c r="D191" s="13" t="n">
        <v>0</v>
      </c>
      <c r="E191" s="13" t="n">
        <v>0</v>
      </c>
      <c r="F191" s="13" t="n">
        <v>0</v>
      </c>
      <c r="G191" s="17" t="n">
        <v>0</v>
      </c>
      <c r="H191" s="13" t="n">
        <v>16</v>
      </c>
      <c r="I191" s="13" t="n">
        <v>0</v>
      </c>
      <c r="J191" s="13" t="n">
        <v>0</v>
      </c>
      <c r="K191" s="13" t="n">
        <v>16</v>
      </c>
      <c r="L191" s="17" t="n">
        <v>0</v>
      </c>
      <c r="M191" s="18" t="n">
        <f aca="false">IF(H191=0,"",I191/H191)</f>
        <v>0</v>
      </c>
    </row>
    <row r="192" customFormat="false" ht="15" hidden="false" customHeight="false" outlineLevel="0" collapsed="false">
      <c r="A192" s="13" t="s">
        <v>103</v>
      </c>
      <c r="B192" s="13" t="s">
        <v>176</v>
      </c>
      <c r="C192" s="13" t="n">
        <v>0</v>
      </c>
      <c r="D192" s="13" t="n">
        <v>0</v>
      </c>
      <c r="E192" s="13" t="n">
        <v>0</v>
      </c>
      <c r="F192" s="13" t="n">
        <v>0</v>
      </c>
      <c r="G192" s="17" t="n">
        <v>0</v>
      </c>
      <c r="H192" s="13" t="n">
        <v>141</v>
      </c>
      <c r="I192" s="13" t="n">
        <v>0</v>
      </c>
      <c r="J192" s="13" t="n">
        <v>0</v>
      </c>
      <c r="K192" s="13" t="n">
        <v>0</v>
      </c>
      <c r="L192" s="17" t="n">
        <v>0</v>
      </c>
      <c r="M192" s="18" t="n">
        <f aca="false">IF(H192=0,"",I192/H192)</f>
        <v>0</v>
      </c>
    </row>
    <row r="193" customFormat="false" ht="15" hidden="false" customHeight="false" outlineLevel="0" collapsed="false">
      <c r="A193" s="13" t="s">
        <v>271</v>
      </c>
      <c r="B193" s="13" t="s">
        <v>176</v>
      </c>
      <c r="C193" s="13" t="n">
        <v>0</v>
      </c>
      <c r="D193" s="13" t="n">
        <v>0</v>
      </c>
      <c r="E193" s="13" t="n">
        <v>0</v>
      </c>
      <c r="F193" s="13" t="n">
        <v>0</v>
      </c>
      <c r="G193" s="17" t="n">
        <v>0</v>
      </c>
      <c r="H193" s="13" t="n">
        <v>1</v>
      </c>
      <c r="I193" s="13" t="n">
        <v>0</v>
      </c>
      <c r="J193" s="13" t="n">
        <v>0</v>
      </c>
      <c r="K193" s="13" t="n">
        <v>0</v>
      </c>
      <c r="L193" s="17" t="n">
        <v>0</v>
      </c>
      <c r="M193" s="18" t="n">
        <f aca="false">IF(H193=0,"",I193/H193)</f>
        <v>0</v>
      </c>
    </row>
    <row r="194" customFormat="false" ht="15" hidden="false" customHeight="false" outlineLevel="0" collapsed="false">
      <c r="A194" s="13" t="s">
        <v>272</v>
      </c>
      <c r="B194" s="13" t="s">
        <v>176</v>
      </c>
      <c r="C194" s="13" t="n">
        <v>0</v>
      </c>
      <c r="D194" s="13" t="n">
        <v>0</v>
      </c>
      <c r="E194" s="13" t="n">
        <v>0</v>
      </c>
      <c r="F194" s="13" t="n">
        <v>0</v>
      </c>
      <c r="G194" s="17" t="n">
        <v>0</v>
      </c>
      <c r="H194" s="13" t="n">
        <v>1</v>
      </c>
      <c r="I194" s="13" t="n">
        <v>0</v>
      </c>
      <c r="J194" s="13" t="n">
        <v>0</v>
      </c>
      <c r="K194" s="13" t="n">
        <v>0</v>
      </c>
      <c r="L194" s="17" t="n">
        <v>0</v>
      </c>
      <c r="M194" s="18" t="n">
        <f aca="false">IF(H194=0,"",I194/H194)</f>
        <v>0</v>
      </c>
    </row>
    <row r="195" customFormat="false" ht="15" hidden="false" customHeight="false" outlineLevel="0" collapsed="false">
      <c r="A195" s="13" t="s">
        <v>273</v>
      </c>
      <c r="B195" s="13" t="s">
        <v>176</v>
      </c>
      <c r="C195" s="13" t="n">
        <v>0</v>
      </c>
      <c r="D195" s="13" t="n">
        <v>0</v>
      </c>
      <c r="E195" s="13" t="n">
        <v>0</v>
      </c>
      <c r="F195" s="13" t="n">
        <v>0</v>
      </c>
      <c r="G195" s="17" t="n">
        <v>0</v>
      </c>
      <c r="H195" s="13" t="n">
        <v>1</v>
      </c>
      <c r="I195" s="13" t="n">
        <v>0</v>
      </c>
      <c r="J195" s="13" t="n">
        <v>0</v>
      </c>
      <c r="K195" s="13" t="n">
        <v>0</v>
      </c>
      <c r="L195" s="17" t="n">
        <v>0</v>
      </c>
      <c r="M195" s="18" t="n">
        <f aca="false">IF(H195=0,"",I195/H195)</f>
        <v>0</v>
      </c>
    </row>
    <row r="196" customFormat="false" ht="15" hidden="false" customHeight="false" outlineLevel="0" collapsed="false">
      <c r="A196" s="13" t="s">
        <v>274</v>
      </c>
      <c r="B196" s="13" t="s">
        <v>176</v>
      </c>
      <c r="C196" s="13" t="n">
        <v>0</v>
      </c>
      <c r="D196" s="13" t="n">
        <v>0</v>
      </c>
      <c r="E196" s="13" t="n">
        <v>0</v>
      </c>
      <c r="F196" s="13" t="n">
        <v>0</v>
      </c>
      <c r="G196" s="17" t="n">
        <v>0</v>
      </c>
      <c r="H196" s="13" t="n">
        <v>1</v>
      </c>
      <c r="I196" s="13" t="n">
        <v>0</v>
      </c>
      <c r="J196" s="13" t="n">
        <v>0</v>
      </c>
      <c r="K196" s="13" t="n">
        <v>0</v>
      </c>
      <c r="L196" s="17" t="n">
        <v>0</v>
      </c>
      <c r="M196" s="18" t="n">
        <f aca="false">IF(H196=0,"",I196/H196)</f>
        <v>0</v>
      </c>
    </row>
    <row r="197" customFormat="false" ht="15" hidden="false" customHeight="false" outlineLevel="0" collapsed="false">
      <c r="A197" s="13" t="s">
        <v>275</v>
      </c>
      <c r="B197" s="13" t="s">
        <v>176</v>
      </c>
      <c r="C197" s="13" t="n">
        <v>0</v>
      </c>
      <c r="D197" s="13" t="n">
        <v>0</v>
      </c>
      <c r="E197" s="13" t="n">
        <v>0</v>
      </c>
      <c r="F197" s="13" t="n">
        <v>0</v>
      </c>
      <c r="G197" s="17" t="n">
        <v>0</v>
      </c>
      <c r="H197" s="13" t="n">
        <v>1</v>
      </c>
      <c r="I197" s="13" t="n">
        <v>0</v>
      </c>
      <c r="J197" s="13" t="n">
        <v>0</v>
      </c>
      <c r="K197" s="13" t="n">
        <v>0</v>
      </c>
      <c r="L197" s="17" t="n">
        <v>0</v>
      </c>
      <c r="M197" s="18" t="n">
        <f aca="false">IF(H197=0,"",I197/H197)</f>
        <v>0</v>
      </c>
    </row>
    <row r="198" customFormat="false" ht="15" hidden="false" customHeight="false" outlineLevel="0" collapsed="false">
      <c r="A198" s="13" t="s">
        <v>276</v>
      </c>
      <c r="B198" s="13" t="s">
        <v>176</v>
      </c>
      <c r="C198" s="13" t="n">
        <v>0</v>
      </c>
      <c r="D198" s="13" t="n">
        <v>0</v>
      </c>
      <c r="E198" s="13" t="n">
        <v>0</v>
      </c>
      <c r="F198" s="13" t="n">
        <v>0</v>
      </c>
      <c r="G198" s="17" t="n">
        <v>0</v>
      </c>
      <c r="H198" s="13" t="n">
        <v>1</v>
      </c>
      <c r="I198" s="13" t="n">
        <v>0</v>
      </c>
      <c r="J198" s="13" t="n">
        <v>0</v>
      </c>
      <c r="K198" s="13" t="n">
        <v>0</v>
      </c>
      <c r="L198" s="17" t="n">
        <v>0</v>
      </c>
      <c r="M198" s="18" t="n">
        <f aca="false">IF(H198=0,"",I198/H198)</f>
        <v>0</v>
      </c>
    </row>
    <row r="199" customFormat="false" ht="15" hidden="false" customHeight="false" outlineLevel="0" collapsed="false">
      <c r="A199" s="13" t="s">
        <v>277</v>
      </c>
      <c r="B199" s="13" t="s">
        <v>176</v>
      </c>
      <c r="C199" s="13" t="n">
        <v>0</v>
      </c>
      <c r="D199" s="13" t="n">
        <v>0</v>
      </c>
      <c r="E199" s="13" t="n">
        <v>0</v>
      </c>
      <c r="F199" s="13" t="n">
        <v>0</v>
      </c>
      <c r="G199" s="17" t="n">
        <v>0</v>
      </c>
      <c r="H199" s="13" t="n">
        <v>1</v>
      </c>
      <c r="I199" s="13" t="n">
        <v>0</v>
      </c>
      <c r="J199" s="13" t="n">
        <v>0</v>
      </c>
      <c r="K199" s="13" t="n">
        <v>0</v>
      </c>
      <c r="L199" s="17" t="n">
        <v>0</v>
      </c>
      <c r="M199" s="18" t="n">
        <f aca="false">IF(H199=0,"",I199/H199)</f>
        <v>0</v>
      </c>
    </row>
    <row r="200" customFormat="false" ht="15" hidden="false" customHeight="false" outlineLevel="0" collapsed="false">
      <c r="A200" s="13" t="s">
        <v>278</v>
      </c>
      <c r="B200" s="13" t="s">
        <v>176</v>
      </c>
      <c r="C200" s="13" t="n">
        <v>0</v>
      </c>
      <c r="D200" s="13" t="n">
        <v>0</v>
      </c>
      <c r="E200" s="13" t="n">
        <v>0</v>
      </c>
      <c r="F200" s="13" t="n">
        <v>0</v>
      </c>
      <c r="G200" s="17" t="n">
        <v>0</v>
      </c>
      <c r="H200" s="13" t="n">
        <v>1</v>
      </c>
      <c r="I200" s="13" t="n">
        <v>0</v>
      </c>
      <c r="J200" s="13" t="n">
        <v>0</v>
      </c>
      <c r="K200" s="13" t="n">
        <v>0</v>
      </c>
      <c r="L200" s="17" t="n">
        <v>0</v>
      </c>
      <c r="M200" s="18" t="n">
        <f aca="false">IF(H200=0,"",I200/H200)</f>
        <v>0</v>
      </c>
    </row>
    <row r="201" customFormat="false" ht="15" hidden="false" customHeight="false" outlineLevel="0" collapsed="false">
      <c r="A201" s="13" t="s">
        <v>279</v>
      </c>
      <c r="B201" s="13" t="s">
        <v>176</v>
      </c>
      <c r="C201" s="13" t="n">
        <v>0</v>
      </c>
      <c r="D201" s="13" t="n">
        <v>0</v>
      </c>
      <c r="E201" s="13" t="n">
        <v>0</v>
      </c>
      <c r="F201" s="13" t="n">
        <v>0</v>
      </c>
      <c r="G201" s="17" t="n">
        <v>0</v>
      </c>
      <c r="H201" s="13" t="n">
        <v>1</v>
      </c>
      <c r="I201" s="13" t="n">
        <v>0</v>
      </c>
      <c r="J201" s="13" t="n">
        <v>0</v>
      </c>
      <c r="K201" s="13" t="n">
        <v>0</v>
      </c>
      <c r="L201" s="17" t="n">
        <v>0</v>
      </c>
      <c r="M201" s="18" t="n">
        <f aca="false">IF(H201=0,"",I201/H201)</f>
        <v>0</v>
      </c>
    </row>
    <row r="202" customFormat="false" ht="15" hidden="false" customHeight="false" outlineLevel="0" collapsed="false">
      <c r="A202" s="13" t="s">
        <v>280</v>
      </c>
      <c r="B202" s="13" t="s">
        <v>176</v>
      </c>
      <c r="C202" s="13" t="n">
        <v>0</v>
      </c>
      <c r="D202" s="13" t="n">
        <v>0</v>
      </c>
      <c r="E202" s="13" t="n">
        <v>0</v>
      </c>
      <c r="F202" s="13" t="n">
        <v>0</v>
      </c>
      <c r="G202" s="17" t="n">
        <v>0</v>
      </c>
      <c r="H202" s="13" t="n">
        <v>1</v>
      </c>
      <c r="I202" s="13" t="n">
        <v>0</v>
      </c>
      <c r="J202" s="13" t="n">
        <v>0</v>
      </c>
      <c r="K202" s="13" t="n">
        <v>0</v>
      </c>
      <c r="L202" s="17" t="n">
        <v>0</v>
      </c>
      <c r="M202" s="18" t="n">
        <f aca="false">IF(H202=0,"",I202/H202)</f>
        <v>0</v>
      </c>
    </row>
    <row r="203" customFormat="false" ht="15" hidden="false" customHeight="false" outlineLevel="0" collapsed="false">
      <c r="A203" s="13" t="s">
        <v>281</v>
      </c>
      <c r="B203" s="13" t="s">
        <v>176</v>
      </c>
      <c r="C203" s="13" t="n">
        <v>0</v>
      </c>
      <c r="D203" s="13" t="n">
        <v>0</v>
      </c>
      <c r="E203" s="13" t="n">
        <v>0</v>
      </c>
      <c r="F203" s="13" t="n">
        <v>0</v>
      </c>
      <c r="G203" s="17" t="n">
        <v>0</v>
      </c>
      <c r="H203" s="13" t="n">
        <v>1</v>
      </c>
      <c r="I203" s="13" t="n">
        <v>0</v>
      </c>
      <c r="J203" s="13" t="n">
        <v>0</v>
      </c>
      <c r="K203" s="13" t="n">
        <v>0</v>
      </c>
      <c r="L203" s="17" t="n">
        <v>0</v>
      </c>
      <c r="M203" s="18" t="n">
        <f aca="false">IF(H203=0,"",I203/H203)</f>
        <v>0</v>
      </c>
    </row>
    <row r="204" customFormat="false" ht="15" hidden="false" customHeight="false" outlineLevel="0" collapsed="false">
      <c r="A204" s="13" t="s">
        <v>282</v>
      </c>
      <c r="B204" s="13" t="s">
        <v>176</v>
      </c>
      <c r="C204" s="13" t="n">
        <v>0</v>
      </c>
      <c r="D204" s="13" t="n">
        <v>0</v>
      </c>
      <c r="E204" s="13" t="n">
        <v>0</v>
      </c>
      <c r="F204" s="13" t="n">
        <v>0</v>
      </c>
      <c r="G204" s="17" t="n">
        <v>0</v>
      </c>
      <c r="H204" s="13" t="n">
        <v>1</v>
      </c>
      <c r="I204" s="13" t="n">
        <v>0</v>
      </c>
      <c r="J204" s="13" t="n">
        <v>0</v>
      </c>
      <c r="K204" s="13" t="n">
        <v>0</v>
      </c>
      <c r="L204" s="17" t="n">
        <v>0</v>
      </c>
      <c r="M204" s="18" t="n">
        <f aca="false">IF(H204=0,"",I204/H204)</f>
        <v>0</v>
      </c>
    </row>
    <row r="205" customFormat="false" ht="15" hidden="false" customHeight="false" outlineLevel="0" collapsed="false">
      <c r="A205" s="13" t="s">
        <v>55</v>
      </c>
      <c r="B205" s="13" t="s">
        <v>170</v>
      </c>
      <c r="C205" s="13" t="n">
        <v>0</v>
      </c>
      <c r="D205" s="13" t="n">
        <v>0</v>
      </c>
      <c r="E205" s="13" t="n">
        <v>0</v>
      </c>
      <c r="F205" s="13" t="n">
        <v>0</v>
      </c>
      <c r="G205" s="17" t="n">
        <v>0</v>
      </c>
      <c r="H205" s="13" t="n">
        <v>305</v>
      </c>
      <c r="I205" s="13" t="n">
        <v>261</v>
      </c>
      <c r="J205" s="13" t="n">
        <v>44</v>
      </c>
      <c r="K205" s="13" t="n">
        <v>0</v>
      </c>
      <c r="L205" s="17" t="n">
        <v>0</v>
      </c>
      <c r="M205" s="18" t="n">
        <f aca="false">IF(H205=0,"",I205/H205)</f>
        <v>0.855737704918033</v>
      </c>
    </row>
    <row r="206" customFormat="false" ht="15" hidden="false" customHeight="false" outlineLevel="0" collapsed="false">
      <c r="A206" s="13" t="s">
        <v>55</v>
      </c>
      <c r="B206" s="13" t="s">
        <v>172</v>
      </c>
      <c r="C206" s="13" t="n">
        <v>0</v>
      </c>
      <c r="D206" s="13" t="n">
        <v>0</v>
      </c>
      <c r="E206" s="13" t="n">
        <v>0</v>
      </c>
      <c r="F206" s="13" t="n">
        <v>0</v>
      </c>
      <c r="G206" s="17" t="n">
        <v>0</v>
      </c>
      <c r="H206" s="13" t="n">
        <v>842</v>
      </c>
      <c r="I206" s="13" t="n">
        <v>172</v>
      </c>
      <c r="J206" s="13" t="n">
        <v>667</v>
      </c>
      <c r="K206" s="13" t="n">
        <v>0</v>
      </c>
      <c r="L206" s="17" t="n">
        <v>0.5950276</v>
      </c>
      <c r="M206" s="18" t="n">
        <f aca="false">IF(H206=0,"",I206/H206)</f>
        <v>0.204275534441805</v>
      </c>
    </row>
    <row r="207" customFormat="false" ht="15" hidden="false" customHeight="false" outlineLevel="0" collapsed="false">
      <c r="A207" s="13" t="s">
        <v>55</v>
      </c>
      <c r="B207" s="13" t="s">
        <v>173</v>
      </c>
      <c r="C207" s="13" t="n">
        <v>0</v>
      </c>
      <c r="D207" s="13" t="n">
        <v>0</v>
      </c>
      <c r="E207" s="13" t="n">
        <v>0</v>
      </c>
      <c r="F207" s="13" t="n">
        <v>0</v>
      </c>
      <c r="G207" s="17" t="n">
        <v>0</v>
      </c>
      <c r="H207" s="13" t="n">
        <v>324</v>
      </c>
      <c r="I207" s="13" t="n">
        <v>80</v>
      </c>
      <c r="J207" s="13" t="n">
        <v>244</v>
      </c>
      <c r="K207" s="13" t="n">
        <v>0</v>
      </c>
      <c r="L207" s="17" t="n">
        <v>0.7326436</v>
      </c>
      <c r="M207" s="18" t="n">
        <f aca="false">IF(H207=0,"",I207/H207)</f>
        <v>0.246913580246914</v>
      </c>
    </row>
    <row r="208" customFormat="false" ht="15" hidden="false" customHeight="false" outlineLevel="0" collapsed="false">
      <c r="A208" s="13" t="s">
        <v>55</v>
      </c>
      <c r="B208" s="13" t="s">
        <v>175</v>
      </c>
      <c r="C208" s="13" t="n">
        <v>0</v>
      </c>
      <c r="D208" s="13" t="n">
        <v>0</v>
      </c>
      <c r="E208" s="13" t="n">
        <v>0</v>
      </c>
      <c r="F208" s="13" t="n">
        <v>0</v>
      </c>
      <c r="G208" s="17" t="n">
        <v>0</v>
      </c>
      <c r="H208" s="13" t="n">
        <v>4</v>
      </c>
      <c r="I208" s="13" t="n">
        <v>0</v>
      </c>
      <c r="J208" s="13" t="n">
        <v>0</v>
      </c>
      <c r="K208" s="13" t="n">
        <v>4</v>
      </c>
      <c r="L208" s="17" t="n">
        <v>0</v>
      </c>
      <c r="M208" s="18" t="n">
        <f aca="false">IF(H208=0,"",I208/H208)</f>
        <v>0</v>
      </c>
    </row>
    <row r="209" customFormat="false" ht="15" hidden="false" customHeight="false" outlineLevel="0" collapsed="false">
      <c r="A209" s="13" t="s">
        <v>55</v>
      </c>
      <c r="B209" s="13" t="s">
        <v>176</v>
      </c>
      <c r="C209" s="13" t="n">
        <v>0</v>
      </c>
      <c r="D209" s="13" t="n">
        <v>0</v>
      </c>
      <c r="E209" s="13" t="n">
        <v>0</v>
      </c>
      <c r="F209" s="13" t="n">
        <v>0</v>
      </c>
      <c r="G209" s="17" t="n">
        <v>0</v>
      </c>
      <c r="H209" s="13" t="n">
        <v>489</v>
      </c>
      <c r="I209" s="13" t="n">
        <v>0</v>
      </c>
      <c r="J209" s="13" t="n">
        <v>0</v>
      </c>
      <c r="K209" s="13" t="n">
        <v>0</v>
      </c>
      <c r="L209" s="17" t="n">
        <v>0</v>
      </c>
      <c r="M209" s="18" t="n">
        <f aca="false">IF(H209=0,"",I209/H209)</f>
        <v>0</v>
      </c>
    </row>
    <row r="210" customFormat="false" ht="15" hidden="false" customHeight="false" outlineLevel="0" collapsed="false">
      <c r="A210" s="13" t="s">
        <v>119</v>
      </c>
      <c r="B210" s="13" t="s">
        <v>170</v>
      </c>
      <c r="C210" s="13" t="n">
        <v>0</v>
      </c>
      <c r="D210" s="13" t="n">
        <v>0</v>
      </c>
      <c r="E210" s="13" t="n">
        <v>0</v>
      </c>
      <c r="F210" s="13" t="n">
        <v>0</v>
      </c>
      <c r="G210" s="17" t="n">
        <v>0</v>
      </c>
      <c r="H210" s="13" t="n">
        <v>21</v>
      </c>
      <c r="I210" s="13" t="n">
        <v>21</v>
      </c>
      <c r="J210" s="13" t="n">
        <v>0</v>
      </c>
      <c r="K210" s="13" t="n">
        <v>0</v>
      </c>
      <c r="L210" s="17" t="n">
        <v>0</v>
      </c>
      <c r="M210" s="18" t="n">
        <f aca="false">IF(H210=0,"",I210/H210)</f>
        <v>1</v>
      </c>
    </row>
    <row r="211" customFormat="false" ht="15" hidden="false" customHeight="false" outlineLevel="0" collapsed="false">
      <c r="A211" s="13" t="s">
        <v>119</v>
      </c>
      <c r="B211" s="13" t="s">
        <v>172</v>
      </c>
      <c r="C211" s="13" t="n">
        <v>0</v>
      </c>
      <c r="D211" s="13" t="n">
        <v>0</v>
      </c>
      <c r="E211" s="13" t="n">
        <v>0</v>
      </c>
      <c r="F211" s="13" t="n">
        <v>0</v>
      </c>
      <c r="G211" s="17" t="n">
        <v>0</v>
      </c>
      <c r="H211" s="13" t="n">
        <v>55</v>
      </c>
      <c r="I211" s="13" t="n">
        <v>9</v>
      </c>
      <c r="J211" s="13" t="n">
        <v>46</v>
      </c>
      <c r="K211" s="13" t="n">
        <v>0</v>
      </c>
      <c r="L211" s="17" t="n">
        <v>0.0542608</v>
      </c>
      <c r="M211" s="18" t="n">
        <f aca="false">IF(H211=0,"",I211/H211)</f>
        <v>0.163636363636364</v>
      </c>
    </row>
    <row r="212" customFormat="false" ht="15" hidden="false" customHeight="false" outlineLevel="0" collapsed="false">
      <c r="A212" s="13" t="s">
        <v>119</v>
      </c>
      <c r="B212" s="13" t="s">
        <v>173</v>
      </c>
      <c r="C212" s="13" t="n">
        <v>0</v>
      </c>
      <c r="D212" s="13" t="n">
        <v>0</v>
      </c>
      <c r="E212" s="13" t="n">
        <v>0</v>
      </c>
      <c r="F212" s="13" t="n">
        <v>0</v>
      </c>
      <c r="G212" s="17" t="n">
        <v>0</v>
      </c>
      <c r="H212" s="13" t="n">
        <v>26</v>
      </c>
      <c r="I212" s="13" t="n">
        <v>8</v>
      </c>
      <c r="J212" s="13" t="n">
        <v>18</v>
      </c>
      <c r="K212" s="13" t="n">
        <v>0</v>
      </c>
      <c r="L212" s="17" t="n">
        <v>0.0235708</v>
      </c>
      <c r="M212" s="18" t="n">
        <f aca="false">IF(H212=0,"",I212/H212)</f>
        <v>0.307692307692308</v>
      </c>
    </row>
    <row r="213" customFormat="false" ht="15" hidden="false" customHeight="false" outlineLevel="0" collapsed="false">
      <c r="A213" s="13" t="s">
        <v>119</v>
      </c>
      <c r="B213" s="13" t="s">
        <v>175</v>
      </c>
      <c r="C213" s="13" t="n">
        <v>0</v>
      </c>
      <c r="D213" s="13" t="n">
        <v>0</v>
      </c>
      <c r="E213" s="13" t="n">
        <v>0</v>
      </c>
      <c r="F213" s="13" t="n">
        <v>0</v>
      </c>
      <c r="G213" s="17" t="n">
        <v>0</v>
      </c>
      <c r="H213" s="13" t="n">
        <v>5</v>
      </c>
      <c r="I213" s="13" t="n">
        <v>0</v>
      </c>
      <c r="J213" s="13" t="n">
        <v>0</v>
      </c>
      <c r="K213" s="13" t="n">
        <v>5</v>
      </c>
      <c r="L213" s="17" t="n">
        <v>0</v>
      </c>
      <c r="M213" s="18" t="n">
        <f aca="false">IF(H213=0,"",I213/H213)</f>
        <v>0</v>
      </c>
    </row>
    <row r="214" customFormat="false" ht="15" hidden="false" customHeight="false" outlineLevel="0" collapsed="false">
      <c r="A214" s="13" t="s">
        <v>119</v>
      </c>
      <c r="B214" s="13" t="s">
        <v>176</v>
      </c>
      <c r="C214" s="13" t="n">
        <v>0</v>
      </c>
      <c r="D214" s="13" t="n">
        <v>0</v>
      </c>
      <c r="E214" s="13" t="n">
        <v>0</v>
      </c>
      <c r="F214" s="13" t="n">
        <v>0</v>
      </c>
      <c r="G214" s="17" t="n">
        <v>0</v>
      </c>
      <c r="H214" s="13" t="n">
        <v>22</v>
      </c>
      <c r="I214" s="13" t="n">
        <v>0</v>
      </c>
      <c r="J214" s="13" t="n">
        <v>0</v>
      </c>
      <c r="K214" s="13" t="n">
        <v>0</v>
      </c>
      <c r="L214" s="17" t="n">
        <v>0</v>
      </c>
      <c r="M214" s="18" t="n">
        <f aca="false">IF(H214=0,"",I214/H214)</f>
        <v>0</v>
      </c>
    </row>
    <row r="215" customFormat="false" ht="15" hidden="false" customHeight="false" outlineLevel="0" collapsed="false">
      <c r="A215" s="13" t="s">
        <v>283</v>
      </c>
      <c r="B215" s="13" t="s">
        <v>176</v>
      </c>
      <c r="C215" s="13" t="n">
        <v>0</v>
      </c>
      <c r="D215" s="13" t="n">
        <v>0</v>
      </c>
      <c r="E215" s="13" t="n">
        <v>0</v>
      </c>
      <c r="F215" s="13" t="n">
        <v>0</v>
      </c>
      <c r="G215" s="17" t="n">
        <v>0</v>
      </c>
      <c r="H215" s="13" t="n">
        <v>1</v>
      </c>
      <c r="I215" s="13" t="n">
        <v>0</v>
      </c>
      <c r="J215" s="13" t="n">
        <v>0</v>
      </c>
      <c r="K215" s="13" t="n">
        <v>0</v>
      </c>
      <c r="L215" s="17" t="n">
        <v>0</v>
      </c>
      <c r="M215" s="18" t="n">
        <f aca="false">IF(H215=0,"",I215/H215)</f>
        <v>0</v>
      </c>
    </row>
    <row r="216" customFormat="false" ht="15" hidden="false" customHeight="false" outlineLevel="0" collapsed="false">
      <c r="A216" s="13" t="s">
        <v>284</v>
      </c>
      <c r="B216" s="13" t="s">
        <v>176</v>
      </c>
      <c r="C216" s="13" t="n">
        <v>0</v>
      </c>
      <c r="D216" s="13" t="n">
        <v>0</v>
      </c>
      <c r="E216" s="13" t="n">
        <v>0</v>
      </c>
      <c r="F216" s="13" t="n">
        <v>0</v>
      </c>
      <c r="G216" s="17" t="n">
        <v>0</v>
      </c>
      <c r="H216" s="13" t="n">
        <v>1</v>
      </c>
      <c r="I216" s="13" t="n">
        <v>0</v>
      </c>
      <c r="J216" s="13" t="n">
        <v>0</v>
      </c>
      <c r="K216" s="13" t="n">
        <v>0</v>
      </c>
      <c r="L216" s="17" t="n">
        <v>0</v>
      </c>
      <c r="M216" s="18" t="n">
        <f aca="false">IF(H216=0,"",I216/H216)</f>
        <v>0</v>
      </c>
    </row>
    <row r="217" customFormat="false" ht="15" hidden="false" customHeight="false" outlineLevel="0" collapsed="false">
      <c r="A217" s="13" t="s">
        <v>285</v>
      </c>
      <c r="B217" s="13" t="s">
        <v>176</v>
      </c>
      <c r="C217" s="13" t="n">
        <v>0</v>
      </c>
      <c r="D217" s="13" t="n">
        <v>0</v>
      </c>
      <c r="E217" s="13" t="n">
        <v>0</v>
      </c>
      <c r="F217" s="13" t="n">
        <v>0</v>
      </c>
      <c r="G217" s="17" t="n">
        <v>0</v>
      </c>
      <c r="H217" s="13" t="n">
        <v>1</v>
      </c>
      <c r="I217" s="13" t="n">
        <v>0</v>
      </c>
      <c r="J217" s="13" t="n">
        <v>0</v>
      </c>
      <c r="K217" s="13" t="n">
        <v>0</v>
      </c>
      <c r="L217" s="17" t="n">
        <v>0</v>
      </c>
      <c r="M217" s="18" t="n">
        <f aca="false">IF(H217=0,"",I217/H217)</f>
        <v>0</v>
      </c>
    </row>
    <row r="218" customFormat="false" ht="15" hidden="false" customHeight="false" outlineLevel="0" collapsed="false">
      <c r="A218" s="13" t="s">
        <v>286</v>
      </c>
      <c r="B218" s="13" t="s">
        <v>176</v>
      </c>
      <c r="C218" s="13" t="n">
        <v>0</v>
      </c>
      <c r="D218" s="13" t="n">
        <v>0</v>
      </c>
      <c r="E218" s="13" t="n">
        <v>0</v>
      </c>
      <c r="F218" s="13" t="n">
        <v>0</v>
      </c>
      <c r="G218" s="17" t="n">
        <v>0</v>
      </c>
      <c r="H218" s="13" t="n">
        <v>1</v>
      </c>
      <c r="I218" s="13" t="n">
        <v>0</v>
      </c>
      <c r="J218" s="13" t="n">
        <v>0</v>
      </c>
      <c r="K218" s="13" t="n">
        <v>0</v>
      </c>
      <c r="L218" s="17" t="n">
        <v>0</v>
      </c>
      <c r="M218" s="18" t="n">
        <f aca="false">IF(H218=0,"",I218/H218)</f>
        <v>0</v>
      </c>
    </row>
    <row r="219" customFormat="false" ht="15" hidden="false" customHeight="false" outlineLevel="0" collapsed="false">
      <c r="A219" s="13" t="s">
        <v>287</v>
      </c>
      <c r="B219" s="13" t="s">
        <v>176</v>
      </c>
      <c r="C219" s="13" t="n">
        <v>0</v>
      </c>
      <c r="D219" s="13" t="n">
        <v>0</v>
      </c>
      <c r="E219" s="13" t="n">
        <v>0</v>
      </c>
      <c r="F219" s="13" t="n">
        <v>0</v>
      </c>
      <c r="G219" s="17" t="n">
        <v>0</v>
      </c>
      <c r="H219" s="13" t="n">
        <v>1</v>
      </c>
      <c r="I219" s="13" t="n">
        <v>0</v>
      </c>
      <c r="J219" s="13" t="n">
        <v>0</v>
      </c>
      <c r="K219" s="13" t="n">
        <v>0</v>
      </c>
      <c r="L219" s="17" t="n">
        <v>0</v>
      </c>
      <c r="M219" s="18" t="n">
        <f aca="false">IF(H219=0,"",I219/H219)</f>
        <v>0</v>
      </c>
    </row>
    <row r="220" customFormat="false" ht="15" hidden="false" customHeight="false" outlineLevel="0" collapsed="false">
      <c r="A220" s="13" t="s">
        <v>288</v>
      </c>
      <c r="B220" s="13" t="s">
        <v>176</v>
      </c>
      <c r="C220" s="13" t="n">
        <v>0</v>
      </c>
      <c r="D220" s="13" t="n">
        <v>0</v>
      </c>
      <c r="E220" s="13" t="n">
        <v>0</v>
      </c>
      <c r="F220" s="13" t="n">
        <v>0</v>
      </c>
      <c r="G220" s="17" t="n">
        <v>0</v>
      </c>
      <c r="H220" s="13" t="n">
        <v>1</v>
      </c>
      <c r="I220" s="13" t="n">
        <v>0</v>
      </c>
      <c r="J220" s="13" t="n">
        <v>0</v>
      </c>
      <c r="K220" s="13" t="n">
        <v>0</v>
      </c>
      <c r="L220" s="17" t="n">
        <v>0</v>
      </c>
      <c r="M220" s="18" t="n">
        <f aca="false">IF(H220=0,"",I220/H220)</f>
        <v>0</v>
      </c>
    </row>
    <row r="221" customFormat="false" ht="15" hidden="false" customHeight="false" outlineLevel="0" collapsed="false">
      <c r="A221" s="13" t="s">
        <v>289</v>
      </c>
      <c r="B221" s="13" t="s">
        <v>176</v>
      </c>
      <c r="C221" s="13" t="n">
        <v>0</v>
      </c>
      <c r="D221" s="13" t="n">
        <v>0</v>
      </c>
      <c r="E221" s="13" t="n">
        <v>0</v>
      </c>
      <c r="F221" s="13" t="n">
        <v>0</v>
      </c>
      <c r="G221" s="17" t="n">
        <v>0</v>
      </c>
      <c r="H221" s="13" t="n">
        <v>1</v>
      </c>
      <c r="I221" s="13" t="n">
        <v>0</v>
      </c>
      <c r="J221" s="13" t="n">
        <v>0</v>
      </c>
      <c r="K221" s="13" t="n">
        <v>0</v>
      </c>
      <c r="L221" s="17" t="n">
        <v>0</v>
      </c>
      <c r="M221" s="18" t="n">
        <f aca="false">IF(H221=0,"",I221/H221)</f>
        <v>0</v>
      </c>
    </row>
    <row r="222" customFormat="false" ht="15" hidden="false" customHeight="false" outlineLevel="0" collapsed="false">
      <c r="A222" s="13" t="s">
        <v>290</v>
      </c>
      <c r="B222" s="13" t="s">
        <v>176</v>
      </c>
      <c r="C222" s="13" t="n">
        <v>0</v>
      </c>
      <c r="D222" s="13" t="n">
        <v>0</v>
      </c>
      <c r="E222" s="13" t="n">
        <v>0</v>
      </c>
      <c r="F222" s="13" t="n">
        <v>0</v>
      </c>
      <c r="G222" s="17" t="n">
        <v>0</v>
      </c>
      <c r="H222" s="13" t="n">
        <v>1</v>
      </c>
      <c r="I222" s="13" t="n">
        <v>0</v>
      </c>
      <c r="J222" s="13" t="n">
        <v>0</v>
      </c>
      <c r="K222" s="13" t="n">
        <v>0</v>
      </c>
      <c r="L222" s="17" t="n">
        <v>0</v>
      </c>
      <c r="M222" s="18" t="n">
        <f aca="false">IF(H222=0,"",I222/H222)</f>
        <v>0</v>
      </c>
    </row>
    <row r="223" customFormat="false" ht="15" hidden="false" customHeight="false" outlineLevel="0" collapsed="false">
      <c r="A223" s="13" t="s">
        <v>291</v>
      </c>
      <c r="B223" s="13" t="s">
        <v>176</v>
      </c>
      <c r="C223" s="13" t="n">
        <v>0</v>
      </c>
      <c r="D223" s="13" t="n">
        <v>0</v>
      </c>
      <c r="E223" s="13" t="n">
        <v>0</v>
      </c>
      <c r="F223" s="13" t="n">
        <v>0</v>
      </c>
      <c r="G223" s="17" t="n">
        <v>0</v>
      </c>
      <c r="H223" s="13" t="n">
        <v>1</v>
      </c>
      <c r="I223" s="13" t="n">
        <v>0</v>
      </c>
      <c r="J223" s="13" t="n">
        <v>0</v>
      </c>
      <c r="K223" s="13" t="n">
        <v>0</v>
      </c>
      <c r="L223" s="17" t="n">
        <v>0</v>
      </c>
      <c r="M223" s="18" t="n">
        <f aca="false">IF(H223=0,"",I223/H223)</f>
        <v>0</v>
      </c>
    </row>
    <row r="224" customFormat="false" ht="15" hidden="false" customHeight="false" outlineLevel="0" collapsed="false">
      <c r="A224" s="13" t="s">
        <v>292</v>
      </c>
      <c r="B224" s="13" t="s">
        <v>176</v>
      </c>
      <c r="C224" s="13" t="n">
        <v>0</v>
      </c>
      <c r="D224" s="13" t="n">
        <v>0</v>
      </c>
      <c r="E224" s="13" t="n">
        <v>0</v>
      </c>
      <c r="F224" s="13" t="n">
        <v>0</v>
      </c>
      <c r="G224" s="17" t="n">
        <v>0</v>
      </c>
      <c r="H224" s="13" t="n">
        <v>1</v>
      </c>
      <c r="I224" s="13" t="n">
        <v>0</v>
      </c>
      <c r="J224" s="13" t="n">
        <v>0</v>
      </c>
      <c r="K224" s="13" t="n">
        <v>0</v>
      </c>
      <c r="L224" s="17" t="n">
        <v>0</v>
      </c>
      <c r="M224" s="18" t="n">
        <f aca="false">IF(H224=0,"",I224/H224)</f>
        <v>0</v>
      </c>
    </row>
    <row r="225" customFormat="false" ht="15" hidden="false" customHeight="false" outlineLevel="0" collapsed="false">
      <c r="A225" s="13" t="s">
        <v>293</v>
      </c>
      <c r="B225" s="13" t="s">
        <v>176</v>
      </c>
      <c r="C225" s="13" t="n">
        <v>0</v>
      </c>
      <c r="D225" s="13" t="n">
        <v>0</v>
      </c>
      <c r="E225" s="13" t="n">
        <v>0</v>
      </c>
      <c r="F225" s="13" t="n">
        <v>0</v>
      </c>
      <c r="G225" s="17" t="n">
        <v>0</v>
      </c>
      <c r="H225" s="13" t="n">
        <v>1</v>
      </c>
      <c r="I225" s="13" t="n">
        <v>0</v>
      </c>
      <c r="J225" s="13" t="n">
        <v>0</v>
      </c>
      <c r="K225" s="13" t="n">
        <v>0</v>
      </c>
      <c r="L225" s="17" t="n">
        <v>0</v>
      </c>
      <c r="M225" s="18" t="n">
        <f aca="false">IF(H225=0,"",I225/H225)</f>
        <v>0</v>
      </c>
    </row>
    <row r="226" customFormat="false" ht="15" hidden="false" customHeight="false" outlineLevel="0" collapsed="false">
      <c r="A226" s="13" t="s">
        <v>294</v>
      </c>
      <c r="B226" s="13" t="s">
        <v>176</v>
      </c>
      <c r="C226" s="13" t="n">
        <v>0</v>
      </c>
      <c r="D226" s="13" t="n">
        <v>0</v>
      </c>
      <c r="E226" s="13" t="n">
        <v>0</v>
      </c>
      <c r="F226" s="13" t="n">
        <v>0</v>
      </c>
      <c r="G226" s="17" t="n">
        <v>0</v>
      </c>
      <c r="H226" s="13" t="n">
        <v>1</v>
      </c>
      <c r="I226" s="13" t="n">
        <v>0</v>
      </c>
      <c r="J226" s="13" t="n">
        <v>0</v>
      </c>
      <c r="K226" s="13" t="n">
        <v>0</v>
      </c>
      <c r="L226" s="17" t="n">
        <v>0</v>
      </c>
      <c r="M226" s="18" t="n">
        <f aca="false">IF(H226=0,"",I226/H226)</f>
        <v>0</v>
      </c>
    </row>
    <row r="227" customFormat="false" ht="15" hidden="false" customHeight="false" outlineLevel="0" collapsed="false">
      <c r="A227" s="13" t="s">
        <v>295</v>
      </c>
      <c r="B227" s="13" t="s">
        <v>176</v>
      </c>
      <c r="C227" s="13" t="n">
        <v>0</v>
      </c>
      <c r="D227" s="13" t="n">
        <v>0</v>
      </c>
      <c r="E227" s="13" t="n">
        <v>0</v>
      </c>
      <c r="F227" s="13" t="n">
        <v>0</v>
      </c>
      <c r="G227" s="17" t="n">
        <v>0</v>
      </c>
      <c r="H227" s="13" t="n">
        <v>1</v>
      </c>
      <c r="I227" s="13" t="n">
        <v>0</v>
      </c>
      <c r="J227" s="13" t="n">
        <v>0</v>
      </c>
      <c r="K227" s="13" t="n">
        <v>0</v>
      </c>
      <c r="L227" s="17" t="n">
        <v>0</v>
      </c>
      <c r="M227" s="18" t="n">
        <f aca="false">IF(H227=0,"",I227/H227)</f>
        <v>0</v>
      </c>
    </row>
    <row r="228" customFormat="false" ht="15" hidden="false" customHeight="false" outlineLevel="0" collapsed="false">
      <c r="A228" s="13" t="s">
        <v>296</v>
      </c>
      <c r="B228" s="13" t="s">
        <v>176</v>
      </c>
      <c r="C228" s="13" t="n">
        <v>0</v>
      </c>
      <c r="D228" s="13" t="n">
        <v>0</v>
      </c>
      <c r="E228" s="13" t="n">
        <v>0</v>
      </c>
      <c r="F228" s="13" t="n">
        <v>0</v>
      </c>
      <c r="G228" s="17" t="n">
        <v>0</v>
      </c>
      <c r="H228" s="13" t="n">
        <v>1</v>
      </c>
      <c r="I228" s="13" t="n">
        <v>0</v>
      </c>
      <c r="J228" s="13" t="n">
        <v>0</v>
      </c>
      <c r="K228" s="13" t="n">
        <v>0</v>
      </c>
      <c r="L228" s="17" t="n">
        <v>0</v>
      </c>
      <c r="M228" s="18" t="n">
        <f aca="false">IF(H228=0,"",I228/H228)</f>
        <v>0</v>
      </c>
    </row>
    <row r="229" customFormat="false" ht="15" hidden="false" customHeight="false" outlineLevel="0" collapsed="false">
      <c r="A229" s="13" t="s">
        <v>297</v>
      </c>
      <c r="B229" s="13" t="s">
        <v>176</v>
      </c>
      <c r="C229" s="13" t="n">
        <v>0</v>
      </c>
      <c r="D229" s="13" t="n">
        <v>0</v>
      </c>
      <c r="E229" s="13" t="n">
        <v>0</v>
      </c>
      <c r="F229" s="13" t="n">
        <v>0</v>
      </c>
      <c r="G229" s="17" t="n">
        <v>0</v>
      </c>
      <c r="H229" s="13" t="n">
        <v>1</v>
      </c>
      <c r="I229" s="13" t="n">
        <v>0</v>
      </c>
      <c r="J229" s="13" t="n">
        <v>0</v>
      </c>
      <c r="K229" s="13" t="n">
        <v>0</v>
      </c>
      <c r="L229" s="17" t="n">
        <v>0</v>
      </c>
      <c r="M229" s="18" t="n">
        <f aca="false">IF(H229=0,"",I229/H229)</f>
        <v>0</v>
      </c>
    </row>
    <row r="230" customFormat="false" ht="15" hidden="false" customHeight="false" outlineLevel="0" collapsed="false">
      <c r="A230" s="13" t="s">
        <v>298</v>
      </c>
      <c r="B230" s="13" t="s">
        <v>176</v>
      </c>
      <c r="C230" s="13" t="n">
        <v>0</v>
      </c>
      <c r="D230" s="13" t="n">
        <v>0</v>
      </c>
      <c r="E230" s="13" t="n">
        <v>0</v>
      </c>
      <c r="F230" s="13" t="n">
        <v>0</v>
      </c>
      <c r="G230" s="17" t="n">
        <v>0</v>
      </c>
      <c r="H230" s="13" t="n">
        <v>1</v>
      </c>
      <c r="I230" s="13" t="n">
        <v>0</v>
      </c>
      <c r="J230" s="13" t="n">
        <v>0</v>
      </c>
      <c r="K230" s="13" t="n">
        <v>0</v>
      </c>
      <c r="L230" s="17" t="n">
        <v>0</v>
      </c>
      <c r="M230" s="18" t="n">
        <f aca="false">IF(H230=0,"",I230/H230)</f>
        <v>0</v>
      </c>
    </row>
    <row r="231" customFormat="false" ht="15" hidden="false" customHeight="false" outlineLevel="0" collapsed="false">
      <c r="A231" s="13" t="s">
        <v>299</v>
      </c>
      <c r="B231" s="13" t="s">
        <v>176</v>
      </c>
      <c r="C231" s="13" t="n">
        <v>0</v>
      </c>
      <c r="D231" s="13" t="n">
        <v>0</v>
      </c>
      <c r="E231" s="13" t="n">
        <v>0</v>
      </c>
      <c r="F231" s="13" t="n">
        <v>0</v>
      </c>
      <c r="G231" s="17" t="n">
        <v>0</v>
      </c>
      <c r="H231" s="13" t="n">
        <v>1</v>
      </c>
      <c r="I231" s="13" t="n">
        <v>0</v>
      </c>
      <c r="J231" s="13" t="n">
        <v>0</v>
      </c>
      <c r="K231" s="13" t="n">
        <v>0</v>
      </c>
      <c r="L231" s="17" t="n">
        <v>0</v>
      </c>
      <c r="M231" s="18" t="n">
        <f aca="false">IF(H231=0,"",I231/H231)</f>
        <v>0</v>
      </c>
    </row>
    <row r="232" customFormat="false" ht="15" hidden="false" customHeight="false" outlineLevel="0" collapsed="false">
      <c r="A232" s="13" t="s">
        <v>300</v>
      </c>
      <c r="B232" s="13" t="s">
        <v>176</v>
      </c>
      <c r="C232" s="13" t="n">
        <v>0</v>
      </c>
      <c r="D232" s="13" t="n">
        <v>0</v>
      </c>
      <c r="E232" s="13" t="n">
        <v>0</v>
      </c>
      <c r="F232" s="13" t="n">
        <v>0</v>
      </c>
      <c r="G232" s="17" t="n">
        <v>0</v>
      </c>
      <c r="H232" s="13" t="n">
        <v>1</v>
      </c>
      <c r="I232" s="13" t="n">
        <v>0</v>
      </c>
      <c r="J232" s="13" t="n">
        <v>0</v>
      </c>
      <c r="K232" s="13" t="n">
        <v>0</v>
      </c>
      <c r="L232" s="17" t="n">
        <v>0</v>
      </c>
      <c r="M232" s="18" t="n">
        <f aca="false">IF(H232=0,"",I232/H232)</f>
        <v>0</v>
      </c>
    </row>
    <row r="233" customFormat="false" ht="15" hidden="false" customHeight="false" outlineLevel="0" collapsed="false">
      <c r="A233" s="13" t="s">
        <v>301</v>
      </c>
      <c r="B233" s="13" t="s">
        <v>176</v>
      </c>
      <c r="C233" s="13" t="n">
        <v>0</v>
      </c>
      <c r="D233" s="13" t="n">
        <v>0</v>
      </c>
      <c r="E233" s="13" t="n">
        <v>0</v>
      </c>
      <c r="F233" s="13" t="n">
        <v>0</v>
      </c>
      <c r="G233" s="17" t="n">
        <v>0</v>
      </c>
      <c r="H233" s="13" t="n">
        <v>1</v>
      </c>
      <c r="I233" s="13" t="n">
        <v>0</v>
      </c>
      <c r="J233" s="13" t="n">
        <v>0</v>
      </c>
      <c r="K233" s="13" t="n">
        <v>0</v>
      </c>
      <c r="L233" s="17" t="n">
        <v>0</v>
      </c>
      <c r="M233" s="18" t="n">
        <f aca="false">IF(H233=0,"",I233/H233)</f>
        <v>0</v>
      </c>
    </row>
    <row r="234" customFormat="false" ht="15" hidden="false" customHeight="false" outlineLevel="0" collapsed="false">
      <c r="A234" s="13" t="s">
        <v>302</v>
      </c>
      <c r="B234" s="13" t="s">
        <v>176</v>
      </c>
      <c r="C234" s="13" t="n">
        <v>0</v>
      </c>
      <c r="D234" s="13" t="n">
        <v>0</v>
      </c>
      <c r="E234" s="13" t="n">
        <v>0</v>
      </c>
      <c r="F234" s="13" t="n">
        <v>0</v>
      </c>
      <c r="G234" s="17" t="n">
        <v>0</v>
      </c>
      <c r="H234" s="13" t="n">
        <v>1</v>
      </c>
      <c r="I234" s="13" t="n">
        <v>0</v>
      </c>
      <c r="J234" s="13" t="n">
        <v>0</v>
      </c>
      <c r="K234" s="13" t="n">
        <v>0</v>
      </c>
      <c r="L234" s="17" t="n">
        <v>0</v>
      </c>
      <c r="M234" s="18" t="n">
        <f aca="false">IF(H234=0,"",I234/H234)</f>
        <v>0</v>
      </c>
    </row>
    <row r="235" customFormat="false" ht="15" hidden="false" customHeight="false" outlineLevel="0" collapsed="false">
      <c r="A235" s="13" t="s">
        <v>303</v>
      </c>
      <c r="B235" s="13" t="s">
        <v>176</v>
      </c>
      <c r="C235" s="13" t="n">
        <v>0</v>
      </c>
      <c r="D235" s="13" t="n">
        <v>0</v>
      </c>
      <c r="E235" s="13" t="n">
        <v>0</v>
      </c>
      <c r="F235" s="13" t="n">
        <v>0</v>
      </c>
      <c r="G235" s="17" t="n">
        <v>0</v>
      </c>
      <c r="H235" s="13" t="n">
        <v>1</v>
      </c>
      <c r="I235" s="13" t="n">
        <v>0</v>
      </c>
      <c r="J235" s="13" t="n">
        <v>0</v>
      </c>
      <c r="K235" s="13" t="n">
        <v>0</v>
      </c>
      <c r="L235" s="17" t="n">
        <v>0</v>
      </c>
      <c r="M235" s="18" t="n">
        <f aca="false">IF(H235=0,"",I235/H235)</f>
        <v>0</v>
      </c>
    </row>
    <row r="236" customFormat="false" ht="15" hidden="false" customHeight="false" outlineLevel="0" collapsed="false">
      <c r="A236" s="13" t="s">
        <v>304</v>
      </c>
      <c r="B236" s="13" t="s">
        <v>176</v>
      </c>
      <c r="C236" s="13" t="n">
        <v>0</v>
      </c>
      <c r="D236" s="13" t="n">
        <v>0</v>
      </c>
      <c r="E236" s="13" t="n">
        <v>0</v>
      </c>
      <c r="F236" s="13" t="n">
        <v>0</v>
      </c>
      <c r="G236" s="17" t="n">
        <v>0</v>
      </c>
      <c r="H236" s="13" t="n">
        <v>1</v>
      </c>
      <c r="I236" s="13" t="n">
        <v>0</v>
      </c>
      <c r="J236" s="13" t="n">
        <v>0</v>
      </c>
      <c r="K236" s="13" t="n">
        <v>0</v>
      </c>
      <c r="L236" s="17" t="n">
        <v>0</v>
      </c>
      <c r="M236" s="18" t="n">
        <f aca="false">IF(H236=0,"",I236/H236)</f>
        <v>0</v>
      </c>
    </row>
    <row r="237" customFormat="false" ht="15" hidden="false" customHeight="false" outlineLevel="0" collapsed="false">
      <c r="A237" s="13" t="s">
        <v>305</v>
      </c>
      <c r="B237" s="13" t="s">
        <v>176</v>
      </c>
      <c r="C237" s="13" t="n">
        <v>0</v>
      </c>
      <c r="D237" s="13" t="n">
        <v>0</v>
      </c>
      <c r="E237" s="13" t="n">
        <v>0</v>
      </c>
      <c r="F237" s="13" t="n">
        <v>0</v>
      </c>
      <c r="G237" s="17" t="n">
        <v>0</v>
      </c>
      <c r="H237" s="13" t="n">
        <v>1</v>
      </c>
      <c r="I237" s="13" t="n">
        <v>0</v>
      </c>
      <c r="J237" s="13" t="n">
        <v>0</v>
      </c>
      <c r="K237" s="13" t="n">
        <v>0</v>
      </c>
      <c r="L237" s="17" t="n">
        <v>0</v>
      </c>
      <c r="M237" s="18" t="n">
        <f aca="false">IF(H237=0,"",I237/H237)</f>
        <v>0</v>
      </c>
    </row>
    <row r="238" customFormat="false" ht="15" hidden="false" customHeight="false" outlineLevel="0" collapsed="false">
      <c r="A238" s="13" t="s">
        <v>306</v>
      </c>
      <c r="B238" s="13" t="s">
        <v>176</v>
      </c>
      <c r="C238" s="13" t="n">
        <v>0</v>
      </c>
      <c r="D238" s="13" t="n">
        <v>0</v>
      </c>
      <c r="E238" s="13" t="n">
        <v>0</v>
      </c>
      <c r="F238" s="13" t="n">
        <v>0</v>
      </c>
      <c r="G238" s="17" t="n">
        <v>0</v>
      </c>
      <c r="H238" s="13" t="n">
        <v>1</v>
      </c>
      <c r="I238" s="13" t="n">
        <v>0</v>
      </c>
      <c r="J238" s="13" t="n">
        <v>0</v>
      </c>
      <c r="K238" s="13" t="n">
        <v>0</v>
      </c>
      <c r="L238" s="17" t="n">
        <v>0</v>
      </c>
      <c r="M238" s="18" t="n">
        <f aca="false">IF(H238=0,"",I238/H238)</f>
        <v>0</v>
      </c>
    </row>
    <row r="239" customFormat="false" ht="15" hidden="false" customHeight="false" outlineLevel="0" collapsed="false">
      <c r="A239" s="13" t="s">
        <v>307</v>
      </c>
      <c r="B239" s="13" t="s">
        <v>176</v>
      </c>
      <c r="C239" s="13" t="n">
        <v>0</v>
      </c>
      <c r="D239" s="13" t="n">
        <v>0</v>
      </c>
      <c r="E239" s="13" t="n">
        <v>0</v>
      </c>
      <c r="F239" s="13" t="n">
        <v>0</v>
      </c>
      <c r="G239" s="17" t="n">
        <v>0</v>
      </c>
      <c r="H239" s="13" t="n">
        <v>1</v>
      </c>
      <c r="I239" s="13" t="n">
        <v>0</v>
      </c>
      <c r="J239" s="13" t="n">
        <v>0</v>
      </c>
      <c r="K239" s="13" t="n">
        <v>0</v>
      </c>
      <c r="L239" s="17" t="n">
        <v>0</v>
      </c>
      <c r="M239" s="18" t="n">
        <f aca="false">IF(H239=0,"",I239/H239)</f>
        <v>0</v>
      </c>
    </row>
    <row r="240" customFormat="false" ht="15" hidden="false" customHeight="false" outlineLevel="0" collapsed="false">
      <c r="A240" s="13" t="s">
        <v>308</v>
      </c>
      <c r="B240" s="13" t="s">
        <v>176</v>
      </c>
      <c r="C240" s="13" t="n">
        <v>0</v>
      </c>
      <c r="D240" s="13" t="n">
        <v>0</v>
      </c>
      <c r="E240" s="13" t="n">
        <v>0</v>
      </c>
      <c r="F240" s="13" t="n">
        <v>0</v>
      </c>
      <c r="G240" s="17" t="n">
        <v>0</v>
      </c>
      <c r="H240" s="13" t="n">
        <v>1</v>
      </c>
      <c r="I240" s="13" t="n">
        <v>0</v>
      </c>
      <c r="J240" s="13" t="n">
        <v>0</v>
      </c>
      <c r="K240" s="13" t="n">
        <v>0</v>
      </c>
      <c r="L240" s="17" t="n">
        <v>0</v>
      </c>
      <c r="M240" s="18" t="n">
        <f aca="false">IF(H240=0,"",I240/H240)</f>
        <v>0</v>
      </c>
    </row>
    <row r="241" customFormat="false" ht="15" hidden="false" customHeight="false" outlineLevel="0" collapsed="false">
      <c r="A241" s="13" t="s">
        <v>309</v>
      </c>
      <c r="B241" s="13" t="s">
        <v>176</v>
      </c>
      <c r="C241" s="13" t="n">
        <v>0</v>
      </c>
      <c r="D241" s="13" t="n">
        <v>0</v>
      </c>
      <c r="E241" s="13" t="n">
        <v>0</v>
      </c>
      <c r="F241" s="13" t="n">
        <v>0</v>
      </c>
      <c r="G241" s="17" t="n">
        <v>0</v>
      </c>
      <c r="H241" s="13" t="n">
        <v>1</v>
      </c>
      <c r="I241" s="13" t="n">
        <v>0</v>
      </c>
      <c r="J241" s="13" t="n">
        <v>0</v>
      </c>
      <c r="K241" s="13" t="n">
        <v>0</v>
      </c>
      <c r="L241" s="17" t="n">
        <v>0</v>
      </c>
      <c r="M241" s="18" t="n">
        <f aca="false">IF(H241=0,"",I241/H241)</f>
        <v>0</v>
      </c>
    </row>
    <row r="242" customFormat="false" ht="15" hidden="false" customHeight="false" outlineLevel="0" collapsed="false">
      <c r="A242" s="13" t="s">
        <v>310</v>
      </c>
      <c r="B242" s="13" t="s">
        <v>176</v>
      </c>
      <c r="C242" s="13" t="n">
        <v>0</v>
      </c>
      <c r="D242" s="13" t="n">
        <v>0</v>
      </c>
      <c r="E242" s="13" t="n">
        <v>0</v>
      </c>
      <c r="F242" s="13" t="n">
        <v>0</v>
      </c>
      <c r="G242" s="17" t="n">
        <v>0</v>
      </c>
      <c r="H242" s="13" t="n">
        <v>1</v>
      </c>
      <c r="I242" s="13" t="n">
        <v>0</v>
      </c>
      <c r="J242" s="13" t="n">
        <v>0</v>
      </c>
      <c r="K242" s="13" t="n">
        <v>0</v>
      </c>
      <c r="L242" s="17" t="n">
        <v>0</v>
      </c>
      <c r="M242" s="18" t="n">
        <f aca="false">IF(H242=0,"",I242/H242)</f>
        <v>0</v>
      </c>
    </row>
    <row r="243" customFormat="false" ht="15" hidden="false" customHeight="false" outlineLevel="0" collapsed="false">
      <c r="A243" s="13" t="s">
        <v>311</v>
      </c>
      <c r="B243" s="13" t="s">
        <v>176</v>
      </c>
      <c r="C243" s="13" t="n">
        <v>0</v>
      </c>
      <c r="D243" s="13" t="n">
        <v>0</v>
      </c>
      <c r="E243" s="13" t="n">
        <v>0</v>
      </c>
      <c r="F243" s="13" t="n">
        <v>0</v>
      </c>
      <c r="G243" s="17" t="n">
        <v>0</v>
      </c>
      <c r="H243" s="13" t="n">
        <v>1</v>
      </c>
      <c r="I243" s="13" t="n">
        <v>0</v>
      </c>
      <c r="J243" s="13" t="n">
        <v>0</v>
      </c>
      <c r="K243" s="13" t="n">
        <v>0</v>
      </c>
      <c r="L243" s="17" t="n">
        <v>0</v>
      </c>
      <c r="M243" s="18" t="n">
        <f aca="false">IF(H243=0,"",I243/H243)</f>
        <v>0</v>
      </c>
    </row>
    <row r="244" customFormat="false" ht="15" hidden="false" customHeight="false" outlineLevel="0" collapsed="false">
      <c r="A244" s="13" t="s">
        <v>312</v>
      </c>
      <c r="B244" s="13" t="s">
        <v>176</v>
      </c>
      <c r="C244" s="13" t="n">
        <v>0</v>
      </c>
      <c r="D244" s="13" t="n">
        <v>0</v>
      </c>
      <c r="E244" s="13" t="n">
        <v>0</v>
      </c>
      <c r="F244" s="13" t="n">
        <v>0</v>
      </c>
      <c r="G244" s="17" t="n">
        <v>0</v>
      </c>
      <c r="H244" s="13" t="n">
        <v>1</v>
      </c>
      <c r="I244" s="13" t="n">
        <v>0</v>
      </c>
      <c r="J244" s="13" t="n">
        <v>0</v>
      </c>
      <c r="K244" s="13" t="n">
        <v>0</v>
      </c>
      <c r="L244" s="17" t="n">
        <v>0</v>
      </c>
      <c r="M244" s="18" t="n">
        <f aca="false">IF(H244=0,"",I244/H244)</f>
        <v>0</v>
      </c>
    </row>
    <row r="245" customFormat="false" ht="15" hidden="false" customHeight="false" outlineLevel="0" collapsed="false">
      <c r="A245" s="13" t="s">
        <v>313</v>
      </c>
      <c r="B245" s="13" t="s">
        <v>176</v>
      </c>
      <c r="C245" s="13" t="n">
        <v>0</v>
      </c>
      <c r="D245" s="13" t="n">
        <v>0</v>
      </c>
      <c r="E245" s="13" t="n">
        <v>0</v>
      </c>
      <c r="F245" s="13" t="n">
        <v>0</v>
      </c>
      <c r="G245" s="17" t="n">
        <v>0</v>
      </c>
      <c r="H245" s="13" t="n">
        <v>1</v>
      </c>
      <c r="I245" s="13" t="n">
        <v>0</v>
      </c>
      <c r="J245" s="13" t="n">
        <v>0</v>
      </c>
      <c r="K245" s="13" t="n">
        <v>0</v>
      </c>
      <c r="L245" s="17" t="n">
        <v>0</v>
      </c>
      <c r="M245" s="18" t="n">
        <f aca="false">IF(H245=0,"",I245/H245)</f>
        <v>0</v>
      </c>
    </row>
    <row r="246" customFormat="false" ht="15" hidden="false" customHeight="false" outlineLevel="0" collapsed="false">
      <c r="A246" s="13" t="s">
        <v>314</v>
      </c>
      <c r="B246" s="13" t="s">
        <v>176</v>
      </c>
      <c r="C246" s="13" t="n">
        <v>0</v>
      </c>
      <c r="D246" s="13" t="n">
        <v>0</v>
      </c>
      <c r="E246" s="13" t="n">
        <v>0</v>
      </c>
      <c r="F246" s="13" t="n">
        <v>0</v>
      </c>
      <c r="G246" s="17" t="n">
        <v>0</v>
      </c>
      <c r="H246" s="13" t="n">
        <v>1</v>
      </c>
      <c r="I246" s="13" t="n">
        <v>0</v>
      </c>
      <c r="J246" s="13" t="n">
        <v>0</v>
      </c>
      <c r="K246" s="13" t="n">
        <v>0</v>
      </c>
      <c r="L246" s="17" t="n">
        <v>0</v>
      </c>
      <c r="M246" s="18" t="n">
        <f aca="false">IF(H246=0,"",I246/H246)</f>
        <v>0</v>
      </c>
    </row>
    <row r="247" customFormat="false" ht="15" hidden="false" customHeight="false" outlineLevel="0" collapsed="false">
      <c r="A247" s="13" t="s">
        <v>315</v>
      </c>
      <c r="B247" s="13" t="s">
        <v>176</v>
      </c>
      <c r="C247" s="13" t="n">
        <v>0</v>
      </c>
      <c r="D247" s="13" t="n">
        <v>0</v>
      </c>
      <c r="E247" s="13" t="n">
        <v>0</v>
      </c>
      <c r="F247" s="13" t="n">
        <v>0</v>
      </c>
      <c r="G247" s="17" t="n">
        <v>0</v>
      </c>
      <c r="H247" s="13" t="n">
        <v>1</v>
      </c>
      <c r="I247" s="13" t="n">
        <v>0</v>
      </c>
      <c r="J247" s="13" t="n">
        <v>0</v>
      </c>
      <c r="K247" s="13" t="n">
        <v>0</v>
      </c>
      <c r="L247" s="17" t="n">
        <v>0</v>
      </c>
      <c r="M247" s="18" t="n">
        <f aca="false">IF(H247=0,"",I247/H247)</f>
        <v>0</v>
      </c>
    </row>
    <row r="248" customFormat="false" ht="15" hidden="false" customHeight="false" outlineLevel="0" collapsed="false">
      <c r="A248" s="13" t="s">
        <v>316</v>
      </c>
      <c r="B248" s="13" t="s">
        <v>176</v>
      </c>
      <c r="C248" s="13" t="n">
        <v>0</v>
      </c>
      <c r="D248" s="13" t="n">
        <v>0</v>
      </c>
      <c r="E248" s="13" t="n">
        <v>0</v>
      </c>
      <c r="F248" s="13" t="n">
        <v>0</v>
      </c>
      <c r="G248" s="17" t="n">
        <v>0</v>
      </c>
      <c r="H248" s="13" t="n">
        <v>1</v>
      </c>
      <c r="I248" s="13" t="n">
        <v>0</v>
      </c>
      <c r="J248" s="13" t="n">
        <v>0</v>
      </c>
      <c r="K248" s="13" t="n">
        <v>0</v>
      </c>
      <c r="L248" s="17" t="n">
        <v>0</v>
      </c>
      <c r="M248" s="18" t="n">
        <f aca="false">IF(H248=0,"",I248/H248)</f>
        <v>0</v>
      </c>
    </row>
    <row r="249" customFormat="false" ht="15" hidden="false" customHeight="false" outlineLevel="0" collapsed="false">
      <c r="A249" s="13" t="s">
        <v>317</v>
      </c>
      <c r="B249" s="13" t="s">
        <v>176</v>
      </c>
      <c r="C249" s="13" t="n">
        <v>0</v>
      </c>
      <c r="D249" s="13" t="n">
        <v>0</v>
      </c>
      <c r="E249" s="13" t="n">
        <v>0</v>
      </c>
      <c r="F249" s="13" t="n">
        <v>0</v>
      </c>
      <c r="G249" s="17" t="n">
        <v>0</v>
      </c>
      <c r="H249" s="13" t="n">
        <v>1</v>
      </c>
      <c r="I249" s="13" t="n">
        <v>0</v>
      </c>
      <c r="J249" s="13" t="n">
        <v>0</v>
      </c>
      <c r="K249" s="13" t="n">
        <v>0</v>
      </c>
      <c r="L249" s="17" t="n">
        <v>0</v>
      </c>
      <c r="M249" s="18" t="n">
        <f aca="false">IF(H249=0,"",I249/H249)</f>
        <v>0</v>
      </c>
    </row>
    <row r="250" customFormat="false" ht="15" hidden="false" customHeight="false" outlineLevel="0" collapsed="false">
      <c r="A250" s="13" t="s">
        <v>129</v>
      </c>
      <c r="B250" s="13" t="s">
        <v>169</v>
      </c>
      <c r="C250" s="13" t="n">
        <v>0</v>
      </c>
      <c r="D250" s="13" t="n">
        <v>0</v>
      </c>
      <c r="E250" s="13" t="n">
        <v>0</v>
      </c>
      <c r="F250" s="13" t="n">
        <v>0</v>
      </c>
      <c r="G250" s="17" t="n">
        <v>0</v>
      </c>
      <c r="H250" s="13" t="n">
        <v>1</v>
      </c>
      <c r="I250" s="13" t="n">
        <v>0</v>
      </c>
      <c r="J250" s="13" t="n">
        <v>1</v>
      </c>
      <c r="K250" s="13" t="n">
        <v>2</v>
      </c>
      <c r="L250" s="17" t="n">
        <v>0</v>
      </c>
      <c r="M250" s="18" t="n">
        <f aca="false">IF(H250=0,"",I250/H250)</f>
        <v>0</v>
      </c>
    </row>
    <row r="251" customFormat="false" ht="15" hidden="false" customHeight="false" outlineLevel="0" collapsed="false">
      <c r="A251" s="13" t="s">
        <v>129</v>
      </c>
      <c r="B251" s="13" t="s">
        <v>170</v>
      </c>
      <c r="C251" s="13" t="n">
        <v>0</v>
      </c>
      <c r="D251" s="13" t="n">
        <v>0</v>
      </c>
      <c r="E251" s="13" t="n">
        <v>0</v>
      </c>
      <c r="F251" s="13" t="n">
        <v>0</v>
      </c>
      <c r="G251" s="17" t="n">
        <v>0</v>
      </c>
      <c r="H251" s="13" t="n">
        <v>1</v>
      </c>
      <c r="I251" s="13" t="n">
        <v>0</v>
      </c>
      <c r="J251" s="13" t="n">
        <v>0</v>
      </c>
      <c r="K251" s="13" t="n">
        <v>0</v>
      </c>
      <c r="L251" s="17" t="n">
        <v>0</v>
      </c>
      <c r="M251" s="18" t="n">
        <f aca="false">IF(H251=0,"",I251/H251)</f>
        <v>0</v>
      </c>
    </row>
    <row r="252" customFormat="false" ht="15" hidden="false" customHeight="false" outlineLevel="0" collapsed="false">
      <c r="A252" s="13" t="s">
        <v>129</v>
      </c>
      <c r="B252" s="13" t="s">
        <v>172</v>
      </c>
      <c r="C252" s="13" t="n">
        <v>0</v>
      </c>
      <c r="D252" s="13" t="n">
        <v>0</v>
      </c>
      <c r="E252" s="13" t="n">
        <v>0</v>
      </c>
      <c r="F252" s="13" t="n">
        <v>0</v>
      </c>
      <c r="G252" s="17" t="n">
        <v>0</v>
      </c>
      <c r="H252" s="13" t="n">
        <v>14</v>
      </c>
      <c r="I252" s="13" t="n">
        <v>0</v>
      </c>
      <c r="J252" s="13" t="n">
        <v>14</v>
      </c>
      <c r="K252" s="13" t="n">
        <v>0</v>
      </c>
      <c r="L252" s="17" t="n">
        <v>0.0162222666666667</v>
      </c>
      <c r="M252" s="18" t="n">
        <f aca="false">IF(H252=0,"",I252/H252)</f>
        <v>0</v>
      </c>
    </row>
    <row r="253" customFormat="false" ht="15" hidden="false" customHeight="false" outlineLevel="0" collapsed="false">
      <c r="A253" s="13" t="s">
        <v>129</v>
      </c>
      <c r="B253" s="13" t="s">
        <v>173</v>
      </c>
      <c r="C253" s="13" t="n">
        <v>0</v>
      </c>
      <c r="D253" s="13" t="n">
        <v>0</v>
      </c>
      <c r="E253" s="13" t="n">
        <v>0</v>
      </c>
      <c r="F253" s="13" t="n">
        <v>0</v>
      </c>
      <c r="G253" s="17" t="n">
        <v>0</v>
      </c>
      <c r="H253" s="13" t="n">
        <v>4</v>
      </c>
      <c r="I253" s="13" t="n">
        <v>1</v>
      </c>
      <c r="J253" s="13" t="n">
        <v>3</v>
      </c>
      <c r="K253" s="13" t="n">
        <v>0</v>
      </c>
      <c r="L253" s="17" t="n">
        <v>0.0015176</v>
      </c>
      <c r="M253" s="18" t="n">
        <f aca="false">IF(H253=0,"",I253/H253)</f>
        <v>0.25</v>
      </c>
    </row>
    <row r="254" customFormat="false" ht="15" hidden="false" customHeight="false" outlineLevel="0" collapsed="false">
      <c r="A254" s="13" t="s">
        <v>129</v>
      </c>
      <c r="B254" s="13" t="s">
        <v>175</v>
      </c>
      <c r="C254" s="13" t="n">
        <v>0</v>
      </c>
      <c r="D254" s="13" t="n">
        <v>0</v>
      </c>
      <c r="E254" s="13" t="n">
        <v>0</v>
      </c>
      <c r="F254" s="13" t="n">
        <v>0</v>
      </c>
      <c r="G254" s="17" t="n">
        <v>0</v>
      </c>
      <c r="H254" s="13" t="n">
        <v>19</v>
      </c>
      <c r="I254" s="13" t="n">
        <v>0</v>
      </c>
      <c r="J254" s="13" t="n">
        <v>0</v>
      </c>
      <c r="K254" s="13" t="n">
        <v>19</v>
      </c>
      <c r="L254" s="17" t="n">
        <v>0</v>
      </c>
      <c r="M254" s="18" t="n">
        <f aca="false">IF(H254=0,"",I254/H254)</f>
        <v>0</v>
      </c>
    </row>
    <row r="255" customFormat="false" ht="15" hidden="false" customHeight="false" outlineLevel="0" collapsed="false">
      <c r="A255" s="13" t="s">
        <v>129</v>
      </c>
      <c r="B255" s="13" t="s">
        <v>176</v>
      </c>
      <c r="C255" s="13" t="n">
        <v>0</v>
      </c>
      <c r="D255" s="13" t="n">
        <v>0</v>
      </c>
      <c r="E255" s="13" t="n">
        <v>0</v>
      </c>
      <c r="F255" s="13" t="n">
        <v>0</v>
      </c>
      <c r="G255" s="17" t="n">
        <v>0</v>
      </c>
      <c r="H255" s="13" t="n">
        <v>9</v>
      </c>
      <c r="I255" s="13" t="n">
        <v>0</v>
      </c>
      <c r="J255" s="13" t="n">
        <v>0</v>
      </c>
      <c r="K255" s="13" t="n">
        <v>0</v>
      </c>
      <c r="L255" s="17" t="n">
        <v>0</v>
      </c>
      <c r="M255" s="18" t="n">
        <f aca="false">IF(H255=0,"",I255/H255)</f>
        <v>0</v>
      </c>
    </row>
    <row r="256" customFormat="false" ht="15" hidden="false" customHeight="false" outlineLevel="0" collapsed="false">
      <c r="A256" s="13" t="s">
        <v>65</v>
      </c>
      <c r="B256" s="13" t="s">
        <v>169</v>
      </c>
      <c r="C256" s="13" t="n">
        <v>0</v>
      </c>
      <c r="D256" s="13" t="n">
        <v>0</v>
      </c>
      <c r="E256" s="13" t="n">
        <v>0</v>
      </c>
      <c r="F256" s="13" t="n">
        <v>0</v>
      </c>
      <c r="G256" s="17" t="n">
        <v>0</v>
      </c>
      <c r="H256" s="13" t="n">
        <v>0</v>
      </c>
      <c r="I256" s="13" t="n">
        <v>0</v>
      </c>
      <c r="J256" s="13" t="n">
        <v>4</v>
      </c>
      <c r="K256" s="13" t="n">
        <v>0</v>
      </c>
      <c r="L256" s="17" t="n">
        <v>0</v>
      </c>
      <c r="M256" s="18" t="str">
        <f aca="false">IF(H256=0,"",I256/H256)</f>
        <v/>
      </c>
    </row>
    <row r="257" customFormat="false" ht="15" hidden="false" customHeight="false" outlineLevel="0" collapsed="false">
      <c r="A257" s="13" t="s">
        <v>65</v>
      </c>
      <c r="B257" s="13" t="s">
        <v>170</v>
      </c>
      <c r="C257" s="13" t="n">
        <v>0</v>
      </c>
      <c r="D257" s="13" t="n">
        <v>0</v>
      </c>
      <c r="E257" s="13" t="n">
        <v>0</v>
      </c>
      <c r="F257" s="13" t="n">
        <v>0</v>
      </c>
      <c r="G257" s="17" t="n">
        <v>0</v>
      </c>
      <c r="H257" s="13" t="n">
        <v>126</v>
      </c>
      <c r="I257" s="13" t="n">
        <v>116</v>
      </c>
      <c r="J257" s="13" t="n">
        <v>6</v>
      </c>
      <c r="K257" s="13" t="n">
        <v>0</v>
      </c>
      <c r="L257" s="17" t="n">
        <v>0</v>
      </c>
      <c r="M257" s="18" t="n">
        <f aca="false">IF(H257=0,"",I257/H257)</f>
        <v>0.920634920634921</v>
      </c>
    </row>
    <row r="258" customFormat="false" ht="15" hidden="false" customHeight="false" outlineLevel="0" collapsed="false">
      <c r="A258" s="13" t="s">
        <v>65</v>
      </c>
      <c r="B258" s="13" t="s">
        <v>172</v>
      </c>
      <c r="C258" s="13" t="n">
        <v>0</v>
      </c>
      <c r="D258" s="13" t="n">
        <v>0</v>
      </c>
      <c r="E258" s="13" t="n">
        <v>0</v>
      </c>
      <c r="F258" s="13" t="n">
        <v>0</v>
      </c>
      <c r="G258" s="17" t="n">
        <v>0</v>
      </c>
      <c r="H258" s="13" t="n">
        <v>417</v>
      </c>
      <c r="I258" s="13" t="n">
        <v>25</v>
      </c>
      <c r="J258" s="13" t="n">
        <v>380</v>
      </c>
      <c r="K258" s="13" t="n">
        <v>0</v>
      </c>
      <c r="L258" s="17" t="n">
        <v>0.4447453</v>
      </c>
      <c r="M258" s="18" t="n">
        <f aca="false">IF(H258=0,"",I258/H258)</f>
        <v>0.0599520383693046</v>
      </c>
    </row>
    <row r="259" customFormat="false" ht="15" hidden="false" customHeight="false" outlineLevel="0" collapsed="false">
      <c r="A259" s="13" t="s">
        <v>65</v>
      </c>
      <c r="B259" s="13" t="s">
        <v>173</v>
      </c>
      <c r="C259" s="13" t="n">
        <v>0</v>
      </c>
      <c r="D259" s="13" t="n">
        <v>0</v>
      </c>
      <c r="E259" s="13" t="n">
        <v>0</v>
      </c>
      <c r="F259" s="13" t="n">
        <v>0</v>
      </c>
      <c r="G259" s="17" t="n">
        <v>0</v>
      </c>
      <c r="H259" s="13" t="n">
        <v>117</v>
      </c>
      <c r="I259" s="13" t="n">
        <v>3</v>
      </c>
      <c r="J259" s="13" t="n">
        <v>114</v>
      </c>
      <c r="K259" s="13" t="n">
        <v>0</v>
      </c>
      <c r="L259" s="17" t="n">
        <v>0.071724</v>
      </c>
      <c r="M259" s="18" t="n">
        <f aca="false">IF(H259=0,"",I259/H259)</f>
        <v>0.0256410256410256</v>
      </c>
    </row>
    <row r="260" customFormat="false" ht="15" hidden="false" customHeight="false" outlineLevel="0" collapsed="false">
      <c r="A260" s="13" t="s">
        <v>65</v>
      </c>
      <c r="B260" s="13" t="s">
        <v>176</v>
      </c>
      <c r="C260" s="13" t="n">
        <v>0</v>
      </c>
      <c r="D260" s="13" t="n">
        <v>0</v>
      </c>
      <c r="E260" s="13" t="n">
        <v>0</v>
      </c>
      <c r="F260" s="13" t="n">
        <v>0</v>
      </c>
      <c r="G260" s="17" t="n">
        <v>0</v>
      </c>
      <c r="H260" s="13" t="n">
        <v>246</v>
      </c>
      <c r="I260" s="13" t="n">
        <v>0</v>
      </c>
      <c r="J260" s="13" t="n">
        <v>0</v>
      </c>
      <c r="K260" s="13" t="n">
        <v>0</v>
      </c>
      <c r="L260" s="17" t="n">
        <v>0</v>
      </c>
      <c r="M260" s="18" t="n">
        <f aca="false">IF(H260=0,"",I260/H260)</f>
        <v>0</v>
      </c>
    </row>
    <row r="261" customFormat="false" ht="15" hidden="false" customHeight="false" outlineLevel="0" collapsed="false">
      <c r="A261" s="13" t="s">
        <v>318</v>
      </c>
      <c r="B261" s="13" t="s">
        <v>176</v>
      </c>
      <c r="C261" s="13" t="n">
        <v>0</v>
      </c>
      <c r="D261" s="13" t="n">
        <v>0</v>
      </c>
      <c r="E261" s="13" t="n">
        <v>0</v>
      </c>
      <c r="F261" s="13" t="n">
        <v>0</v>
      </c>
      <c r="G261" s="17" t="n">
        <v>0</v>
      </c>
      <c r="H261" s="13" t="n">
        <v>1</v>
      </c>
      <c r="I261" s="13" t="n">
        <v>0</v>
      </c>
      <c r="J261" s="13" t="n">
        <v>0</v>
      </c>
      <c r="K261" s="13" t="n">
        <v>0</v>
      </c>
      <c r="L261" s="17" t="n">
        <v>0</v>
      </c>
      <c r="M261" s="18" t="n">
        <f aca="false">IF(H261=0,"",I261/H261)</f>
        <v>0</v>
      </c>
    </row>
    <row r="262" customFormat="false" ht="15" hidden="false" customHeight="false" outlineLevel="0" collapsed="false">
      <c r="A262" s="13" t="s">
        <v>319</v>
      </c>
      <c r="B262" s="13" t="s">
        <v>176</v>
      </c>
      <c r="C262" s="13" t="n">
        <v>0</v>
      </c>
      <c r="D262" s="13" t="n">
        <v>0</v>
      </c>
      <c r="E262" s="13" t="n">
        <v>0</v>
      </c>
      <c r="F262" s="13" t="n">
        <v>0</v>
      </c>
      <c r="G262" s="17" t="n">
        <v>0</v>
      </c>
      <c r="H262" s="13" t="n">
        <v>2</v>
      </c>
      <c r="I262" s="13" t="n">
        <v>0</v>
      </c>
      <c r="J262" s="13" t="n">
        <v>0</v>
      </c>
      <c r="K262" s="13" t="n">
        <v>0</v>
      </c>
      <c r="L262" s="17" t="n">
        <v>0</v>
      </c>
      <c r="M262" s="18" t="n">
        <f aca="false">IF(H262=0,"",I262/H262)</f>
        <v>0</v>
      </c>
    </row>
    <row r="263" customFormat="false" ht="15" hidden="false" customHeight="false" outlineLevel="0" collapsed="false">
      <c r="A263" s="13" t="s">
        <v>320</v>
      </c>
      <c r="B263" s="13" t="s">
        <v>176</v>
      </c>
      <c r="C263" s="13" t="n">
        <v>0</v>
      </c>
      <c r="D263" s="13" t="n">
        <v>0</v>
      </c>
      <c r="E263" s="13" t="n">
        <v>0</v>
      </c>
      <c r="F263" s="13" t="n">
        <v>0</v>
      </c>
      <c r="G263" s="17" t="n">
        <v>0</v>
      </c>
      <c r="H263" s="13" t="n">
        <v>1</v>
      </c>
      <c r="I263" s="13" t="n">
        <v>0</v>
      </c>
      <c r="J263" s="13" t="n">
        <v>0</v>
      </c>
      <c r="K263" s="13" t="n">
        <v>0</v>
      </c>
      <c r="L263" s="17" t="n">
        <v>0</v>
      </c>
      <c r="M263" s="18" t="n">
        <f aca="false">IF(H263=0,"",I263/H263)</f>
        <v>0</v>
      </c>
    </row>
    <row r="264" customFormat="false" ht="15" hidden="false" customHeight="false" outlineLevel="0" collapsed="false">
      <c r="A264" s="13" t="s">
        <v>321</v>
      </c>
      <c r="B264" s="13" t="s">
        <v>176</v>
      </c>
      <c r="C264" s="13" t="n">
        <v>0</v>
      </c>
      <c r="D264" s="13" t="n">
        <v>0</v>
      </c>
      <c r="E264" s="13" t="n">
        <v>0</v>
      </c>
      <c r="F264" s="13" t="n">
        <v>0</v>
      </c>
      <c r="G264" s="17" t="n">
        <v>0</v>
      </c>
      <c r="H264" s="13" t="n">
        <v>1</v>
      </c>
      <c r="I264" s="13" t="n">
        <v>0</v>
      </c>
      <c r="J264" s="13" t="n">
        <v>0</v>
      </c>
      <c r="K264" s="13" t="n">
        <v>0</v>
      </c>
      <c r="L264" s="17" t="n">
        <v>0</v>
      </c>
      <c r="M264" s="18" t="n">
        <f aca="false">IF(H264=0,"",I264/H264)</f>
        <v>0</v>
      </c>
    </row>
    <row r="265" customFormat="false" ht="15" hidden="false" customHeight="false" outlineLevel="0" collapsed="false">
      <c r="A265" s="13" t="s">
        <v>131</v>
      </c>
      <c r="B265" s="13" t="s">
        <v>169</v>
      </c>
      <c r="C265" s="13" t="n">
        <v>0</v>
      </c>
      <c r="D265" s="13" t="n">
        <v>0</v>
      </c>
      <c r="E265" s="13" t="n">
        <v>0</v>
      </c>
      <c r="F265" s="13" t="n">
        <v>0</v>
      </c>
      <c r="G265" s="17" t="n">
        <v>0</v>
      </c>
      <c r="H265" s="13" t="n">
        <v>2</v>
      </c>
      <c r="I265" s="13" t="n">
        <v>0</v>
      </c>
      <c r="J265" s="13" t="n">
        <v>2</v>
      </c>
      <c r="K265" s="13" t="n">
        <v>4</v>
      </c>
      <c r="L265" s="17" t="n">
        <v>0</v>
      </c>
      <c r="M265" s="18" t="n">
        <f aca="false">IF(H265=0,"",I265/H265)</f>
        <v>0</v>
      </c>
    </row>
    <row r="266" customFormat="false" ht="15" hidden="false" customHeight="false" outlineLevel="0" collapsed="false">
      <c r="A266" s="13" t="s">
        <v>131</v>
      </c>
      <c r="B266" s="13" t="s">
        <v>170</v>
      </c>
      <c r="C266" s="13" t="n">
        <v>0</v>
      </c>
      <c r="D266" s="13" t="n">
        <v>0</v>
      </c>
      <c r="E266" s="13" t="n">
        <v>0</v>
      </c>
      <c r="F266" s="13" t="n">
        <v>0</v>
      </c>
      <c r="G266" s="17" t="n">
        <v>0</v>
      </c>
      <c r="H266" s="13" t="n">
        <v>12</v>
      </c>
      <c r="I266" s="13" t="n">
        <v>10</v>
      </c>
      <c r="J266" s="13" t="n">
        <v>0</v>
      </c>
      <c r="K266" s="13" t="n">
        <v>14</v>
      </c>
      <c r="L266" s="17" t="n">
        <v>0</v>
      </c>
      <c r="M266" s="18" t="n">
        <f aca="false">IF(H266=0,"",I266/H266)</f>
        <v>0.833333333333333</v>
      </c>
    </row>
    <row r="267" customFormat="false" ht="15" hidden="false" customHeight="false" outlineLevel="0" collapsed="false">
      <c r="A267" s="13" t="s">
        <v>131</v>
      </c>
      <c r="B267" s="13" t="s">
        <v>171</v>
      </c>
      <c r="C267" s="13" t="n">
        <v>0</v>
      </c>
      <c r="D267" s="13" t="n">
        <v>0</v>
      </c>
      <c r="E267" s="13" t="n">
        <v>0</v>
      </c>
      <c r="F267" s="13" t="n">
        <v>0</v>
      </c>
      <c r="G267" s="17" t="n">
        <v>0</v>
      </c>
      <c r="H267" s="13" t="n">
        <v>2</v>
      </c>
      <c r="I267" s="13" t="n">
        <v>0</v>
      </c>
      <c r="J267" s="13" t="n">
        <v>2</v>
      </c>
      <c r="K267" s="13" t="n">
        <v>0</v>
      </c>
      <c r="L267" s="17" t="n">
        <v>0.00015351</v>
      </c>
      <c r="M267" s="18" t="n">
        <f aca="false">IF(H267=0,"",I267/H267)</f>
        <v>0</v>
      </c>
    </row>
    <row r="268" customFormat="false" ht="15" hidden="false" customHeight="false" outlineLevel="0" collapsed="false">
      <c r="A268" s="13" t="s">
        <v>131</v>
      </c>
      <c r="B268" s="13" t="s">
        <v>172</v>
      </c>
      <c r="C268" s="13" t="n">
        <v>0</v>
      </c>
      <c r="D268" s="13" t="n">
        <v>0</v>
      </c>
      <c r="E268" s="13" t="n">
        <v>0</v>
      </c>
      <c r="F268" s="13" t="n">
        <v>0</v>
      </c>
      <c r="G268" s="17" t="n">
        <v>0</v>
      </c>
      <c r="H268" s="13" t="n">
        <v>86</v>
      </c>
      <c r="I268" s="13" t="n">
        <v>0</v>
      </c>
      <c r="J268" s="13" t="n">
        <v>86</v>
      </c>
      <c r="K268" s="13" t="n">
        <v>0</v>
      </c>
      <c r="L268" s="17" t="n">
        <v>0.0109624</v>
      </c>
      <c r="M268" s="18" t="n">
        <f aca="false">IF(H268=0,"",I268/H268)</f>
        <v>0</v>
      </c>
    </row>
    <row r="269" customFormat="false" ht="15" hidden="false" customHeight="false" outlineLevel="0" collapsed="false">
      <c r="A269" s="13" t="s">
        <v>131</v>
      </c>
      <c r="B269" s="13" t="s">
        <v>173</v>
      </c>
      <c r="C269" s="13" t="n">
        <v>0</v>
      </c>
      <c r="D269" s="13" t="n">
        <v>0</v>
      </c>
      <c r="E269" s="13" t="n">
        <v>0</v>
      </c>
      <c r="F269" s="13" t="n">
        <v>0</v>
      </c>
      <c r="G269" s="17" t="n">
        <v>0</v>
      </c>
      <c r="H269" s="13" t="n">
        <v>19</v>
      </c>
      <c r="I269" s="13" t="n">
        <v>2</v>
      </c>
      <c r="J269" s="13" t="n">
        <v>17</v>
      </c>
      <c r="K269" s="13" t="n">
        <v>0</v>
      </c>
      <c r="L269" s="17" t="n">
        <v>0.0111932</v>
      </c>
      <c r="M269" s="18" t="n">
        <f aca="false">IF(H269=0,"",I269/H269)</f>
        <v>0.105263157894737</v>
      </c>
    </row>
    <row r="270" customFormat="false" ht="15" hidden="false" customHeight="false" outlineLevel="0" collapsed="false">
      <c r="A270" s="13" t="s">
        <v>131</v>
      </c>
      <c r="B270" s="13" t="s">
        <v>175</v>
      </c>
      <c r="C270" s="13" t="n">
        <v>0</v>
      </c>
      <c r="D270" s="13" t="n">
        <v>0</v>
      </c>
      <c r="E270" s="13" t="n">
        <v>0</v>
      </c>
      <c r="F270" s="13" t="n">
        <v>0</v>
      </c>
      <c r="G270" s="17" t="n">
        <v>0</v>
      </c>
      <c r="H270" s="13" t="n">
        <v>23</v>
      </c>
      <c r="I270" s="13" t="n">
        <v>0</v>
      </c>
      <c r="J270" s="13" t="n">
        <v>0</v>
      </c>
      <c r="K270" s="13" t="n">
        <v>23</v>
      </c>
      <c r="L270" s="17" t="n">
        <v>0</v>
      </c>
      <c r="M270" s="18" t="n">
        <f aca="false">IF(H270=0,"",I270/H270)</f>
        <v>0</v>
      </c>
    </row>
    <row r="271" customFormat="false" ht="15" hidden="false" customHeight="false" outlineLevel="0" collapsed="false">
      <c r="A271" s="13" t="s">
        <v>131</v>
      </c>
      <c r="B271" s="13" t="s">
        <v>176</v>
      </c>
      <c r="C271" s="13" t="n">
        <v>0</v>
      </c>
      <c r="D271" s="13" t="n">
        <v>0</v>
      </c>
      <c r="E271" s="13" t="n">
        <v>0</v>
      </c>
      <c r="F271" s="13" t="n">
        <v>0</v>
      </c>
      <c r="G271" s="17" t="n">
        <v>0</v>
      </c>
      <c r="H271" s="13" t="n">
        <v>55</v>
      </c>
      <c r="I271" s="13" t="n">
        <v>0</v>
      </c>
      <c r="J271" s="13" t="n">
        <v>0</v>
      </c>
      <c r="K271" s="13" t="n">
        <v>0</v>
      </c>
      <c r="L271" s="17" t="n">
        <v>0</v>
      </c>
      <c r="M271" s="18" t="n">
        <f aca="false">IF(H271=0,"",I271/H271)</f>
        <v>0</v>
      </c>
    </row>
    <row r="272" customFormat="false" ht="15" hidden="false" customHeight="false" outlineLevel="0" collapsed="false">
      <c r="A272" s="13" t="s">
        <v>322</v>
      </c>
      <c r="B272" s="13" t="s">
        <v>176</v>
      </c>
      <c r="C272" s="13" t="n">
        <v>0</v>
      </c>
      <c r="D272" s="13" t="n">
        <v>0</v>
      </c>
      <c r="E272" s="13" t="n">
        <v>0</v>
      </c>
      <c r="F272" s="13" t="n">
        <v>0</v>
      </c>
      <c r="G272" s="17" t="n">
        <v>0</v>
      </c>
      <c r="H272" s="13" t="n">
        <v>1</v>
      </c>
      <c r="I272" s="13" t="n">
        <v>0</v>
      </c>
      <c r="J272" s="13" t="n">
        <v>0</v>
      </c>
      <c r="K272" s="13" t="n">
        <v>0</v>
      </c>
      <c r="L272" s="17" t="n">
        <v>0</v>
      </c>
      <c r="M272" s="18" t="n">
        <f aca="false">IF(H272=0,"",I272/H272)</f>
        <v>0</v>
      </c>
    </row>
    <row r="273" customFormat="false" ht="15" hidden="false" customHeight="false" outlineLevel="0" collapsed="false">
      <c r="A273" s="13" t="s">
        <v>323</v>
      </c>
      <c r="B273" s="13" t="s">
        <v>176</v>
      </c>
      <c r="C273" s="13" t="n">
        <v>0</v>
      </c>
      <c r="D273" s="13" t="n">
        <v>0</v>
      </c>
      <c r="E273" s="13" t="n">
        <v>0</v>
      </c>
      <c r="F273" s="13" t="n">
        <v>0</v>
      </c>
      <c r="G273" s="17" t="n">
        <v>0</v>
      </c>
      <c r="H273" s="13" t="n">
        <v>1</v>
      </c>
      <c r="I273" s="13" t="n">
        <v>0</v>
      </c>
      <c r="J273" s="13" t="n">
        <v>0</v>
      </c>
      <c r="K273" s="13" t="n">
        <v>0</v>
      </c>
      <c r="L273" s="17" t="n">
        <v>0</v>
      </c>
      <c r="M273" s="18" t="n">
        <f aca="false">IF(H273=0,"",I273/H273)</f>
        <v>0</v>
      </c>
    </row>
    <row r="274" customFormat="false" ht="15" hidden="false" customHeight="false" outlineLevel="0" collapsed="false">
      <c r="A274" s="13" t="s">
        <v>324</v>
      </c>
      <c r="B274" s="13" t="s">
        <v>176</v>
      </c>
      <c r="C274" s="13" t="n">
        <v>0</v>
      </c>
      <c r="D274" s="13" t="n">
        <v>0</v>
      </c>
      <c r="E274" s="13" t="n">
        <v>0</v>
      </c>
      <c r="F274" s="13" t="n">
        <v>0</v>
      </c>
      <c r="G274" s="17" t="n">
        <v>0</v>
      </c>
      <c r="H274" s="13" t="n">
        <v>1</v>
      </c>
      <c r="I274" s="13" t="n">
        <v>0</v>
      </c>
      <c r="J274" s="13" t="n">
        <v>0</v>
      </c>
      <c r="K274" s="13" t="n">
        <v>0</v>
      </c>
      <c r="L274" s="17" t="n">
        <v>0</v>
      </c>
      <c r="M274" s="18" t="n">
        <f aca="false">IF(H274=0,"",I274/H274)</f>
        <v>0</v>
      </c>
    </row>
    <row r="275" customFormat="false" ht="15" hidden="false" customHeight="false" outlineLevel="0" collapsed="false">
      <c r="A275" s="13" t="s">
        <v>325</v>
      </c>
      <c r="B275" s="13" t="s">
        <v>176</v>
      </c>
      <c r="C275" s="13" t="n">
        <v>0</v>
      </c>
      <c r="D275" s="13" t="n">
        <v>0</v>
      </c>
      <c r="E275" s="13" t="n">
        <v>0</v>
      </c>
      <c r="F275" s="13" t="n">
        <v>0</v>
      </c>
      <c r="G275" s="17" t="n">
        <v>0</v>
      </c>
      <c r="H275" s="13" t="n">
        <v>1</v>
      </c>
      <c r="I275" s="13" t="n">
        <v>0</v>
      </c>
      <c r="J275" s="13" t="n">
        <v>0</v>
      </c>
      <c r="K275" s="13" t="n">
        <v>0</v>
      </c>
      <c r="L275" s="17" t="n">
        <v>0</v>
      </c>
      <c r="M275" s="18" t="n">
        <f aca="false">IF(H275=0,"",I275/H275)</f>
        <v>0</v>
      </c>
    </row>
    <row r="276" customFormat="false" ht="15" hidden="false" customHeight="false" outlineLevel="0" collapsed="false">
      <c r="A276" s="13" t="s">
        <v>326</v>
      </c>
      <c r="B276" s="13" t="s">
        <v>176</v>
      </c>
      <c r="C276" s="13" t="n">
        <v>0</v>
      </c>
      <c r="D276" s="13" t="n">
        <v>0</v>
      </c>
      <c r="E276" s="13" t="n">
        <v>0</v>
      </c>
      <c r="F276" s="13" t="n">
        <v>0</v>
      </c>
      <c r="G276" s="17" t="n">
        <v>0</v>
      </c>
      <c r="H276" s="13" t="n">
        <v>1</v>
      </c>
      <c r="I276" s="13" t="n">
        <v>0</v>
      </c>
      <c r="J276" s="13" t="n">
        <v>0</v>
      </c>
      <c r="K276" s="13" t="n">
        <v>0</v>
      </c>
      <c r="L276" s="17" t="n">
        <v>0</v>
      </c>
      <c r="M276" s="18" t="n">
        <f aca="false">IF(H276=0,"",I276/H276)</f>
        <v>0</v>
      </c>
    </row>
    <row r="277" customFormat="false" ht="15" hidden="false" customHeight="false" outlineLevel="0" collapsed="false">
      <c r="A277" s="13" t="s">
        <v>327</v>
      </c>
      <c r="B277" s="13" t="s">
        <v>176</v>
      </c>
      <c r="C277" s="13" t="n">
        <v>0</v>
      </c>
      <c r="D277" s="13" t="n">
        <v>0</v>
      </c>
      <c r="E277" s="13" t="n">
        <v>0</v>
      </c>
      <c r="F277" s="13" t="n">
        <v>0</v>
      </c>
      <c r="G277" s="17" t="n">
        <v>0</v>
      </c>
      <c r="H277" s="13" t="n">
        <v>1</v>
      </c>
      <c r="I277" s="13" t="n">
        <v>0</v>
      </c>
      <c r="J277" s="13" t="n">
        <v>0</v>
      </c>
      <c r="K277" s="13" t="n">
        <v>0</v>
      </c>
      <c r="L277" s="17" t="n">
        <v>0</v>
      </c>
      <c r="M277" s="18" t="n">
        <f aca="false">IF(H277=0,"",I277/H277)</f>
        <v>0</v>
      </c>
    </row>
    <row r="278" customFormat="false" ht="15" hidden="false" customHeight="false" outlineLevel="0" collapsed="false">
      <c r="A278" s="13" t="s">
        <v>328</v>
      </c>
      <c r="B278" s="13" t="s">
        <v>176</v>
      </c>
      <c r="C278" s="13" t="n">
        <v>0</v>
      </c>
      <c r="D278" s="13" t="n">
        <v>0</v>
      </c>
      <c r="E278" s="13" t="n">
        <v>0</v>
      </c>
      <c r="F278" s="13" t="n">
        <v>0</v>
      </c>
      <c r="G278" s="17" t="n">
        <v>0</v>
      </c>
      <c r="H278" s="13" t="n">
        <v>1</v>
      </c>
      <c r="I278" s="13" t="n">
        <v>0</v>
      </c>
      <c r="J278" s="13" t="n">
        <v>0</v>
      </c>
      <c r="K278" s="13" t="n">
        <v>0</v>
      </c>
      <c r="L278" s="17" t="n">
        <v>0</v>
      </c>
      <c r="M278" s="18" t="n">
        <f aca="false">IF(H278=0,"",I278/H278)</f>
        <v>0</v>
      </c>
    </row>
    <row r="279" customFormat="false" ht="15" hidden="false" customHeight="false" outlineLevel="0" collapsed="false">
      <c r="A279" s="13" t="s">
        <v>329</v>
      </c>
      <c r="B279" s="13" t="s">
        <v>176</v>
      </c>
      <c r="C279" s="13" t="n">
        <v>0</v>
      </c>
      <c r="D279" s="13" t="n">
        <v>0</v>
      </c>
      <c r="E279" s="13" t="n">
        <v>0</v>
      </c>
      <c r="F279" s="13" t="n">
        <v>0</v>
      </c>
      <c r="G279" s="17" t="n">
        <v>0</v>
      </c>
      <c r="H279" s="13" t="n">
        <v>1</v>
      </c>
      <c r="I279" s="13" t="n">
        <v>0</v>
      </c>
      <c r="J279" s="13" t="n">
        <v>0</v>
      </c>
      <c r="K279" s="13" t="n">
        <v>0</v>
      </c>
      <c r="L279" s="17" t="n">
        <v>0</v>
      </c>
      <c r="M279" s="18" t="n">
        <f aca="false">IF(H279=0,"",I279/H279)</f>
        <v>0</v>
      </c>
    </row>
    <row r="280" customFormat="false" ht="15" hidden="false" customHeight="false" outlineLevel="0" collapsed="false">
      <c r="A280" s="13" t="s">
        <v>330</v>
      </c>
      <c r="B280" s="13" t="s">
        <v>176</v>
      </c>
      <c r="C280" s="13" t="n">
        <v>0</v>
      </c>
      <c r="D280" s="13" t="n">
        <v>0</v>
      </c>
      <c r="E280" s="13" t="n">
        <v>0</v>
      </c>
      <c r="F280" s="13" t="n">
        <v>0</v>
      </c>
      <c r="G280" s="17" t="n">
        <v>0</v>
      </c>
      <c r="H280" s="13" t="n">
        <v>1</v>
      </c>
      <c r="I280" s="13" t="n">
        <v>0</v>
      </c>
      <c r="J280" s="13" t="n">
        <v>0</v>
      </c>
      <c r="K280" s="13" t="n">
        <v>0</v>
      </c>
      <c r="L280" s="17" t="n">
        <v>0</v>
      </c>
      <c r="M280" s="18" t="n">
        <f aca="false">IF(H280=0,"",I280/H280)</f>
        <v>0</v>
      </c>
    </row>
    <row r="281" customFormat="false" ht="15" hidden="false" customHeight="false" outlineLevel="0" collapsed="false">
      <c r="A281" s="13" t="s">
        <v>331</v>
      </c>
      <c r="B281" s="13" t="s">
        <v>176</v>
      </c>
      <c r="C281" s="13" t="n">
        <v>0</v>
      </c>
      <c r="D281" s="13" t="n">
        <v>0</v>
      </c>
      <c r="E281" s="13" t="n">
        <v>0</v>
      </c>
      <c r="F281" s="13" t="n">
        <v>0</v>
      </c>
      <c r="G281" s="17" t="n">
        <v>0</v>
      </c>
      <c r="H281" s="13" t="n">
        <v>1</v>
      </c>
      <c r="I281" s="13" t="n">
        <v>0</v>
      </c>
      <c r="J281" s="13" t="n">
        <v>0</v>
      </c>
      <c r="K281" s="13" t="n">
        <v>0</v>
      </c>
      <c r="L281" s="17" t="n">
        <v>0</v>
      </c>
      <c r="M281" s="18" t="n">
        <f aca="false">IF(H281=0,"",I281/H281)</f>
        <v>0</v>
      </c>
    </row>
    <row r="282" customFormat="false" ht="15" hidden="false" customHeight="false" outlineLevel="0" collapsed="false">
      <c r="A282" s="13" t="s">
        <v>332</v>
      </c>
      <c r="B282" s="13" t="s">
        <v>176</v>
      </c>
      <c r="C282" s="13" t="n">
        <v>0</v>
      </c>
      <c r="D282" s="13" t="n">
        <v>0</v>
      </c>
      <c r="E282" s="13" t="n">
        <v>0</v>
      </c>
      <c r="F282" s="13" t="n">
        <v>0</v>
      </c>
      <c r="G282" s="17" t="n">
        <v>0</v>
      </c>
      <c r="H282" s="13" t="n">
        <v>1</v>
      </c>
      <c r="I282" s="13" t="n">
        <v>0</v>
      </c>
      <c r="J282" s="13" t="n">
        <v>0</v>
      </c>
      <c r="K282" s="13" t="n">
        <v>0</v>
      </c>
      <c r="L282" s="17" t="n">
        <v>0</v>
      </c>
      <c r="M282" s="18" t="n">
        <f aca="false">IF(H282=0,"",I282/H282)</f>
        <v>0</v>
      </c>
    </row>
    <row r="283" customFormat="false" ht="15" hidden="false" customHeight="false" outlineLevel="0" collapsed="false">
      <c r="A283" s="13" t="s">
        <v>93</v>
      </c>
      <c r="B283" s="13" t="s">
        <v>169</v>
      </c>
      <c r="C283" s="13" t="n">
        <v>0</v>
      </c>
      <c r="D283" s="13" t="n">
        <v>0</v>
      </c>
      <c r="E283" s="13" t="n">
        <v>0</v>
      </c>
      <c r="F283" s="13" t="n">
        <v>0</v>
      </c>
      <c r="G283" s="17" t="n">
        <v>0</v>
      </c>
      <c r="H283" s="13" t="n">
        <v>0</v>
      </c>
      <c r="I283" s="13" t="n">
        <v>0</v>
      </c>
      <c r="J283" s="13" t="n">
        <v>14</v>
      </c>
      <c r="K283" s="13" t="n">
        <v>0</v>
      </c>
      <c r="L283" s="17" t="n">
        <v>0</v>
      </c>
      <c r="M283" s="18" t="str">
        <f aca="false">IF(H283=0,"",I283/H283)</f>
        <v/>
      </c>
    </row>
    <row r="284" customFormat="false" ht="15" hidden="false" customHeight="false" outlineLevel="0" collapsed="false">
      <c r="A284" s="13" t="s">
        <v>93</v>
      </c>
      <c r="B284" s="13" t="s">
        <v>170</v>
      </c>
      <c r="C284" s="13" t="n">
        <v>0</v>
      </c>
      <c r="D284" s="13" t="n">
        <v>0</v>
      </c>
      <c r="E284" s="13" t="n">
        <v>0</v>
      </c>
      <c r="F284" s="13" t="n">
        <v>0</v>
      </c>
      <c r="G284" s="17" t="n">
        <v>0</v>
      </c>
      <c r="H284" s="13" t="n">
        <v>135</v>
      </c>
      <c r="I284" s="13" t="n">
        <v>15</v>
      </c>
      <c r="J284" s="13" t="n">
        <v>23</v>
      </c>
      <c r="K284" s="13" t="n">
        <v>141</v>
      </c>
      <c r="L284" s="17" t="n">
        <v>0</v>
      </c>
      <c r="M284" s="18" t="n">
        <f aca="false">IF(H284=0,"",I284/H284)</f>
        <v>0.111111111111111</v>
      </c>
    </row>
    <row r="285" customFormat="false" ht="15" hidden="false" customHeight="false" outlineLevel="0" collapsed="false">
      <c r="A285" s="13" t="s">
        <v>93</v>
      </c>
      <c r="B285" s="13" t="s">
        <v>171</v>
      </c>
      <c r="C285" s="13" t="n">
        <v>0</v>
      </c>
      <c r="D285" s="13" t="n">
        <v>0</v>
      </c>
      <c r="E285" s="13" t="n">
        <v>0</v>
      </c>
      <c r="F285" s="13" t="n">
        <v>0</v>
      </c>
      <c r="G285" s="17" t="n">
        <v>0</v>
      </c>
      <c r="H285" s="13" t="n">
        <v>8</v>
      </c>
      <c r="I285" s="13" t="n">
        <v>6</v>
      </c>
      <c r="J285" s="13" t="n">
        <v>0</v>
      </c>
      <c r="K285" s="13" t="n">
        <v>0</v>
      </c>
      <c r="L285" s="17" t="n">
        <v>0.00125455</v>
      </c>
      <c r="M285" s="18" t="n">
        <f aca="false">IF(H285=0,"",I285/H285)</f>
        <v>0.75</v>
      </c>
    </row>
    <row r="286" customFormat="false" ht="15" hidden="false" customHeight="false" outlineLevel="0" collapsed="false">
      <c r="A286" s="13" t="s">
        <v>93</v>
      </c>
      <c r="B286" s="13" t="s">
        <v>172</v>
      </c>
      <c r="C286" s="13" t="n">
        <v>0</v>
      </c>
      <c r="D286" s="13" t="n">
        <v>0</v>
      </c>
      <c r="E286" s="13" t="n">
        <v>0</v>
      </c>
      <c r="F286" s="13" t="n">
        <v>0</v>
      </c>
      <c r="G286" s="17" t="n">
        <v>0</v>
      </c>
      <c r="H286" s="13" t="n">
        <v>290</v>
      </c>
      <c r="I286" s="13" t="n">
        <v>85</v>
      </c>
      <c r="J286" s="13" t="n">
        <v>203</v>
      </c>
      <c r="K286" s="13" t="n">
        <v>0</v>
      </c>
      <c r="L286" s="17" t="n">
        <v>0.177243866666667</v>
      </c>
      <c r="M286" s="18" t="n">
        <f aca="false">IF(H286=0,"",I286/H286)</f>
        <v>0.293103448275862</v>
      </c>
    </row>
    <row r="287" customFormat="false" ht="15" hidden="false" customHeight="false" outlineLevel="0" collapsed="false">
      <c r="A287" s="13" t="s">
        <v>93</v>
      </c>
      <c r="B287" s="13" t="s">
        <v>173</v>
      </c>
      <c r="C287" s="13" t="n">
        <v>0</v>
      </c>
      <c r="D287" s="13" t="n">
        <v>0</v>
      </c>
      <c r="E287" s="13" t="n">
        <v>0</v>
      </c>
      <c r="F287" s="13" t="n">
        <v>0</v>
      </c>
      <c r="G287" s="17" t="n">
        <v>0</v>
      </c>
      <c r="H287" s="13" t="n">
        <v>79</v>
      </c>
      <c r="I287" s="13" t="n">
        <v>37</v>
      </c>
      <c r="J287" s="13" t="n">
        <v>42</v>
      </c>
      <c r="K287" s="13" t="n">
        <v>0</v>
      </c>
      <c r="L287" s="17" t="n">
        <v>0.1426032</v>
      </c>
      <c r="M287" s="18" t="n">
        <f aca="false">IF(H287=0,"",I287/H287)</f>
        <v>0.468354430379747</v>
      </c>
    </row>
    <row r="288" customFormat="false" ht="15" hidden="false" customHeight="false" outlineLevel="0" collapsed="false">
      <c r="A288" s="13" t="s">
        <v>93</v>
      </c>
      <c r="B288" s="13" t="s">
        <v>175</v>
      </c>
      <c r="C288" s="13" t="n">
        <v>0</v>
      </c>
      <c r="D288" s="13" t="n">
        <v>0</v>
      </c>
      <c r="E288" s="13" t="n">
        <v>0</v>
      </c>
      <c r="F288" s="13" t="n">
        <v>0</v>
      </c>
      <c r="G288" s="17" t="n">
        <v>0</v>
      </c>
      <c r="H288" s="13" t="n">
        <v>8</v>
      </c>
      <c r="I288" s="13" t="n">
        <v>0</v>
      </c>
      <c r="J288" s="13" t="n">
        <v>0</v>
      </c>
      <c r="K288" s="13" t="n">
        <v>8</v>
      </c>
      <c r="L288" s="17" t="n">
        <v>0</v>
      </c>
      <c r="M288" s="18" t="n">
        <f aca="false">IF(H288=0,"",I288/H288)</f>
        <v>0</v>
      </c>
    </row>
    <row r="289" customFormat="false" ht="15" hidden="false" customHeight="false" outlineLevel="0" collapsed="false">
      <c r="A289" s="13" t="s">
        <v>93</v>
      </c>
      <c r="B289" s="13" t="s">
        <v>176</v>
      </c>
      <c r="C289" s="13" t="n">
        <v>0</v>
      </c>
      <c r="D289" s="13" t="n">
        <v>0</v>
      </c>
      <c r="E289" s="13" t="n">
        <v>0</v>
      </c>
      <c r="F289" s="13" t="n">
        <v>0</v>
      </c>
      <c r="G289" s="17" t="n">
        <v>0</v>
      </c>
      <c r="H289" s="13" t="n">
        <v>115</v>
      </c>
      <c r="I289" s="13" t="n">
        <v>0</v>
      </c>
      <c r="J289" s="13" t="n">
        <v>0</v>
      </c>
      <c r="K289" s="13" t="n">
        <v>0</v>
      </c>
      <c r="L289" s="17" t="n">
        <v>0</v>
      </c>
      <c r="M289" s="18" t="n">
        <f aca="false">IF(H289=0,"",I289/H289)</f>
        <v>0</v>
      </c>
    </row>
    <row r="290" customFormat="false" ht="15" hidden="false" customHeight="false" outlineLevel="0" collapsed="false">
      <c r="A290" s="13" t="s">
        <v>121</v>
      </c>
      <c r="B290" s="13" t="s">
        <v>170</v>
      </c>
      <c r="C290" s="13" t="n">
        <v>0</v>
      </c>
      <c r="D290" s="13" t="n">
        <v>0</v>
      </c>
      <c r="E290" s="13" t="n">
        <v>0</v>
      </c>
      <c r="F290" s="13" t="n">
        <v>0</v>
      </c>
      <c r="G290" s="17" t="n">
        <v>0</v>
      </c>
      <c r="H290" s="13" t="n">
        <v>21</v>
      </c>
      <c r="I290" s="13" t="n">
        <v>21</v>
      </c>
      <c r="J290" s="13" t="n">
        <v>0</v>
      </c>
      <c r="K290" s="13" t="n">
        <v>0</v>
      </c>
      <c r="L290" s="17" t="n">
        <v>0</v>
      </c>
      <c r="M290" s="18" t="n">
        <f aca="false">IF(H290=0,"",I290/H290)</f>
        <v>1</v>
      </c>
    </row>
    <row r="291" customFormat="false" ht="15" hidden="false" customHeight="false" outlineLevel="0" collapsed="false">
      <c r="A291" s="13" t="s">
        <v>121</v>
      </c>
      <c r="B291" s="13" t="s">
        <v>171</v>
      </c>
      <c r="C291" s="13" t="n">
        <v>0</v>
      </c>
      <c r="D291" s="13" t="n">
        <v>0</v>
      </c>
      <c r="E291" s="13" t="n">
        <v>0</v>
      </c>
      <c r="F291" s="13" t="n">
        <v>0</v>
      </c>
      <c r="G291" s="17" t="n">
        <v>0</v>
      </c>
      <c r="H291" s="13" t="n">
        <v>5</v>
      </c>
      <c r="I291" s="13" t="n">
        <v>0</v>
      </c>
      <c r="J291" s="13" t="n">
        <v>5</v>
      </c>
      <c r="K291" s="13" t="n">
        <v>0</v>
      </c>
      <c r="L291" s="17" t="n">
        <v>0.00032847</v>
      </c>
      <c r="M291" s="18" t="n">
        <f aca="false">IF(H291=0,"",I291/H291)</f>
        <v>0</v>
      </c>
    </row>
    <row r="292" customFormat="false" ht="15" hidden="false" customHeight="false" outlineLevel="0" collapsed="false">
      <c r="A292" s="13" t="s">
        <v>121</v>
      </c>
      <c r="B292" s="13" t="s">
        <v>172</v>
      </c>
      <c r="C292" s="13" t="n">
        <v>0</v>
      </c>
      <c r="D292" s="13" t="n">
        <v>0</v>
      </c>
      <c r="E292" s="13" t="n">
        <v>0</v>
      </c>
      <c r="F292" s="13" t="n">
        <v>0</v>
      </c>
      <c r="G292" s="17" t="n">
        <v>0</v>
      </c>
      <c r="H292" s="13" t="n">
        <v>304</v>
      </c>
      <c r="I292" s="13" t="n">
        <v>3</v>
      </c>
      <c r="J292" s="13" t="n">
        <v>301</v>
      </c>
      <c r="K292" s="13" t="n">
        <v>0</v>
      </c>
      <c r="L292" s="17" t="n">
        <v>0.1223522</v>
      </c>
      <c r="M292" s="18" t="n">
        <f aca="false">IF(H292=0,"",I292/H292)</f>
        <v>0.00986842105263158</v>
      </c>
    </row>
    <row r="293" customFormat="false" ht="15" hidden="false" customHeight="false" outlineLevel="0" collapsed="false">
      <c r="A293" s="13" t="s">
        <v>121</v>
      </c>
      <c r="B293" s="13" t="s">
        <v>173</v>
      </c>
      <c r="C293" s="13" t="n">
        <v>0</v>
      </c>
      <c r="D293" s="13" t="n">
        <v>0</v>
      </c>
      <c r="E293" s="13" t="n">
        <v>0</v>
      </c>
      <c r="F293" s="13" t="n">
        <v>0</v>
      </c>
      <c r="G293" s="17" t="n">
        <v>0</v>
      </c>
      <c r="H293" s="13" t="n">
        <v>21</v>
      </c>
      <c r="I293" s="13" t="n">
        <v>1</v>
      </c>
      <c r="J293" s="13" t="n">
        <v>20</v>
      </c>
      <c r="K293" s="13" t="n">
        <v>0</v>
      </c>
      <c r="L293" s="17" t="n">
        <v>0.0049944</v>
      </c>
      <c r="M293" s="18" t="n">
        <f aca="false">IF(H293=0,"",I293/H293)</f>
        <v>0.0476190476190476</v>
      </c>
    </row>
    <row r="294" customFormat="false" ht="15" hidden="false" customHeight="false" outlineLevel="0" collapsed="false">
      <c r="A294" s="13" t="s">
        <v>121</v>
      </c>
      <c r="B294" s="13" t="s">
        <v>175</v>
      </c>
      <c r="C294" s="13" t="n">
        <v>0</v>
      </c>
      <c r="D294" s="13" t="n">
        <v>0</v>
      </c>
      <c r="E294" s="13" t="n">
        <v>0</v>
      </c>
      <c r="F294" s="13" t="n">
        <v>0</v>
      </c>
      <c r="G294" s="17" t="n">
        <v>0</v>
      </c>
      <c r="H294" s="13" t="n">
        <v>6</v>
      </c>
      <c r="I294" s="13" t="n">
        <v>0</v>
      </c>
      <c r="J294" s="13" t="n">
        <v>0</v>
      </c>
      <c r="K294" s="13" t="n">
        <v>49</v>
      </c>
      <c r="L294" s="17" t="n">
        <v>0</v>
      </c>
      <c r="M294" s="18" t="n">
        <f aca="false">IF(H294=0,"",I294/H294)</f>
        <v>0</v>
      </c>
    </row>
    <row r="295" customFormat="false" ht="15" hidden="false" customHeight="false" outlineLevel="0" collapsed="false">
      <c r="A295" s="13" t="s">
        <v>121</v>
      </c>
      <c r="B295" s="13" t="s">
        <v>176</v>
      </c>
      <c r="C295" s="13" t="n">
        <v>0</v>
      </c>
      <c r="D295" s="13" t="n">
        <v>0</v>
      </c>
      <c r="E295" s="13" t="n">
        <v>0</v>
      </c>
      <c r="F295" s="13" t="n">
        <v>0</v>
      </c>
      <c r="G295" s="17" t="n">
        <v>0</v>
      </c>
      <c r="H295" s="13" t="n">
        <v>70</v>
      </c>
      <c r="I295" s="13" t="n">
        <v>0</v>
      </c>
      <c r="J295" s="13" t="n">
        <v>0</v>
      </c>
      <c r="K295" s="13" t="n">
        <v>0</v>
      </c>
      <c r="L295" s="17" t="n">
        <v>0</v>
      </c>
      <c r="M295" s="18" t="n">
        <f aca="false">IF(H295=0,"",I295/H295)</f>
        <v>0</v>
      </c>
    </row>
    <row r="296" customFormat="false" ht="15" hidden="false" customHeight="false" outlineLevel="0" collapsed="false">
      <c r="A296" s="13" t="s">
        <v>333</v>
      </c>
      <c r="B296" s="13" t="s">
        <v>176</v>
      </c>
      <c r="C296" s="13" t="n">
        <v>0</v>
      </c>
      <c r="D296" s="13" t="n">
        <v>0</v>
      </c>
      <c r="E296" s="13" t="n">
        <v>0</v>
      </c>
      <c r="F296" s="13" t="n">
        <v>0</v>
      </c>
      <c r="G296" s="17" t="n">
        <v>0</v>
      </c>
      <c r="H296" s="13" t="n">
        <v>1</v>
      </c>
      <c r="I296" s="13" t="n">
        <v>0</v>
      </c>
      <c r="J296" s="13" t="n">
        <v>0</v>
      </c>
      <c r="K296" s="13" t="n">
        <v>0</v>
      </c>
      <c r="L296" s="17" t="n">
        <v>0</v>
      </c>
      <c r="M296" s="18" t="n">
        <f aca="false">IF(H296=0,"",I296/H296)</f>
        <v>0</v>
      </c>
    </row>
    <row r="297" customFormat="false" ht="15" hidden="false" customHeight="false" outlineLevel="0" collapsed="false">
      <c r="A297" s="13" t="s">
        <v>334</v>
      </c>
      <c r="B297" s="13" t="s">
        <v>176</v>
      </c>
      <c r="C297" s="13" t="n">
        <v>0</v>
      </c>
      <c r="D297" s="13" t="n">
        <v>0</v>
      </c>
      <c r="E297" s="13" t="n">
        <v>0</v>
      </c>
      <c r="F297" s="13" t="n">
        <v>0</v>
      </c>
      <c r="G297" s="17" t="n">
        <v>0</v>
      </c>
      <c r="H297" s="13" t="n">
        <v>1</v>
      </c>
      <c r="I297" s="13" t="n">
        <v>0</v>
      </c>
      <c r="J297" s="13" t="n">
        <v>0</v>
      </c>
      <c r="K297" s="13" t="n">
        <v>0</v>
      </c>
      <c r="L297" s="17" t="n">
        <v>0</v>
      </c>
      <c r="M297" s="18" t="n">
        <f aca="false">IF(H297=0,"",I297/H297)</f>
        <v>0</v>
      </c>
    </row>
    <row r="298" customFormat="false" ht="15" hidden="false" customHeight="false" outlineLevel="0" collapsed="false">
      <c r="A298" s="13" t="s">
        <v>335</v>
      </c>
      <c r="B298" s="13" t="s">
        <v>176</v>
      </c>
      <c r="C298" s="13" t="n">
        <v>0</v>
      </c>
      <c r="D298" s="13" t="n">
        <v>0</v>
      </c>
      <c r="E298" s="13" t="n">
        <v>0</v>
      </c>
      <c r="F298" s="13" t="n">
        <v>0</v>
      </c>
      <c r="G298" s="17" t="n">
        <v>0</v>
      </c>
      <c r="H298" s="13" t="n">
        <v>1</v>
      </c>
      <c r="I298" s="13" t="n">
        <v>0</v>
      </c>
      <c r="J298" s="13" t="n">
        <v>0</v>
      </c>
      <c r="K298" s="13" t="n">
        <v>0</v>
      </c>
      <c r="L298" s="17" t="n">
        <v>0</v>
      </c>
      <c r="M298" s="18" t="n">
        <f aca="false">IF(H298=0,"",I298/H298)</f>
        <v>0</v>
      </c>
    </row>
    <row r="299" customFormat="false" ht="15" hidden="false" customHeight="false" outlineLevel="0" collapsed="false">
      <c r="A299" s="13" t="s">
        <v>336</v>
      </c>
      <c r="B299" s="13" t="s">
        <v>176</v>
      </c>
      <c r="C299" s="13" t="n">
        <v>0</v>
      </c>
      <c r="D299" s="13" t="n">
        <v>0</v>
      </c>
      <c r="E299" s="13" t="n">
        <v>0</v>
      </c>
      <c r="F299" s="13" t="n">
        <v>0</v>
      </c>
      <c r="G299" s="17" t="n">
        <v>0</v>
      </c>
      <c r="H299" s="13" t="n">
        <v>1</v>
      </c>
      <c r="I299" s="13" t="n">
        <v>0</v>
      </c>
      <c r="J299" s="13" t="n">
        <v>0</v>
      </c>
      <c r="K299" s="13" t="n">
        <v>0</v>
      </c>
      <c r="L299" s="17" t="n">
        <v>0</v>
      </c>
      <c r="M299" s="18" t="n">
        <f aca="false">IF(H299=0,"",I299/H299)</f>
        <v>0</v>
      </c>
    </row>
    <row r="300" customFormat="false" ht="15" hidden="false" customHeight="false" outlineLevel="0" collapsed="false">
      <c r="A300" s="13" t="s">
        <v>337</v>
      </c>
      <c r="B300" s="13" t="s">
        <v>176</v>
      </c>
      <c r="C300" s="13" t="n">
        <v>0</v>
      </c>
      <c r="D300" s="13" t="n">
        <v>0</v>
      </c>
      <c r="E300" s="13" t="n">
        <v>0</v>
      </c>
      <c r="F300" s="13" t="n">
        <v>0</v>
      </c>
      <c r="G300" s="17" t="n">
        <v>0</v>
      </c>
      <c r="H300" s="13" t="n">
        <v>1</v>
      </c>
      <c r="I300" s="13" t="n">
        <v>0</v>
      </c>
      <c r="J300" s="13" t="n">
        <v>0</v>
      </c>
      <c r="K300" s="13" t="n">
        <v>0</v>
      </c>
      <c r="L300" s="17" t="n">
        <v>0</v>
      </c>
      <c r="M300" s="18" t="n">
        <f aca="false">IF(H300=0,"",I300/H300)</f>
        <v>0</v>
      </c>
    </row>
    <row r="301" customFormat="false" ht="15" hidden="false" customHeight="false" outlineLevel="0" collapsed="false">
      <c r="A301" s="13" t="s">
        <v>105</v>
      </c>
      <c r="B301" s="13" t="s">
        <v>169</v>
      </c>
      <c r="C301" s="13" t="n">
        <v>0</v>
      </c>
      <c r="D301" s="13" t="n">
        <v>0</v>
      </c>
      <c r="E301" s="13" t="n">
        <v>2</v>
      </c>
      <c r="F301" s="13" t="n">
        <v>0</v>
      </c>
      <c r="G301" s="17" t="n">
        <v>0</v>
      </c>
      <c r="H301" s="13" t="n">
        <v>166</v>
      </c>
      <c r="I301" s="13" t="n">
        <v>0</v>
      </c>
      <c r="J301" s="13" t="n">
        <v>56</v>
      </c>
      <c r="K301" s="13" t="n">
        <v>332</v>
      </c>
      <c r="L301" s="17" t="n">
        <v>0</v>
      </c>
      <c r="M301" s="18" t="n">
        <f aca="false">IF(H301=0,"",I301/H301)</f>
        <v>0</v>
      </c>
    </row>
    <row r="302" customFormat="false" ht="15" hidden="false" customHeight="false" outlineLevel="0" collapsed="false">
      <c r="A302" s="13" t="s">
        <v>105</v>
      </c>
      <c r="B302" s="13" t="s">
        <v>170</v>
      </c>
      <c r="C302" s="13" t="n">
        <v>2</v>
      </c>
      <c r="D302" s="13" t="n">
        <v>0</v>
      </c>
      <c r="E302" s="13" t="n">
        <v>0</v>
      </c>
      <c r="F302" s="13" t="n">
        <v>3</v>
      </c>
      <c r="G302" s="17" t="n">
        <v>0</v>
      </c>
      <c r="H302" s="13" t="n">
        <v>97</v>
      </c>
      <c r="I302" s="13" t="n">
        <v>16</v>
      </c>
      <c r="J302" s="13" t="n">
        <v>4</v>
      </c>
      <c r="K302" s="13" t="n">
        <v>32</v>
      </c>
      <c r="L302" s="17" t="n">
        <v>0</v>
      </c>
      <c r="M302" s="18" t="n">
        <f aca="false">IF(H302=0,"",I302/H302)</f>
        <v>0.164948453608247</v>
      </c>
    </row>
    <row r="303" customFormat="false" ht="15" hidden="false" customHeight="false" outlineLevel="0" collapsed="false">
      <c r="A303" s="13" t="s">
        <v>105</v>
      </c>
      <c r="B303" s="13" t="s">
        <v>171</v>
      </c>
      <c r="C303" s="13" t="n">
        <v>0</v>
      </c>
      <c r="D303" s="13" t="n">
        <v>0</v>
      </c>
      <c r="E303" s="13" t="n">
        <v>0</v>
      </c>
      <c r="F303" s="13" t="n">
        <v>0</v>
      </c>
      <c r="G303" s="17" t="n">
        <v>0</v>
      </c>
      <c r="H303" s="13" t="n">
        <v>40</v>
      </c>
      <c r="I303" s="13" t="n">
        <v>8</v>
      </c>
      <c r="J303" s="13" t="n">
        <v>10</v>
      </c>
      <c r="K303" s="13" t="n">
        <v>0</v>
      </c>
      <c r="L303" s="17" t="n">
        <v>0.00491679</v>
      </c>
      <c r="M303" s="18" t="n">
        <f aca="false">IF(H303=0,"",I303/H303)</f>
        <v>0.2</v>
      </c>
    </row>
    <row r="304" customFormat="false" ht="15" hidden="false" customHeight="false" outlineLevel="0" collapsed="false">
      <c r="A304" s="13" t="s">
        <v>105</v>
      </c>
      <c r="B304" s="13" t="s">
        <v>172</v>
      </c>
      <c r="C304" s="13" t="n">
        <v>0</v>
      </c>
      <c r="D304" s="13" t="n">
        <v>0</v>
      </c>
      <c r="E304" s="13" t="n">
        <v>0</v>
      </c>
      <c r="F304" s="13" t="n">
        <v>0</v>
      </c>
      <c r="G304" s="17" t="n">
        <v>0</v>
      </c>
      <c r="H304" s="13" t="n">
        <v>226</v>
      </c>
      <c r="I304" s="13" t="n">
        <v>36</v>
      </c>
      <c r="J304" s="13" t="n">
        <v>188</v>
      </c>
      <c r="K304" s="13" t="n">
        <v>0</v>
      </c>
      <c r="L304" s="17" t="n">
        <v>0.150674666666667</v>
      </c>
      <c r="M304" s="18" t="n">
        <f aca="false">IF(H304=0,"",I304/H304)</f>
        <v>0.15929203539823</v>
      </c>
    </row>
    <row r="305" customFormat="false" ht="15" hidden="false" customHeight="false" outlineLevel="0" collapsed="false">
      <c r="A305" s="13" t="s">
        <v>105</v>
      </c>
      <c r="B305" s="13" t="s">
        <v>173</v>
      </c>
      <c r="C305" s="13" t="n">
        <v>0</v>
      </c>
      <c r="D305" s="13" t="n">
        <v>0</v>
      </c>
      <c r="E305" s="13" t="n">
        <v>0</v>
      </c>
      <c r="F305" s="13" t="n">
        <v>0</v>
      </c>
      <c r="G305" s="17" t="n">
        <v>0</v>
      </c>
      <c r="H305" s="13" t="n">
        <v>13</v>
      </c>
      <c r="I305" s="13" t="n">
        <v>10</v>
      </c>
      <c r="J305" s="13" t="n">
        <v>3</v>
      </c>
      <c r="K305" s="13" t="n">
        <v>0</v>
      </c>
      <c r="L305" s="17" t="n">
        <v>0.060692</v>
      </c>
      <c r="M305" s="18" t="n">
        <f aca="false">IF(H305=0,"",I305/H305)</f>
        <v>0.769230769230769</v>
      </c>
    </row>
    <row r="306" customFormat="false" ht="15" hidden="false" customHeight="false" outlineLevel="0" collapsed="false">
      <c r="A306" s="13" t="s">
        <v>105</v>
      </c>
      <c r="B306" s="13" t="s">
        <v>175</v>
      </c>
      <c r="C306" s="13" t="n">
        <v>0</v>
      </c>
      <c r="D306" s="13" t="n">
        <v>0</v>
      </c>
      <c r="E306" s="13" t="n">
        <v>0</v>
      </c>
      <c r="F306" s="13" t="n">
        <v>0</v>
      </c>
      <c r="G306" s="17" t="n">
        <v>0</v>
      </c>
      <c r="H306" s="13" t="n">
        <v>31</v>
      </c>
      <c r="I306" s="13" t="n">
        <v>0</v>
      </c>
      <c r="J306" s="13" t="n">
        <v>0</v>
      </c>
      <c r="K306" s="13" t="n">
        <v>67</v>
      </c>
      <c r="L306" s="17" t="n">
        <v>0</v>
      </c>
      <c r="M306" s="18" t="n">
        <f aca="false">IF(H306=0,"",I306/H306)</f>
        <v>0</v>
      </c>
    </row>
    <row r="307" customFormat="false" ht="15" hidden="false" customHeight="false" outlineLevel="0" collapsed="false">
      <c r="A307" s="13" t="s">
        <v>105</v>
      </c>
      <c r="B307" s="13" t="s">
        <v>176</v>
      </c>
      <c r="C307" s="13" t="n">
        <v>0</v>
      </c>
      <c r="D307" s="13" t="n">
        <v>0</v>
      </c>
      <c r="E307" s="13" t="n">
        <v>0</v>
      </c>
      <c r="F307" s="13" t="n">
        <v>0</v>
      </c>
      <c r="G307" s="17" t="n">
        <v>0</v>
      </c>
      <c r="H307" s="13" t="n">
        <v>49</v>
      </c>
      <c r="I307" s="13" t="n">
        <v>0</v>
      </c>
      <c r="J307" s="13" t="n">
        <v>0</v>
      </c>
      <c r="K307" s="13" t="n">
        <v>0</v>
      </c>
      <c r="L307" s="17" t="n">
        <v>0</v>
      </c>
      <c r="M307" s="18" t="n">
        <f aca="false">IF(H307=0,"",I307/H307)</f>
        <v>0</v>
      </c>
    </row>
    <row r="308" customFormat="false" ht="15" hidden="false" customHeight="false" outlineLevel="0" collapsed="false">
      <c r="A308" s="13" t="s">
        <v>338</v>
      </c>
      <c r="B308" s="13" t="s">
        <v>176</v>
      </c>
      <c r="C308" s="13" t="n">
        <v>0</v>
      </c>
      <c r="D308" s="13" t="n">
        <v>0</v>
      </c>
      <c r="E308" s="13" t="n">
        <v>0</v>
      </c>
      <c r="F308" s="13" t="n">
        <v>0</v>
      </c>
      <c r="G308" s="17" t="n">
        <v>0</v>
      </c>
      <c r="H308" s="13" t="n">
        <v>1</v>
      </c>
      <c r="I308" s="13" t="n">
        <v>0</v>
      </c>
      <c r="J308" s="13" t="n">
        <v>0</v>
      </c>
      <c r="K308" s="13" t="n">
        <v>0</v>
      </c>
      <c r="L308" s="17" t="n">
        <v>0</v>
      </c>
      <c r="M308" s="18" t="n">
        <f aca="false">IF(H308=0,"",I308/H308)</f>
        <v>0</v>
      </c>
    </row>
    <row r="309" customFormat="false" ht="15" hidden="false" customHeight="false" outlineLevel="0" collapsed="false">
      <c r="A309" s="13" t="s">
        <v>339</v>
      </c>
      <c r="B309" s="13" t="s">
        <v>176</v>
      </c>
      <c r="C309" s="13" t="n">
        <v>0</v>
      </c>
      <c r="D309" s="13" t="n">
        <v>0</v>
      </c>
      <c r="E309" s="13" t="n">
        <v>0</v>
      </c>
      <c r="F309" s="13" t="n">
        <v>0</v>
      </c>
      <c r="G309" s="17" t="n">
        <v>0</v>
      </c>
      <c r="H309" s="13" t="n">
        <v>1</v>
      </c>
      <c r="I309" s="13" t="n">
        <v>0</v>
      </c>
      <c r="J309" s="13" t="n">
        <v>0</v>
      </c>
      <c r="K309" s="13" t="n">
        <v>0</v>
      </c>
      <c r="L309" s="17" t="n">
        <v>0</v>
      </c>
      <c r="M309" s="18" t="n">
        <f aca="false">IF(H309=0,"",I309/H309)</f>
        <v>0</v>
      </c>
    </row>
    <row r="310" customFormat="false" ht="15" hidden="false" customHeight="false" outlineLevel="0" collapsed="false">
      <c r="A310" s="13" t="s">
        <v>340</v>
      </c>
      <c r="B310" s="13" t="s">
        <v>176</v>
      </c>
      <c r="C310" s="13" t="n">
        <v>0</v>
      </c>
      <c r="D310" s="13" t="n">
        <v>0</v>
      </c>
      <c r="E310" s="13" t="n">
        <v>0</v>
      </c>
      <c r="F310" s="13" t="n">
        <v>0</v>
      </c>
      <c r="G310" s="17" t="n">
        <v>0</v>
      </c>
      <c r="H310" s="13" t="n">
        <v>1</v>
      </c>
      <c r="I310" s="13" t="n">
        <v>0</v>
      </c>
      <c r="J310" s="13" t="n">
        <v>0</v>
      </c>
      <c r="K310" s="13" t="n">
        <v>0</v>
      </c>
      <c r="L310" s="17" t="n">
        <v>0</v>
      </c>
      <c r="M310" s="18" t="n">
        <f aca="false">IF(H310=0,"",I310/H310)</f>
        <v>0</v>
      </c>
    </row>
    <row r="311" customFormat="false" ht="15" hidden="false" customHeight="false" outlineLevel="0" collapsed="false">
      <c r="A311" s="13" t="s">
        <v>341</v>
      </c>
      <c r="B311" s="13" t="s">
        <v>176</v>
      </c>
      <c r="C311" s="13" t="n">
        <v>0</v>
      </c>
      <c r="D311" s="13" t="n">
        <v>0</v>
      </c>
      <c r="E311" s="13" t="n">
        <v>0</v>
      </c>
      <c r="F311" s="13" t="n">
        <v>0</v>
      </c>
      <c r="G311" s="17" t="n">
        <v>0</v>
      </c>
      <c r="H311" s="13" t="n">
        <v>1</v>
      </c>
      <c r="I311" s="13" t="n">
        <v>0</v>
      </c>
      <c r="J311" s="13" t="n">
        <v>0</v>
      </c>
      <c r="K311" s="13" t="n">
        <v>0</v>
      </c>
      <c r="L311" s="17" t="n">
        <v>0</v>
      </c>
      <c r="M311" s="18" t="n">
        <f aca="false">IF(H311=0,"",I311/H311)</f>
        <v>0</v>
      </c>
    </row>
    <row r="312" customFormat="false" ht="15" hidden="false" customHeight="false" outlineLevel="0" collapsed="false">
      <c r="A312" s="13" t="s">
        <v>342</v>
      </c>
      <c r="B312" s="13" t="s">
        <v>176</v>
      </c>
      <c r="C312" s="13" t="n">
        <v>0</v>
      </c>
      <c r="D312" s="13" t="n">
        <v>0</v>
      </c>
      <c r="E312" s="13" t="n">
        <v>0</v>
      </c>
      <c r="F312" s="13" t="n">
        <v>0</v>
      </c>
      <c r="G312" s="17" t="n">
        <v>0</v>
      </c>
      <c r="H312" s="13" t="n">
        <v>1</v>
      </c>
      <c r="I312" s="13" t="n">
        <v>0</v>
      </c>
      <c r="J312" s="13" t="n">
        <v>0</v>
      </c>
      <c r="K312" s="13" t="n">
        <v>0</v>
      </c>
      <c r="L312" s="17" t="n">
        <v>0</v>
      </c>
      <c r="M312" s="18" t="n">
        <f aca="false">IF(H312=0,"",I312/H312)</f>
        <v>0</v>
      </c>
    </row>
    <row r="313" customFormat="false" ht="15" hidden="false" customHeight="false" outlineLevel="0" collapsed="false">
      <c r="A313" s="13" t="s">
        <v>343</v>
      </c>
      <c r="B313" s="13" t="s">
        <v>176</v>
      </c>
      <c r="C313" s="13" t="n">
        <v>0</v>
      </c>
      <c r="D313" s="13" t="n">
        <v>0</v>
      </c>
      <c r="E313" s="13" t="n">
        <v>0</v>
      </c>
      <c r="F313" s="13" t="n">
        <v>0</v>
      </c>
      <c r="G313" s="17" t="n">
        <v>0</v>
      </c>
      <c r="H313" s="13" t="n">
        <v>1</v>
      </c>
      <c r="I313" s="13" t="n">
        <v>0</v>
      </c>
      <c r="J313" s="13" t="n">
        <v>0</v>
      </c>
      <c r="K313" s="13" t="n">
        <v>0</v>
      </c>
      <c r="L313" s="17" t="n">
        <v>0</v>
      </c>
      <c r="M313" s="18" t="n">
        <f aca="false">IF(H313=0,"",I313/H313)</f>
        <v>0</v>
      </c>
    </row>
    <row r="314" customFormat="false" ht="15" hidden="false" customHeight="false" outlineLevel="0" collapsed="false">
      <c r="A314" s="13" t="s">
        <v>344</v>
      </c>
      <c r="B314" s="13" t="s">
        <v>176</v>
      </c>
      <c r="C314" s="13" t="n">
        <v>0</v>
      </c>
      <c r="D314" s="13" t="n">
        <v>0</v>
      </c>
      <c r="E314" s="13" t="n">
        <v>0</v>
      </c>
      <c r="F314" s="13" t="n">
        <v>0</v>
      </c>
      <c r="G314" s="17" t="n">
        <v>0</v>
      </c>
      <c r="H314" s="13" t="n">
        <v>1</v>
      </c>
      <c r="I314" s="13" t="n">
        <v>0</v>
      </c>
      <c r="J314" s="13" t="n">
        <v>0</v>
      </c>
      <c r="K314" s="13" t="n">
        <v>0</v>
      </c>
      <c r="L314" s="17" t="n">
        <v>0</v>
      </c>
      <c r="M314" s="18" t="n">
        <f aca="false">IF(H314=0,"",I314/H314)</f>
        <v>0</v>
      </c>
    </row>
    <row r="315" customFormat="false" ht="15" hidden="false" customHeight="false" outlineLevel="0" collapsed="false">
      <c r="A315" s="13" t="s">
        <v>345</v>
      </c>
      <c r="B315" s="13" t="s">
        <v>176</v>
      </c>
      <c r="C315" s="13" t="n">
        <v>0</v>
      </c>
      <c r="D315" s="13" t="n">
        <v>0</v>
      </c>
      <c r="E315" s="13" t="n">
        <v>0</v>
      </c>
      <c r="F315" s="13" t="n">
        <v>0</v>
      </c>
      <c r="G315" s="17" t="n">
        <v>0</v>
      </c>
      <c r="H315" s="13" t="n">
        <v>1</v>
      </c>
      <c r="I315" s="13" t="n">
        <v>0</v>
      </c>
      <c r="J315" s="13" t="n">
        <v>0</v>
      </c>
      <c r="K315" s="13" t="n">
        <v>0</v>
      </c>
      <c r="L315" s="17" t="n">
        <v>0</v>
      </c>
      <c r="M315" s="18" t="n">
        <f aca="false">IF(H315=0,"",I315/H315)</f>
        <v>0</v>
      </c>
    </row>
    <row r="316" customFormat="false" ht="15" hidden="false" customHeight="false" outlineLevel="0" collapsed="false">
      <c r="A316" s="13" t="s">
        <v>346</v>
      </c>
      <c r="B316" s="13" t="s">
        <v>176</v>
      </c>
      <c r="C316" s="13" t="n">
        <v>0</v>
      </c>
      <c r="D316" s="13" t="n">
        <v>0</v>
      </c>
      <c r="E316" s="13" t="n">
        <v>0</v>
      </c>
      <c r="F316" s="13" t="n">
        <v>0</v>
      </c>
      <c r="G316" s="17" t="n">
        <v>0</v>
      </c>
      <c r="H316" s="13" t="n">
        <v>1</v>
      </c>
      <c r="I316" s="13" t="n">
        <v>0</v>
      </c>
      <c r="J316" s="13" t="n">
        <v>0</v>
      </c>
      <c r="K316" s="13" t="n">
        <v>0</v>
      </c>
      <c r="L316" s="17" t="n">
        <v>0</v>
      </c>
      <c r="M316" s="18" t="n">
        <f aca="false">IF(H316=0,"",I316/H316)</f>
        <v>0</v>
      </c>
    </row>
    <row r="317" customFormat="false" ht="15" hidden="false" customHeight="false" outlineLevel="0" collapsed="false">
      <c r="A317" s="13" t="s">
        <v>347</v>
      </c>
      <c r="B317" s="13" t="s">
        <v>176</v>
      </c>
      <c r="C317" s="13" t="n">
        <v>0</v>
      </c>
      <c r="D317" s="13" t="n">
        <v>0</v>
      </c>
      <c r="E317" s="13" t="n">
        <v>0</v>
      </c>
      <c r="F317" s="13" t="n">
        <v>0</v>
      </c>
      <c r="G317" s="17" t="n">
        <v>0</v>
      </c>
      <c r="H317" s="13" t="n">
        <v>1</v>
      </c>
      <c r="I317" s="13" t="n">
        <v>0</v>
      </c>
      <c r="J317" s="13" t="n">
        <v>0</v>
      </c>
      <c r="K317" s="13" t="n">
        <v>0</v>
      </c>
      <c r="L317" s="17" t="n">
        <v>0</v>
      </c>
      <c r="M317" s="18" t="n">
        <f aca="false">IF(H317=0,"",I317/H317)</f>
        <v>0</v>
      </c>
    </row>
    <row r="318" customFormat="false" ht="15" hidden="false" customHeight="false" outlineLevel="0" collapsed="false">
      <c r="A318" s="13" t="s">
        <v>348</v>
      </c>
      <c r="B318" s="13" t="s">
        <v>176</v>
      </c>
      <c r="C318" s="13" t="n">
        <v>0</v>
      </c>
      <c r="D318" s="13" t="n">
        <v>0</v>
      </c>
      <c r="E318" s="13" t="n">
        <v>0</v>
      </c>
      <c r="F318" s="13" t="n">
        <v>0</v>
      </c>
      <c r="G318" s="17" t="n">
        <v>0</v>
      </c>
      <c r="H318" s="13" t="n">
        <v>1</v>
      </c>
      <c r="I318" s="13" t="n">
        <v>0</v>
      </c>
      <c r="J318" s="13" t="n">
        <v>0</v>
      </c>
      <c r="K318" s="13" t="n">
        <v>0</v>
      </c>
      <c r="L318" s="17" t="n">
        <v>0</v>
      </c>
      <c r="M318" s="18" t="n">
        <f aca="false">IF(H318=0,"",I318/H318)</f>
        <v>0</v>
      </c>
    </row>
    <row r="319" customFormat="false" ht="15" hidden="false" customHeight="false" outlineLevel="0" collapsed="false">
      <c r="A319" s="13" t="s">
        <v>143</v>
      </c>
      <c r="B319" s="13" t="s">
        <v>169</v>
      </c>
      <c r="C319" s="13" t="n">
        <v>0</v>
      </c>
      <c r="D319" s="13" t="n">
        <v>0</v>
      </c>
      <c r="E319" s="13" t="n">
        <v>0</v>
      </c>
      <c r="F319" s="13" t="n">
        <v>0</v>
      </c>
      <c r="G319" s="17" t="n">
        <v>0</v>
      </c>
      <c r="H319" s="13" t="n">
        <v>6</v>
      </c>
      <c r="I319" s="13" t="n">
        <v>0</v>
      </c>
      <c r="J319" s="13" t="n">
        <v>2</v>
      </c>
      <c r="K319" s="13" t="n">
        <v>12</v>
      </c>
      <c r="L319" s="17" t="n">
        <v>0</v>
      </c>
      <c r="M319" s="18" t="n">
        <f aca="false">IF(H319=0,"",I319/H319)</f>
        <v>0</v>
      </c>
    </row>
    <row r="320" customFormat="false" ht="15" hidden="false" customHeight="false" outlineLevel="0" collapsed="false">
      <c r="A320" s="13" t="s">
        <v>143</v>
      </c>
      <c r="B320" s="13" t="s">
        <v>170</v>
      </c>
      <c r="C320" s="13" t="n">
        <v>0</v>
      </c>
      <c r="D320" s="13" t="n">
        <v>0</v>
      </c>
      <c r="E320" s="13" t="n">
        <v>0</v>
      </c>
      <c r="F320" s="13" t="n">
        <v>0</v>
      </c>
      <c r="G320" s="17" t="n">
        <v>0</v>
      </c>
      <c r="H320" s="13" t="n">
        <v>4</v>
      </c>
      <c r="I320" s="13" t="n">
        <v>0</v>
      </c>
      <c r="J320" s="13" t="n">
        <v>0</v>
      </c>
      <c r="K320" s="13" t="n">
        <v>2</v>
      </c>
      <c r="L320" s="17" t="n">
        <v>0</v>
      </c>
      <c r="M320" s="18" t="n">
        <f aca="false">IF(H320=0,"",I320/H320)</f>
        <v>0</v>
      </c>
    </row>
    <row r="321" customFormat="false" ht="15" hidden="false" customHeight="false" outlineLevel="0" collapsed="false">
      <c r="A321" s="13" t="s">
        <v>143</v>
      </c>
      <c r="B321" s="13" t="s">
        <v>171</v>
      </c>
      <c r="C321" s="13" t="n">
        <v>0</v>
      </c>
      <c r="D321" s="13" t="n">
        <v>0</v>
      </c>
      <c r="E321" s="13" t="n">
        <v>0</v>
      </c>
      <c r="F321" s="13" t="n">
        <v>0</v>
      </c>
      <c r="G321" s="17" t="n">
        <v>0</v>
      </c>
      <c r="H321" s="13" t="n">
        <v>2</v>
      </c>
      <c r="I321" s="13" t="n">
        <v>0</v>
      </c>
      <c r="J321" s="13" t="n">
        <v>0</v>
      </c>
      <c r="K321" s="13" t="n">
        <v>0</v>
      </c>
      <c r="L321" s="17" t="n">
        <v>0.00022422</v>
      </c>
      <c r="M321" s="18" t="n">
        <f aca="false">IF(H321=0,"",I321/H321)</f>
        <v>0</v>
      </c>
    </row>
    <row r="322" customFormat="false" ht="15" hidden="false" customHeight="false" outlineLevel="0" collapsed="false">
      <c r="A322" s="13" t="s">
        <v>143</v>
      </c>
      <c r="B322" s="13" t="s">
        <v>172</v>
      </c>
      <c r="C322" s="13" t="n">
        <v>0</v>
      </c>
      <c r="D322" s="13" t="n">
        <v>0</v>
      </c>
      <c r="E322" s="13" t="n">
        <v>0</v>
      </c>
      <c r="F322" s="13" t="n">
        <v>0</v>
      </c>
      <c r="G322" s="17" t="n">
        <v>0</v>
      </c>
      <c r="H322" s="13" t="n">
        <v>22</v>
      </c>
      <c r="I322" s="13" t="n">
        <v>3</v>
      </c>
      <c r="J322" s="13" t="n">
        <v>19</v>
      </c>
      <c r="K322" s="13" t="n">
        <v>0</v>
      </c>
      <c r="L322" s="17" t="n">
        <v>0.00609453333333333</v>
      </c>
      <c r="M322" s="18" t="n">
        <f aca="false">IF(H322=0,"",I322/H322)</f>
        <v>0.136363636363636</v>
      </c>
    </row>
    <row r="323" customFormat="false" ht="15" hidden="false" customHeight="false" outlineLevel="0" collapsed="false">
      <c r="A323" s="13" t="s">
        <v>143</v>
      </c>
      <c r="B323" s="13" t="s">
        <v>173</v>
      </c>
      <c r="C323" s="13" t="n">
        <v>0</v>
      </c>
      <c r="D323" s="13" t="n">
        <v>0</v>
      </c>
      <c r="E323" s="13" t="n">
        <v>0</v>
      </c>
      <c r="F323" s="13" t="n">
        <v>0</v>
      </c>
      <c r="G323" s="17" t="n">
        <v>0</v>
      </c>
      <c r="H323" s="13" t="n">
        <v>2</v>
      </c>
      <c r="I323" s="13" t="n">
        <v>1</v>
      </c>
      <c r="J323" s="13" t="n">
        <v>1</v>
      </c>
      <c r="K323" s="13" t="n">
        <v>0</v>
      </c>
      <c r="L323" s="17" t="n">
        <v>0.0023688</v>
      </c>
      <c r="M323" s="18" t="n">
        <f aca="false">IF(H323=0,"",I323/H323)</f>
        <v>0.5</v>
      </c>
    </row>
    <row r="324" customFormat="false" ht="15" hidden="false" customHeight="false" outlineLevel="0" collapsed="false">
      <c r="A324" s="13" t="s">
        <v>143</v>
      </c>
      <c r="B324" s="13" t="s">
        <v>174</v>
      </c>
      <c r="C324" s="13" t="n">
        <v>0</v>
      </c>
      <c r="D324" s="13" t="n">
        <v>0</v>
      </c>
      <c r="E324" s="13" t="n">
        <v>0</v>
      </c>
      <c r="F324" s="13" t="n">
        <v>0</v>
      </c>
      <c r="G324" s="17" t="n">
        <v>0</v>
      </c>
      <c r="H324" s="13" t="n">
        <v>23</v>
      </c>
      <c r="I324" s="13" t="n">
        <v>21</v>
      </c>
      <c r="J324" s="13" t="n">
        <v>0</v>
      </c>
      <c r="K324" s="13" t="n">
        <v>0</v>
      </c>
      <c r="L324" s="17" t="n">
        <v>0.00556339</v>
      </c>
      <c r="M324" s="18" t="n">
        <f aca="false">IF(H324=0,"",I324/H324)</f>
        <v>0.91304347826087</v>
      </c>
    </row>
    <row r="325" customFormat="false" ht="15" hidden="false" customHeight="false" outlineLevel="0" collapsed="false">
      <c r="A325" s="13" t="s">
        <v>143</v>
      </c>
      <c r="B325" s="13" t="s">
        <v>175</v>
      </c>
      <c r="C325" s="13" t="n">
        <v>0</v>
      </c>
      <c r="D325" s="13" t="n">
        <v>0</v>
      </c>
      <c r="E325" s="13" t="n">
        <v>0</v>
      </c>
      <c r="F325" s="13" t="n">
        <v>0</v>
      </c>
      <c r="G325" s="17" t="n">
        <v>0</v>
      </c>
      <c r="H325" s="13" t="n">
        <v>43</v>
      </c>
      <c r="I325" s="13" t="n">
        <v>0</v>
      </c>
      <c r="J325" s="13" t="n">
        <v>0</v>
      </c>
      <c r="K325" s="13" t="n">
        <v>43</v>
      </c>
      <c r="L325" s="17" t="n">
        <v>0</v>
      </c>
      <c r="M325" s="18" t="n">
        <f aca="false">IF(H325=0,"",I325/H325)</f>
        <v>0</v>
      </c>
    </row>
    <row r="326" customFormat="false" ht="15" hidden="false" customHeight="false" outlineLevel="0" collapsed="false">
      <c r="A326" s="13" t="s">
        <v>143</v>
      </c>
      <c r="B326" s="13" t="s">
        <v>176</v>
      </c>
      <c r="C326" s="13" t="n">
        <v>0</v>
      </c>
      <c r="D326" s="13" t="n">
        <v>0</v>
      </c>
      <c r="E326" s="13" t="n">
        <v>0</v>
      </c>
      <c r="F326" s="13" t="n">
        <v>0</v>
      </c>
      <c r="G326" s="17" t="n">
        <v>0</v>
      </c>
      <c r="H326" s="13" t="n">
        <v>6</v>
      </c>
      <c r="I326" s="13" t="n">
        <v>0</v>
      </c>
      <c r="J326" s="13" t="n">
        <v>0</v>
      </c>
      <c r="K326" s="13" t="n">
        <v>0</v>
      </c>
      <c r="L326" s="17" t="n">
        <v>0</v>
      </c>
      <c r="M326" s="18" t="n">
        <f aca="false">IF(H326=0,"",I326/H326)</f>
        <v>0</v>
      </c>
    </row>
    <row r="327" customFormat="false" ht="15" hidden="false" customHeight="false" outlineLevel="0" collapsed="false">
      <c r="A327" s="13" t="s">
        <v>349</v>
      </c>
      <c r="B327" s="13" t="s">
        <v>176</v>
      </c>
      <c r="C327" s="13" t="n">
        <v>0</v>
      </c>
      <c r="D327" s="13" t="n">
        <v>0</v>
      </c>
      <c r="E327" s="13" t="n">
        <v>0</v>
      </c>
      <c r="F327" s="13" t="n">
        <v>0</v>
      </c>
      <c r="G327" s="17" t="n">
        <v>0</v>
      </c>
      <c r="H327" s="13" t="n">
        <v>1</v>
      </c>
      <c r="I327" s="13" t="n">
        <v>0</v>
      </c>
      <c r="J327" s="13" t="n">
        <v>0</v>
      </c>
      <c r="K327" s="13" t="n">
        <v>0</v>
      </c>
      <c r="L327" s="17" t="n">
        <v>0</v>
      </c>
      <c r="M327" s="18" t="n">
        <f aca="false">IF(H327=0,"",I327/H327)</f>
        <v>0</v>
      </c>
    </row>
    <row r="328" customFormat="false" ht="15" hidden="false" customHeight="false" outlineLevel="0" collapsed="false">
      <c r="A328" s="13" t="s">
        <v>350</v>
      </c>
      <c r="B328" s="13" t="s">
        <v>176</v>
      </c>
      <c r="C328" s="13" t="n">
        <v>0</v>
      </c>
      <c r="D328" s="13" t="n">
        <v>0</v>
      </c>
      <c r="E328" s="13" t="n">
        <v>0</v>
      </c>
      <c r="F328" s="13" t="n">
        <v>0</v>
      </c>
      <c r="G328" s="17" t="n">
        <v>0</v>
      </c>
      <c r="H328" s="13" t="n">
        <v>1</v>
      </c>
      <c r="I328" s="13" t="n">
        <v>0</v>
      </c>
      <c r="J328" s="13" t="n">
        <v>0</v>
      </c>
      <c r="K328" s="13" t="n">
        <v>0</v>
      </c>
      <c r="L328" s="17" t="n">
        <v>0</v>
      </c>
      <c r="M328" s="18" t="n">
        <f aca="false">IF(H328=0,"",I328/H328)</f>
        <v>0</v>
      </c>
    </row>
    <row r="329" customFormat="false" ht="15" hidden="false" customHeight="false" outlineLevel="0" collapsed="false">
      <c r="A329" s="13" t="s">
        <v>351</v>
      </c>
      <c r="B329" s="13" t="s">
        <v>176</v>
      </c>
      <c r="C329" s="13" t="n">
        <v>0</v>
      </c>
      <c r="D329" s="13" t="n">
        <v>0</v>
      </c>
      <c r="E329" s="13" t="n">
        <v>0</v>
      </c>
      <c r="F329" s="13" t="n">
        <v>0</v>
      </c>
      <c r="G329" s="17" t="n">
        <v>0</v>
      </c>
      <c r="H329" s="13" t="n">
        <v>1</v>
      </c>
      <c r="I329" s="13" t="n">
        <v>0</v>
      </c>
      <c r="J329" s="13" t="n">
        <v>0</v>
      </c>
      <c r="K329" s="13" t="n">
        <v>0</v>
      </c>
      <c r="L329" s="17" t="n">
        <v>0</v>
      </c>
      <c r="M329" s="18" t="n">
        <f aca="false">IF(H329=0,"",I329/H329)</f>
        <v>0</v>
      </c>
    </row>
    <row r="330" customFormat="false" ht="15" hidden="false" customHeight="false" outlineLevel="0" collapsed="false">
      <c r="A330" s="13" t="s">
        <v>352</v>
      </c>
      <c r="B330" s="13" t="s">
        <v>176</v>
      </c>
      <c r="C330" s="13" t="n">
        <v>0</v>
      </c>
      <c r="D330" s="13" t="n">
        <v>0</v>
      </c>
      <c r="E330" s="13" t="n">
        <v>0</v>
      </c>
      <c r="F330" s="13" t="n">
        <v>0</v>
      </c>
      <c r="G330" s="17" t="n">
        <v>0</v>
      </c>
      <c r="H330" s="13" t="n">
        <v>1</v>
      </c>
      <c r="I330" s="13" t="n">
        <v>0</v>
      </c>
      <c r="J330" s="13" t="n">
        <v>0</v>
      </c>
      <c r="K330" s="13" t="n">
        <v>0</v>
      </c>
      <c r="L330" s="17" t="n">
        <v>0</v>
      </c>
      <c r="M330" s="18" t="n">
        <f aca="false">IF(H330=0,"",I330/H330)</f>
        <v>0</v>
      </c>
    </row>
    <row r="331" customFormat="false" ht="15" hidden="false" customHeight="false" outlineLevel="0" collapsed="false">
      <c r="A331" s="13" t="s">
        <v>109</v>
      </c>
      <c r="B331" s="13" t="s">
        <v>169</v>
      </c>
      <c r="C331" s="13" t="n">
        <v>0</v>
      </c>
      <c r="D331" s="13" t="n">
        <v>0</v>
      </c>
      <c r="E331" s="13" t="n">
        <v>0</v>
      </c>
      <c r="F331" s="13" t="n">
        <v>0</v>
      </c>
      <c r="G331" s="17" t="n">
        <v>0</v>
      </c>
      <c r="H331" s="13" t="n">
        <v>22</v>
      </c>
      <c r="I331" s="13" t="n">
        <v>0</v>
      </c>
      <c r="J331" s="13" t="n">
        <v>17</v>
      </c>
      <c r="K331" s="13" t="n">
        <v>44</v>
      </c>
      <c r="L331" s="17" t="n">
        <v>0</v>
      </c>
      <c r="M331" s="18" t="n">
        <f aca="false">IF(H331=0,"",I331/H331)</f>
        <v>0</v>
      </c>
    </row>
    <row r="332" customFormat="false" ht="15" hidden="false" customHeight="false" outlineLevel="0" collapsed="false">
      <c r="A332" s="13" t="s">
        <v>109</v>
      </c>
      <c r="B332" s="13" t="s">
        <v>170</v>
      </c>
      <c r="C332" s="13" t="n">
        <v>0</v>
      </c>
      <c r="D332" s="13" t="n">
        <v>0</v>
      </c>
      <c r="E332" s="13" t="n">
        <v>0</v>
      </c>
      <c r="F332" s="13" t="n">
        <v>0</v>
      </c>
      <c r="G332" s="17" t="n">
        <v>0</v>
      </c>
      <c r="H332" s="13" t="n">
        <v>20</v>
      </c>
      <c r="I332" s="13" t="n">
        <v>0</v>
      </c>
      <c r="J332" s="13" t="n">
        <v>0</v>
      </c>
      <c r="K332" s="13" t="n">
        <v>3</v>
      </c>
      <c r="L332" s="17" t="n">
        <v>0</v>
      </c>
      <c r="M332" s="18" t="n">
        <f aca="false">IF(H332=0,"",I332/H332)</f>
        <v>0</v>
      </c>
    </row>
    <row r="333" customFormat="false" ht="15" hidden="false" customHeight="false" outlineLevel="0" collapsed="false">
      <c r="A333" s="13" t="s">
        <v>109</v>
      </c>
      <c r="B333" s="13" t="s">
        <v>171</v>
      </c>
      <c r="C333" s="13" t="n">
        <v>0</v>
      </c>
      <c r="D333" s="13" t="n">
        <v>0</v>
      </c>
      <c r="E333" s="13" t="n">
        <v>0</v>
      </c>
      <c r="F333" s="13" t="n">
        <v>0</v>
      </c>
      <c r="G333" s="17" t="n">
        <v>0</v>
      </c>
      <c r="H333" s="13" t="n">
        <v>17</v>
      </c>
      <c r="I333" s="13" t="n">
        <v>0</v>
      </c>
      <c r="J333" s="13" t="n">
        <v>14</v>
      </c>
      <c r="K333" s="13" t="n">
        <v>0</v>
      </c>
      <c r="L333" s="17" t="n">
        <v>0.0018852</v>
      </c>
      <c r="M333" s="18" t="n">
        <f aca="false">IF(H333=0,"",I333/H333)</f>
        <v>0</v>
      </c>
    </row>
    <row r="334" customFormat="false" ht="15" hidden="false" customHeight="false" outlineLevel="0" collapsed="false">
      <c r="A334" s="13" t="s">
        <v>109</v>
      </c>
      <c r="B334" s="13" t="s">
        <v>172</v>
      </c>
      <c r="C334" s="13" t="n">
        <v>0</v>
      </c>
      <c r="D334" s="13" t="n">
        <v>0</v>
      </c>
      <c r="E334" s="13" t="n">
        <v>0</v>
      </c>
      <c r="F334" s="13" t="n">
        <v>0</v>
      </c>
      <c r="G334" s="17" t="n">
        <v>0</v>
      </c>
      <c r="H334" s="13" t="n">
        <v>100</v>
      </c>
      <c r="I334" s="13" t="n">
        <v>7</v>
      </c>
      <c r="J334" s="13" t="n">
        <v>92</v>
      </c>
      <c r="K334" s="13" t="n">
        <v>0</v>
      </c>
      <c r="L334" s="17" t="n">
        <v>0.0380433333333333</v>
      </c>
      <c r="M334" s="18" t="n">
        <f aca="false">IF(H334=0,"",I334/H334)</f>
        <v>0.07</v>
      </c>
    </row>
    <row r="335" customFormat="false" ht="15" hidden="false" customHeight="false" outlineLevel="0" collapsed="false">
      <c r="A335" s="13" t="s">
        <v>109</v>
      </c>
      <c r="B335" s="13" t="s">
        <v>173</v>
      </c>
      <c r="C335" s="13" t="n">
        <v>0</v>
      </c>
      <c r="D335" s="13" t="n">
        <v>0</v>
      </c>
      <c r="E335" s="13" t="n">
        <v>0</v>
      </c>
      <c r="F335" s="13" t="n">
        <v>0</v>
      </c>
      <c r="G335" s="17" t="n">
        <v>0</v>
      </c>
      <c r="H335" s="13" t="n">
        <v>2</v>
      </c>
      <c r="I335" s="13" t="n">
        <v>0</v>
      </c>
      <c r="J335" s="13" t="n">
        <v>2</v>
      </c>
      <c r="K335" s="13" t="n">
        <v>0</v>
      </c>
      <c r="L335" s="17" t="n">
        <v>0</v>
      </c>
      <c r="M335" s="18" t="n">
        <f aca="false">IF(H335=0,"",I335/H335)</f>
        <v>0</v>
      </c>
    </row>
    <row r="336" customFormat="false" ht="15" hidden="false" customHeight="false" outlineLevel="0" collapsed="false">
      <c r="A336" s="13" t="s">
        <v>109</v>
      </c>
      <c r="B336" s="13" t="s">
        <v>175</v>
      </c>
      <c r="C336" s="13" t="n">
        <v>0</v>
      </c>
      <c r="D336" s="13" t="n">
        <v>0</v>
      </c>
      <c r="E336" s="13" t="n">
        <v>0</v>
      </c>
      <c r="F336" s="13" t="n">
        <v>0</v>
      </c>
      <c r="G336" s="17" t="n">
        <v>0</v>
      </c>
      <c r="H336" s="13" t="n">
        <v>4</v>
      </c>
      <c r="I336" s="13" t="n">
        <v>0</v>
      </c>
      <c r="J336" s="13" t="n">
        <v>0</v>
      </c>
      <c r="K336" s="13" t="n">
        <v>4</v>
      </c>
      <c r="L336" s="17" t="n">
        <v>0</v>
      </c>
      <c r="M336" s="18" t="n">
        <f aca="false">IF(H336=0,"",I336/H336)</f>
        <v>0</v>
      </c>
    </row>
    <row r="337" customFormat="false" ht="15" hidden="false" customHeight="false" outlineLevel="0" collapsed="false">
      <c r="A337" s="13" t="s">
        <v>109</v>
      </c>
      <c r="B337" s="13" t="s">
        <v>176</v>
      </c>
      <c r="C337" s="13" t="n">
        <v>0</v>
      </c>
      <c r="D337" s="13" t="n">
        <v>0</v>
      </c>
      <c r="E337" s="13" t="n">
        <v>0</v>
      </c>
      <c r="F337" s="13" t="n">
        <v>0</v>
      </c>
      <c r="G337" s="17" t="n">
        <v>0</v>
      </c>
      <c r="H337" s="13" t="n">
        <v>63</v>
      </c>
      <c r="I337" s="13" t="n">
        <v>0</v>
      </c>
      <c r="J337" s="13" t="n">
        <v>0</v>
      </c>
      <c r="K337" s="13" t="n">
        <v>0</v>
      </c>
      <c r="L337" s="17" t="n">
        <v>0</v>
      </c>
      <c r="M337" s="18" t="n">
        <f aca="false">IF(H337=0,"",I337/H337)</f>
        <v>0</v>
      </c>
    </row>
    <row r="338" customFormat="false" ht="15" hidden="false" customHeight="false" outlineLevel="0" collapsed="false">
      <c r="A338" s="13" t="s">
        <v>83</v>
      </c>
      <c r="B338" s="13" t="s">
        <v>169</v>
      </c>
      <c r="C338" s="13" t="n">
        <v>0</v>
      </c>
      <c r="D338" s="13" t="n">
        <v>0</v>
      </c>
      <c r="E338" s="13" t="n">
        <v>0</v>
      </c>
      <c r="F338" s="13" t="n">
        <v>0</v>
      </c>
      <c r="G338" s="17" t="n">
        <v>0</v>
      </c>
      <c r="H338" s="13" t="n">
        <v>0</v>
      </c>
      <c r="I338" s="13" t="n">
        <v>0</v>
      </c>
      <c r="J338" s="13" t="n">
        <v>48</v>
      </c>
      <c r="K338" s="13" t="n">
        <v>0</v>
      </c>
      <c r="L338" s="17" t="n">
        <v>0</v>
      </c>
      <c r="M338" s="18" t="str">
        <f aca="false">IF(H338=0,"",I338/H338)</f>
        <v/>
      </c>
    </row>
    <row r="339" customFormat="false" ht="15" hidden="false" customHeight="false" outlineLevel="0" collapsed="false">
      <c r="A339" s="13" t="s">
        <v>83</v>
      </c>
      <c r="B339" s="13" t="s">
        <v>170</v>
      </c>
      <c r="C339" s="13" t="n">
        <v>0</v>
      </c>
      <c r="D339" s="13" t="n">
        <v>0</v>
      </c>
      <c r="E339" s="13" t="n">
        <v>0</v>
      </c>
      <c r="F339" s="13" t="n">
        <v>0</v>
      </c>
      <c r="G339" s="17" t="n">
        <v>0</v>
      </c>
      <c r="H339" s="13" t="n">
        <v>58</v>
      </c>
      <c r="I339" s="13" t="n">
        <v>1</v>
      </c>
      <c r="J339" s="13" t="n">
        <v>5</v>
      </c>
      <c r="K339" s="13" t="n">
        <v>127</v>
      </c>
      <c r="L339" s="17" t="n">
        <v>0</v>
      </c>
      <c r="M339" s="18" t="n">
        <f aca="false">IF(H339=0,"",I339/H339)</f>
        <v>0.0172413793103448</v>
      </c>
    </row>
    <row r="340" customFormat="false" ht="15" hidden="false" customHeight="false" outlineLevel="0" collapsed="false">
      <c r="A340" s="13" t="s">
        <v>83</v>
      </c>
      <c r="B340" s="13" t="s">
        <v>171</v>
      </c>
      <c r="C340" s="13" t="n">
        <v>0</v>
      </c>
      <c r="D340" s="13" t="n">
        <v>0</v>
      </c>
      <c r="E340" s="13" t="n">
        <v>0</v>
      </c>
      <c r="F340" s="13" t="n">
        <v>0</v>
      </c>
      <c r="G340" s="17" t="n">
        <v>0</v>
      </c>
      <c r="H340" s="13" t="n">
        <v>4</v>
      </c>
      <c r="I340" s="13" t="n">
        <v>0</v>
      </c>
      <c r="J340" s="13" t="n">
        <v>4</v>
      </c>
      <c r="K340" s="13" t="n">
        <v>0</v>
      </c>
      <c r="L340" s="17" t="n">
        <v>0.00044223</v>
      </c>
      <c r="M340" s="18" t="n">
        <f aca="false">IF(H340=0,"",I340/H340)</f>
        <v>0</v>
      </c>
    </row>
    <row r="341" customFormat="false" ht="15" hidden="false" customHeight="false" outlineLevel="0" collapsed="false">
      <c r="A341" s="13" t="s">
        <v>83</v>
      </c>
      <c r="B341" s="13" t="s">
        <v>172</v>
      </c>
      <c r="C341" s="13" t="n">
        <v>0</v>
      </c>
      <c r="D341" s="13" t="n">
        <v>0</v>
      </c>
      <c r="E341" s="13" t="n">
        <v>0</v>
      </c>
      <c r="F341" s="13" t="n">
        <v>0</v>
      </c>
      <c r="G341" s="17" t="n">
        <v>0</v>
      </c>
      <c r="H341" s="13" t="n">
        <v>279</v>
      </c>
      <c r="I341" s="13" t="n">
        <v>0</v>
      </c>
      <c r="J341" s="13" t="n">
        <v>279</v>
      </c>
      <c r="K341" s="13" t="n">
        <v>0</v>
      </c>
      <c r="L341" s="17" t="n">
        <v>0.2303294</v>
      </c>
      <c r="M341" s="18" t="n">
        <f aca="false">IF(H341=0,"",I341/H341)</f>
        <v>0</v>
      </c>
    </row>
    <row r="342" customFormat="false" ht="15" hidden="false" customHeight="false" outlineLevel="0" collapsed="false">
      <c r="A342" s="13" t="s">
        <v>83</v>
      </c>
      <c r="B342" s="13" t="s">
        <v>173</v>
      </c>
      <c r="C342" s="13" t="n">
        <v>0</v>
      </c>
      <c r="D342" s="13" t="n">
        <v>0</v>
      </c>
      <c r="E342" s="13" t="n">
        <v>0</v>
      </c>
      <c r="F342" s="13" t="n">
        <v>0</v>
      </c>
      <c r="G342" s="17" t="n">
        <v>0</v>
      </c>
      <c r="H342" s="13" t="n">
        <v>7</v>
      </c>
      <c r="I342" s="13" t="n">
        <v>4</v>
      </c>
      <c r="J342" s="13" t="n">
        <v>3</v>
      </c>
      <c r="K342" s="13" t="n">
        <v>0</v>
      </c>
      <c r="L342" s="17" t="n">
        <v>0.0225104</v>
      </c>
      <c r="M342" s="18" t="n">
        <f aca="false">IF(H342=0,"",I342/H342)</f>
        <v>0.571428571428571</v>
      </c>
    </row>
    <row r="343" customFormat="false" ht="15" hidden="false" customHeight="false" outlineLevel="0" collapsed="false">
      <c r="A343" s="13" t="s">
        <v>83</v>
      </c>
      <c r="B343" s="13" t="s">
        <v>175</v>
      </c>
      <c r="C343" s="13" t="n">
        <v>0</v>
      </c>
      <c r="D343" s="13" t="n">
        <v>0</v>
      </c>
      <c r="E343" s="13" t="n">
        <v>0</v>
      </c>
      <c r="F343" s="13" t="n">
        <v>0</v>
      </c>
      <c r="G343" s="17" t="n">
        <v>0</v>
      </c>
      <c r="H343" s="13" t="n">
        <v>3</v>
      </c>
      <c r="I343" s="13" t="n">
        <v>0</v>
      </c>
      <c r="J343" s="13" t="n">
        <v>0</v>
      </c>
      <c r="K343" s="13" t="n">
        <v>3</v>
      </c>
      <c r="L343" s="17" t="n">
        <v>0</v>
      </c>
      <c r="M343" s="18" t="n">
        <f aca="false">IF(H343=0,"",I343/H343)</f>
        <v>0</v>
      </c>
    </row>
    <row r="344" customFormat="false" ht="15" hidden="false" customHeight="false" outlineLevel="0" collapsed="false">
      <c r="A344" s="13" t="s">
        <v>83</v>
      </c>
      <c r="B344" s="13" t="s">
        <v>176</v>
      </c>
      <c r="C344" s="13" t="n">
        <v>0</v>
      </c>
      <c r="D344" s="13" t="n">
        <v>0</v>
      </c>
      <c r="E344" s="13" t="n">
        <v>0</v>
      </c>
      <c r="F344" s="13" t="n">
        <v>0</v>
      </c>
      <c r="G344" s="17" t="n">
        <v>0</v>
      </c>
      <c r="H344" s="13" t="n">
        <v>162</v>
      </c>
      <c r="I344" s="13" t="n">
        <v>0</v>
      </c>
      <c r="J344" s="13" t="n">
        <v>0</v>
      </c>
      <c r="K344" s="13" t="n">
        <v>0</v>
      </c>
      <c r="L344" s="17" t="n">
        <v>0</v>
      </c>
      <c r="M344" s="18" t="n">
        <f aca="false">IF(H344=0,"",I344/H344)</f>
        <v>0</v>
      </c>
    </row>
    <row r="345" customFormat="false" ht="15" hidden="false" customHeight="false" outlineLevel="0" collapsed="false">
      <c r="A345" s="13" t="s">
        <v>353</v>
      </c>
      <c r="B345" s="13" t="s">
        <v>176</v>
      </c>
      <c r="C345" s="13" t="n">
        <v>0</v>
      </c>
      <c r="D345" s="13" t="n">
        <v>0</v>
      </c>
      <c r="E345" s="13" t="n">
        <v>0</v>
      </c>
      <c r="F345" s="13" t="n">
        <v>0</v>
      </c>
      <c r="G345" s="17" t="n">
        <v>0</v>
      </c>
      <c r="H345" s="13" t="n">
        <v>1</v>
      </c>
      <c r="I345" s="13" t="n">
        <v>0</v>
      </c>
      <c r="J345" s="13" t="n">
        <v>0</v>
      </c>
      <c r="K345" s="13" t="n">
        <v>0</v>
      </c>
      <c r="L345" s="17" t="n">
        <v>0</v>
      </c>
      <c r="M345" s="18" t="n">
        <f aca="false">IF(H345=0,"",I345/H345)</f>
        <v>0</v>
      </c>
    </row>
    <row r="346" customFormat="false" ht="15" hidden="false" customHeight="false" outlineLevel="0" collapsed="false">
      <c r="A346" s="13" t="s">
        <v>101</v>
      </c>
      <c r="B346" s="13" t="s">
        <v>170</v>
      </c>
      <c r="C346" s="13" t="n">
        <v>0</v>
      </c>
      <c r="D346" s="13" t="n">
        <v>0</v>
      </c>
      <c r="E346" s="13" t="n">
        <v>0</v>
      </c>
      <c r="F346" s="13" t="n">
        <v>0</v>
      </c>
      <c r="G346" s="17" t="n">
        <v>0</v>
      </c>
      <c r="H346" s="13" t="n">
        <v>81</v>
      </c>
      <c r="I346" s="13" t="n">
        <v>81</v>
      </c>
      <c r="J346" s="13" t="n">
        <v>0</v>
      </c>
      <c r="K346" s="13" t="n">
        <v>0</v>
      </c>
      <c r="L346" s="17" t="n">
        <v>0</v>
      </c>
      <c r="M346" s="18" t="n">
        <f aca="false">IF(H346=0,"",I346/H346)</f>
        <v>1</v>
      </c>
    </row>
    <row r="347" customFormat="false" ht="15" hidden="false" customHeight="false" outlineLevel="0" collapsed="false">
      <c r="A347" s="13" t="s">
        <v>101</v>
      </c>
      <c r="B347" s="13" t="s">
        <v>172</v>
      </c>
      <c r="C347" s="13" t="n">
        <v>0</v>
      </c>
      <c r="D347" s="13" t="n">
        <v>0</v>
      </c>
      <c r="E347" s="13" t="n">
        <v>0</v>
      </c>
      <c r="F347" s="13" t="n">
        <v>0</v>
      </c>
      <c r="G347" s="17" t="n">
        <v>0</v>
      </c>
      <c r="H347" s="13" t="n">
        <v>461</v>
      </c>
      <c r="I347" s="13" t="n">
        <v>330</v>
      </c>
      <c r="J347" s="13" t="n">
        <v>111</v>
      </c>
      <c r="K347" s="13" t="n">
        <v>0</v>
      </c>
      <c r="L347" s="17" t="n">
        <v>0.1044996</v>
      </c>
      <c r="M347" s="18" t="n">
        <f aca="false">IF(H347=0,"",I347/H347)</f>
        <v>0.715835140997831</v>
      </c>
    </row>
    <row r="348" customFormat="false" ht="15" hidden="false" customHeight="false" outlineLevel="0" collapsed="false">
      <c r="A348" s="13" t="s">
        <v>101</v>
      </c>
      <c r="B348" s="13" t="s">
        <v>173</v>
      </c>
      <c r="C348" s="13" t="n">
        <v>0</v>
      </c>
      <c r="D348" s="13" t="n">
        <v>0</v>
      </c>
      <c r="E348" s="13" t="n">
        <v>0</v>
      </c>
      <c r="F348" s="13" t="n">
        <v>0</v>
      </c>
      <c r="G348" s="17" t="n">
        <v>0</v>
      </c>
      <c r="H348" s="13" t="n">
        <v>81</v>
      </c>
      <c r="I348" s="13" t="n">
        <v>1</v>
      </c>
      <c r="J348" s="13" t="n">
        <v>80</v>
      </c>
      <c r="K348" s="13" t="n">
        <v>0</v>
      </c>
      <c r="L348" s="17" t="n">
        <v>0.015308</v>
      </c>
      <c r="M348" s="18" t="n">
        <f aca="false">IF(H348=0,"",I348/H348)</f>
        <v>0.0123456790123457</v>
      </c>
    </row>
    <row r="349" customFormat="false" ht="15" hidden="false" customHeight="false" outlineLevel="0" collapsed="false">
      <c r="A349" s="13" t="s">
        <v>101</v>
      </c>
      <c r="B349" s="13" t="s">
        <v>174</v>
      </c>
      <c r="C349" s="13" t="n">
        <v>0</v>
      </c>
      <c r="D349" s="13" t="n">
        <v>0</v>
      </c>
      <c r="E349" s="13" t="n">
        <v>0</v>
      </c>
      <c r="F349" s="13" t="n">
        <v>0</v>
      </c>
      <c r="G349" s="17" t="n">
        <v>0</v>
      </c>
      <c r="H349" s="13" t="n">
        <v>75</v>
      </c>
      <c r="I349" s="13" t="n">
        <v>63</v>
      </c>
      <c r="J349" s="13" t="n">
        <v>0</v>
      </c>
      <c r="K349" s="13" t="n">
        <v>0</v>
      </c>
      <c r="L349" s="17" t="n">
        <v>0.02667899</v>
      </c>
      <c r="M349" s="18" t="n">
        <f aca="false">IF(H349=0,"",I349/H349)</f>
        <v>0.84</v>
      </c>
    </row>
    <row r="350" customFormat="false" ht="15" hidden="false" customHeight="false" outlineLevel="0" collapsed="false">
      <c r="A350" s="13" t="s">
        <v>101</v>
      </c>
      <c r="B350" s="13" t="s">
        <v>175</v>
      </c>
      <c r="C350" s="13" t="n">
        <v>0</v>
      </c>
      <c r="D350" s="13" t="n">
        <v>0</v>
      </c>
      <c r="E350" s="13" t="n">
        <v>0</v>
      </c>
      <c r="F350" s="13" t="n">
        <v>0</v>
      </c>
      <c r="G350" s="17" t="n">
        <v>0</v>
      </c>
      <c r="H350" s="13" t="n">
        <v>67</v>
      </c>
      <c r="I350" s="13" t="n">
        <v>0</v>
      </c>
      <c r="J350" s="13" t="n">
        <v>0</v>
      </c>
      <c r="K350" s="13" t="n">
        <v>67</v>
      </c>
      <c r="L350" s="17" t="n">
        <v>0</v>
      </c>
      <c r="M350" s="18" t="n">
        <f aca="false">IF(H350=0,"",I350/H350)</f>
        <v>0</v>
      </c>
    </row>
    <row r="351" customFormat="false" ht="15" hidden="false" customHeight="false" outlineLevel="0" collapsed="false">
      <c r="A351" s="13" t="s">
        <v>101</v>
      </c>
      <c r="B351" s="13" t="s">
        <v>176</v>
      </c>
      <c r="C351" s="13" t="n">
        <v>0</v>
      </c>
      <c r="D351" s="13" t="n">
        <v>0</v>
      </c>
      <c r="E351" s="13" t="n">
        <v>0</v>
      </c>
      <c r="F351" s="13" t="n">
        <v>0</v>
      </c>
      <c r="G351" s="17" t="n">
        <v>0</v>
      </c>
      <c r="H351" s="13" t="n">
        <v>73</v>
      </c>
      <c r="I351" s="13" t="n">
        <v>0</v>
      </c>
      <c r="J351" s="13" t="n">
        <v>0</v>
      </c>
      <c r="K351" s="13" t="n">
        <v>0</v>
      </c>
      <c r="L351" s="17" t="n">
        <v>0</v>
      </c>
      <c r="M351" s="18" t="n">
        <f aca="false">IF(H351=0,"",I351/H351)</f>
        <v>0</v>
      </c>
    </row>
    <row r="352" customFormat="false" ht="15" hidden="false" customHeight="false" outlineLevel="0" collapsed="false">
      <c r="A352" s="13" t="s">
        <v>354</v>
      </c>
      <c r="B352" s="13" t="s">
        <v>176</v>
      </c>
      <c r="C352" s="13" t="n">
        <v>0</v>
      </c>
      <c r="D352" s="13" t="n">
        <v>0</v>
      </c>
      <c r="E352" s="13" t="n">
        <v>0</v>
      </c>
      <c r="F352" s="13" t="n">
        <v>0</v>
      </c>
      <c r="G352" s="17" t="n">
        <v>0</v>
      </c>
      <c r="H352" s="13" t="n">
        <v>1</v>
      </c>
      <c r="I352" s="13" t="n">
        <v>0</v>
      </c>
      <c r="J352" s="13" t="n">
        <v>0</v>
      </c>
      <c r="K352" s="13" t="n">
        <v>0</v>
      </c>
      <c r="L352" s="17" t="n">
        <v>0</v>
      </c>
      <c r="M352" s="18" t="n">
        <f aca="false">IF(H352=0,"",I352/H352)</f>
        <v>0</v>
      </c>
    </row>
    <row r="353" customFormat="false" ht="15" hidden="false" customHeight="false" outlineLevel="0" collapsed="false">
      <c r="A353" s="13" t="s">
        <v>355</v>
      </c>
      <c r="B353" s="13" t="s">
        <v>176</v>
      </c>
      <c r="C353" s="13" t="n">
        <v>0</v>
      </c>
      <c r="D353" s="13" t="n">
        <v>0</v>
      </c>
      <c r="E353" s="13" t="n">
        <v>0</v>
      </c>
      <c r="F353" s="13" t="n">
        <v>0</v>
      </c>
      <c r="G353" s="17" t="n">
        <v>0</v>
      </c>
      <c r="H353" s="13" t="n">
        <v>1</v>
      </c>
      <c r="I353" s="13" t="n">
        <v>0</v>
      </c>
      <c r="J353" s="13" t="n">
        <v>0</v>
      </c>
      <c r="K353" s="13" t="n">
        <v>0</v>
      </c>
      <c r="L353" s="17" t="n">
        <v>0</v>
      </c>
      <c r="M353" s="18" t="n">
        <f aca="false">IF(H353=0,"",I353/H353)</f>
        <v>0</v>
      </c>
    </row>
    <row r="354" customFormat="false" ht="15" hidden="false" customHeight="false" outlineLevel="0" collapsed="false">
      <c r="A354" s="13" t="s">
        <v>356</v>
      </c>
      <c r="B354" s="13" t="s">
        <v>176</v>
      </c>
      <c r="C354" s="13" t="n">
        <v>0</v>
      </c>
      <c r="D354" s="13" t="n">
        <v>0</v>
      </c>
      <c r="E354" s="13" t="n">
        <v>0</v>
      </c>
      <c r="F354" s="13" t="n">
        <v>0</v>
      </c>
      <c r="G354" s="17" t="n">
        <v>0</v>
      </c>
      <c r="H354" s="13" t="n">
        <v>1</v>
      </c>
      <c r="I354" s="13" t="n">
        <v>0</v>
      </c>
      <c r="J354" s="13" t="n">
        <v>0</v>
      </c>
      <c r="K354" s="13" t="n">
        <v>0</v>
      </c>
      <c r="L354" s="17" t="n">
        <v>0</v>
      </c>
      <c r="M354" s="18" t="n">
        <f aca="false">IF(H354=0,"",I354/H354)</f>
        <v>0</v>
      </c>
    </row>
    <row r="355" customFormat="false" ht="15" hidden="false" customHeight="false" outlineLevel="0" collapsed="false">
      <c r="A355" s="13" t="s">
        <v>357</v>
      </c>
      <c r="B355" s="13" t="s">
        <v>176</v>
      </c>
      <c r="C355" s="13" t="n">
        <v>0</v>
      </c>
      <c r="D355" s="13" t="n">
        <v>0</v>
      </c>
      <c r="E355" s="13" t="n">
        <v>0</v>
      </c>
      <c r="F355" s="13" t="n">
        <v>0</v>
      </c>
      <c r="G355" s="17" t="n">
        <v>0</v>
      </c>
      <c r="H355" s="13" t="n">
        <v>1</v>
      </c>
      <c r="I355" s="13" t="n">
        <v>0</v>
      </c>
      <c r="J355" s="13" t="n">
        <v>0</v>
      </c>
      <c r="K355" s="13" t="n">
        <v>0</v>
      </c>
      <c r="L355" s="17" t="n">
        <v>0</v>
      </c>
      <c r="M355" s="18" t="n">
        <f aca="false">IF(H355=0,"",I355/H355)</f>
        <v>0</v>
      </c>
    </row>
    <row r="356" customFormat="false" ht="15" hidden="false" customHeight="false" outlineLevel="0" collapsed="false">
      <c r="A356" s="13" t="s">
        <v>358</v>
      </c>
      <c r="B356" s="13" t="s">
        <v>176</v>
      </c>
      <c r="C356" s="13" t="n">
        <v>0</v>
      </c>
      <c r="D356" s="13" t="n">
        <v>0</v>
      </c>
      <c r="E356" s="13" t="n">
        <v>0</v>
      </c>
      <c r="F356" s="13" t="n">
        <v>0</v>
      </c>
      <c r="G356" s="17" t="n">
        <v>0</v>
      </c>
      <c r="H356" s="13" t="n">
        <v>1</v>
      </c>
      <c r="I356" s="13" t="n">
        <v>0</v>
      </c>
      <c r="J356" s="13" t="n">
        <v>0</v>
      </c>
      <c r="K356" s="13" t="n">
        <v>0</v>
      </c>
      <c r="L356" s="17" t="n">
        <v>0</v>
      </c>
      <c r="M356" s="18" t="n">
        <f aca="false">IF(H356=0,"",I356/H356)</f>
        <v>0</v>
      </c>
    </row>
    <row r="357" customFormat="false" ht="15" hidden="false" customHeight="false" outlineLevel="0" collapsed="false">
      <c r="A357" s="13" t="s">
        <v>87</v>
      </c>
      <c r="B357" s="13" t="s">
        <v>169</v>
      </c>
      <c r="C357" s="13" t="n">
        <v>0</v>
      </c>
      <c r="D357" s="13" t="n">
        <v>0</v>
      </c>
      <c r="E357" s="13" t="n">
        <v>0</v>
      </c>
      <c r="F357" s="13" t="n">
        <v>0</v>
      </c>
      <c r="G357" s="17" t="n">
        <v>0</v>
      </c>
      <c r="H357" s="13" t="n">
        <v>9</v>
      </c>
      <c r="I357" s="13" t="n">
        <v>0</v>
      </c>
      <c r="J357" s="13" t="n">
        <v>0</v>
      </c>
      <c r="K357" s="13" t="n">
        <v>18</v>
      </c>
      <c r="L357" s="17" t="n">
        <v>0</v>
      </c>
      <c r="M357" s="18" t="n">
        <f aca="false">IF(H357=0,"",I357/H357)</f>
        <v>0</v>
      </c>
    </row>
    <row r="358" customFormat="false" ht="15" hidden="false" customHeight="false" outlineLevel="0" collapsed="false">
      <c r="A358" s="13" t="s">
        <v>87</v>
      </c>
      <c r="B358" s="13" t="s">
        <v>170</v>
      </c>
      <c r="C358" s="13" t="n">
        <v>0</v>
      </c>
      <c r="D358" s="13" t="n">
        <v>0</v>
      </c>
      <c r="E358" s="13" t="n">
        <v>0</v>
      </c>
      <c r="F358" s="13" t="n">
        <v>0</v>
      </c>
      <c r="G358" s="17" t="n">
        <v>0</v>
      </c>
      <c r="H358" s="13" t="n">
        <v>57</v>
      </c>
      <c r="I358" s="13" t="n">
        <v>48</v>
      </c>
      <c r="J358" s="13" t="n">
        <v>9</v>
      </c>
      <c r="K358" s="13" t="n">
        <v>0</v>
      </c>
      <c r="L358" s="17" t="n">
        <v>0</v>
      </c>
      <c r="M358" s="18" t="n">
        <f aca="false">IF(H358=0,"",I358/H358)</f>
        <v>0.842105263157895</v>
      </c>
    </row>
    <row r="359" customFormat="false" ht="15" hidden="false" customHeight="false" outlineLevel="0" collapsed="false">
      <c r="A359" s="13" t="s">
        <v>87</v>
      </c>
      <c r="B359" s="13" t="s">
        <v>172</v>
      </c>
      <c r="C359" s="13" t="n">
        <v>0</v>
      </c>
      <c r="D359" s="13" t="n">
        <v>0</v>
      </c>
      <c r="E359" s="13" t="n">
        <v>0</v>
      </c>
      <c r="F359" s="13" t="n">
        <v>0</v>
      </c>
      <c r="G359" s="17" t="n">
        <v>0</v>
      </c>
      <c r="H359" s="13" t="n">
        <v>202</v>
      </c>
      <c r="I359" s="13" t="n">
        <v>13</v>
      </c>
      <c r="J359" s="13" t="n">
        <v>182</v>
      </c>
      <c r="K359" s="13" t="n">
        <v>0</v>
      </c>
      <c r="L359" s="17" t="n">
        <v>0.179231433333333</v>
      </c>
      <c r="M359" s="18" t="n">
        <f aca="false">IF(H359=0,"",I359/H359)</f>
        <v>0.0643564356435644</v>
      </c>
    </row>
    <row r="360" customFormat="false" ht="15" hidden="false" customHeight="false" outlineLevel="0" collapsed="false">
      <c r="A360" s="13" t="s">
        <v>87</v>
      </c>
      <c r="B360" s="13" t="s">
        <v>173</v>
      </c>
      <c r="C360" s="13" t="n">
        <v>0</v>
      </c>
      <c r="D360" s="13" t="n">
        <v>0</v>
      </c>
      <c r="E360" s="13" t="n">
        <v>0</v>
      </c>
      <c r="F360" s="13" t="n">
        <v>0</v>
      </c>
      <c r="G360" s="17" t="n">
        <v>0</v>
      </c>
      <c r="H360" s="13" t="n">
        <v>79</v>
      </c>
      <c r="I360" s="13" t="n">
        <v>64</v>
      </c>
      <c r="J360" s="13" t="n">
        <v>15</v>
      </c>
      <c r="K360" s="13" t="n">
        <v>0</v>
      </c>
      <c r="L360" s="17" t="n">
        <v>0.2052216</v>
      </c>
      <c r="M360" s="18" t="n">
        <f aca="false">IF(H360=0,"",I360/H360)</f>
        <v>0.810126582278481</v>
      </c>
    </row>
    <row r="361" customFormat="false" ht="15" hidden="false" customHeight="false" outlineLevel="0" collapsed="false">
      <c r="A361" s="13" t="s">
        <v>87</v>
      </c>
      <c r="B361" s="13" t="s">
        <v>175</v>
      </c>
      <c r="C361" s="13" t="n">
        <v>0</v>
      </c>
      <c r="D361" s="13" t="n">
        <v>0</v>
      </c>
      <c r="E361" s="13" t="n">
        <v>0</v>
      </c>
      <c r="F361" s="13" t="n">
        <v>0</v>
      </c>
      <c r="G361" s="17" t="n">
        <v>0</v>
      </c>
      <c r="H361" s="13" t="n">
        <v>10</v>
      </c>
      <c r="I361" s="13" t="n">
        <v>0</v>
      </c>
      <c r="J361" s="13" t="n">
        <v>0</v>
      </c>
      <c r="K361" s="13" t="n">
        <v>10</v>
      </c>
      <c r="L361" s="17" t="n">
        <v>0</v>
      </c>
      <c r="M361" s="18" t="n">
        <f aca="false">IF(H361=0,"",I361/H361)</f>
        <v>0</v>
      </c>
    </row>
    <row r="362" customFormat="false" ht="15" hidden="false" customHeight="false" outlineLevel="0" collapsed="false">
      <c r="A362" s="13" t="s">
        <v>87</v>
      </c>
      <c r="B362" s="13" t="s">
        <v>176</v>
      </c>
      <c r="C362" s="13" t="n">
        <v>0</v>
      </c>
      <c r="D362" s="13" t="n">
        <v>0</v>
      </c>
      <c r="E362" s="13" t="n">
        <v>0</v>
      </c>
      <c r="F362" s="13" t="n">
        <v>0</v>
      </c>
      <c r="G362" s="17" t="n">
        <v>0</v>
      </c>
      <c r="H362" s="13" t="n">
        <v>112</v>
      </c>
      <c r="I362" s="13" t="n">
        <v>0</v>
      </c>
      <c r="J362" s="13" t="n">
        <v>0</v>
      </c>
      <c r="K362" s="13" t="n">
        <v>0</v>
      </c>
      <c r="L362" s="17" t="n">
        <v>0</v>
      </c>
      <c r="M362" s="18" t="n">
        <f aca="false">IF(H362=0,"",I362/H362)</f>
        <v>0</v>
      </c>
    </row>
    <row r="363" customFormat="false" ht="15" hidden="false" customHeight="false" outlineLevel="0" collapsed="false">
      <c r="A363" s="13" t="s">
        <v>359</v>
      </c>
      <c r="B363" s="13" t="s">
        <v>176</v>
      </c>
      <c r="C363" s="13" t="n">
        <v>0</v>
      </c>
      <c r="D363" s="13" t="n">
        <v>0</v>
      </c>
      <c r="E363" s="13" t="n">
        <v>0</v>
      </c>
      <c r="F363" s="13" t="n">
        <v>0</v>
      </c>
      <c r="G363" s="17" t="n">
        <v>0</v>
      </c>
      <c r="H363" s="13" t="n">
        <v>1</v>
      </c>
      <c r="I363" s="13" t="n">
        <v>0</v>
      </c>
      <c r="J363" s="13" t="n">
        <v>0</v>
      </c>
      <c r="K363" s="13" t="n">
        <v>0</v>
      </c>
      <c r="L363" s="17" t="n">
        <v>0</v>
      </c>
      <c r="M363" s="18" t="n">
        <f aca="false">IF(H363=0,"",I363/H363)</f>
        <v>0</v>
      </c>
    </row>
    <row r="364" customFormat="false" ht="15" hidden="false" customHeight="false" outlineLevel="0" collapsed="false">
      <c r="A364" s="13" t="s">
        <v>95</v>
      </c>
      <c r="B364" s="13" t="s">
        <v>169</v>
      </c>
      <c r="C364" s="13" t="n">
        <v>0</v>
      </c>
      <c r="D364" s="13" t="n">
        <v>0</v>
      </c>
      <c r="E364" s="13" t="n">
        <v>0</v>
      </c>
      <c r="F364" s="13" t="n">
        <v>0</v>
      </c>
      <c r="G364" s="17" t="n">
        <v>0</v>
      </c>
      <c r="H364" s="13" t="n">
        <v>1</v>
      </c>
      <c r="I364" s="13" t="n">
        <v>0</v>
      </c>
      <c r="J364" s="13" t="n">
        <v>1</v>
      </c>
      <c r="K364" s="13" t="n">
        <v>2</v>
      </c>
      <c r="L364" s="17" t="n">
        <v>0</v>
      </c>
      <c r="M364" s="18" t="n">
        <f aca="false">IF(H364=0,"",I364/H364)</f>
        <v>0</v>
      </c>
    </row>
    <row r="365" customFormat="false" ht="15" hidden="false" customHeight="false" outlineLevel="0" collapsed="false">
      <c r="A365" s="13" t="s">
        <v>95</v>
      </c>
      <c r="B365" s="13" t="s">
        <v>170</v>
      </c>
      <c r="C365" s="13" t="n">
        <v>0</v>
      </c>
      <c r="D365" s="13" t="n">
        <v>0</v>
      </c>
      <c r="E365" s="13" t="n">
        <v>0</v>
      </c>
      <c r="F365" s="13" t="n">
        <v>0</v>
      </c>
      <c r="G365" s="17" t="n">
        <v>0</v>
      </c>
      <c r="H365" s="13" t="n">
        <v>1</v>
      </c>
      <c r="I365" s="13" t="n">
        <v>0</v>
      </c>
      <c r="J365" s="13" t="n">
        <v>0</v>
      </c>
      <c r="K365" s="13" t="n">
        <v>0</v>
      </c>
      <c r="L365" s="17" t="n">
        <v>0</v>
      </c>
      <c r="M365" s="18" t="n">
        <f aca="false">IF(H365=0,"",I365/H365)</f>
        <v>0</v>
      </c>
    </row>
    <row r="366" customFormat="false" ht="15" hidden="false" customHeight="false" outlineLevel="0" collapsed="false">
      <c r="A366" s="13" t="s">
        <v>95</v>
      </c>
      <c r="B366" s="13" t="s">
        <v>172</v>
      </c>
      <c r="C366" s="13" t="n">
        <v>0</v>
      </c>
      <c r="D366" s="13" t="n">
        <v>0</v>
      </c>
      <c r="E366" s="13" t="n">
        <v>0</v>
      </c>
      <c r="F366" s="13" t="n">
        <v>0</v>
      </c>
      <c r="G366" s="17" t="n">
        <v>0</v>
      </c>
      <c r="H366" s="13" t="n">
        <v>48</v>
      </c>
      <c r="I366" s="13" t="n">
        <v>1</v>
      </c>
      <c r="J366" s="13" t="n">
        <v>47</v>
      </c>
      <c r="K366" s="13" t="n">
        <v>0</v>
      </c>
      <c r="L366" s="17" t="n">
        <v>0.0970236</v>
      </c>
      <c r="M366" s="18" t="n">
        <f aca="false">IF(H366=0,"",I366/H366)</f>
        <v>0.0208333333333333</v>
      </c>
    </row>
    <row r="367" customFormat="false" ht="15" hidden="false" customHeight="false" outlineLevel="0" collapsed="false">
      <c r="A367" s="13" t="s">
        <v>95</v>
      </c>
      <c r="B367" s="13" t="s">
        <v>173</v>
      </c>
      <c r="C367" s="13" t="n">
        <v>0</v>
      </c>
      <c r="D367" s="13" t="n">
        <v>0</v>
      </c>
      <c r="E367" s="13" t="n">
        <v>0</v>
      </c>
      <c r="F367" s="13" t="n">
        <v>0</v>
      </c>
      <c r="G367" s="17" t="n">
        <v>0</v>
      </c>
      <c r="H367" s="13" t="n">
        <v>4</v>
      </c>
      <c r="I367" s="13" t="n">
        <v>1</v>
      </c>
      <c r="J367" s="13" t="n">
        <v>3</v>
      </c>
      <c r="K367" s="13" t="n">
        <v>0</v>
      </c>
      <c r="L367" s="17" t="n">
        <v>0.0020624</v>
      </c>
      <c r="M367" s="18" t="n">
        <f aca="false">IF(H367=0,"",I367/H367)</f>
        <v>0.25</v>
      </c>
    </row>
    <row r="368" customFormat="false" ht="15" hidden="false" customHeight="false" outlineLevel="0" collapsed="false">
      <c r="A368" s="13" t="s">
        <v>95</v>
      </c>
      <c r="B368" s="13" t="s">
        <v>175</v>
      </c>
      <c r="C368" s="13" t="n">
        <v>0</v>
      </c>
      <c r="D368" s="13" t="n">
        <v>0</v>
      </c>
      <c r="E368" s="13" t="n">
        <v>0</v>
      </c>
      <c r="F368" s="13" t="n">
        <v>0</v>
      </c>
      <c r="G368" s="17" t="n">
        <v>0</v>
      </c>
      <c r="H368" s="13" t="n">
        <v>18</v>
      </c>
      <c r="I368" s="13" t="n">
        <v>0</v>
      </c>
      <c r="J368" s="13" t="n">
        <v>0</v>
      </c>
      <c r="K368" s="13" t="n">
        <v>18</v>
      </c>
      <c r="L368" s="17" t="n">
        <v>0</v>
      </c>
      <c r="M368" s="18" t="n">
        <f aca="false">IF(H368=0,"",I368/H368)</f>
        <v>0</v>
      </c>
    </row>
    <row r="369" customFormat="false" ht="15" hidden="false" customHeight="false" outlineLevel="0" collapsed="false">
      <c r="A369" s="13" t="s">
        <v>95</v>
      </c>
      <c r="B369" s="13" t="s">
        <v>176</v>
      </c>
      <c r="C369" s="13" t="n">
        <v>0</v>
      </c>
      <c r="D369" s="13" t="n">
        <v>0</v>
      </c>
      <c r="E369" s="13" t="n">
        <v>0</v>
      </c>
      <c r="F369" s="13" t="n">
        <v>0</v>
      </c>
      <c r="G369" s="17" t="n">
        <v>0</v>
      </c>
      <c r="H369" s="13" t="n">
        <v>46</v>
      </c>
      <c r="I369" s="13" t="n">
        <v>0</v>
      </c>
      <c r="J369" s="13" t="n">
        <v>0</v>
      </c>
      <c r="K369" s="13" t="n">
        <v>0</v>
      </c>
      <c r="L369" s="17" t="n">
        <v>0</v>
      </c>
      <c r="M369" s="18" t="n">
        <f aca="false">IF(H369=0,"",I369/H369)</f>
        <v>0</v>
      </c>
    </row>
    <row r="370" customFormat="false" ht="15" hidden="false" customHeight="false" outlineLevel="0" collapsed="false">
      <c r="A370" s="13" t="s">
        <v>360</v>
      </c>
      <c r="B370" s="13" t="s">
        <v>176</v>
      </c>
      <c r="C370" s="13" t="n">
        <v>0</v>
      </c>
      <c r="D370" s="13" t="n">
        <v>0</v>
      </c>
      <c r="E370" s="13" t="n">
        <v>0</v>
      </c>
      <c r="F370" s="13" t="n">
        <v>0</v>
      </c>
      <c r="G370" s="17" t="n">
        <v>0</v>
      </c>
      <c r="H370" s="13" t="n">
        <v>1</v>
      </c>
      <c r="I370" s="13" t="n">
        <v>0</v>
      </c>
      <c r="J370" s="13" t="n">
        <v>0</v>
      </c>
      <c r="K370" s="13" t="n">
        <v>0</v>
      </c>
      <c r="L370" s="17" t="n">
        <v>0</v>
      </c>
      <c r="M370" s="18" t="n">
        <f aca="false">IF(H370=0,"",I370/H370)</f>
        <v>0</v>
      </c>
    </row>
    <row r="371" customFormat="false" ht="15" hidden="false" customHeight="false" outlineLevel="0" collapsed="false">
      <c r="A371" s="13" t="s">
        <v>361</v>
      </c>
      <c r="B371" s="13" t="s">
        <v>176</v>
      </c>
      <c r="C371" s="13" t="n">
        <v>0</v>
      </c>
      <c r="D371" s="13" t="n">
        <v>0</v>
      </c>
      <c r="E371" s="13" t="n">
        <v>0</v>
      </c>
      <c r="F371" s="13" t="n">
        <v>0</v>
      </c>
      <c r="G371" s="17" t="n">
        <v>0</v>
      </c>
      <c r="H371" s="13" t="n">
        <v>1</v>
      </c>
      <c r="I371" s="13" t="n">
        <v>0</v>
      </c>
      <c r="J371" s="13" t="n">
        <v>0</v>
      </c>
      <c r="K371" s="13" t="n">
        <v>0</v>
      </c>
      <c r="L371" s="17" t="n">
        <v>0</v>
      </c>
      <c r="M371" s="18" t="n">
        <f aca="false">IF(H371=0,"",I371/H371)</f>
        <v>0</v>
      </c>
    </row>
    <row r="372" customFormat="false" ht="15" hidden="false" customHeight="false" outlineLevel="0" collapsed="false">
      <c r="A372" s="13" t="s">
        <v>362</v>
      </c>
      <c r="B372" s="13" t="s">
        <v>176</v>
      </c>
      <c r="C372" s="13" t="n">
        <v>0</v>
      </c>
      <c r="D372" s="13" t="n">
        <v>0</v>
      </c>
      <c r="E372" s="13" t="n">
        <v>0</v>
      </c>
      <c r="F372" s="13" t="n">
        <v>0</v>
      </c>
      <c r="G372" s="17" t="n">
        <v>0</v>
      </c>
      <c r="H372" s="13" t="n">
        <v>1</v>
      </c>
      <c r="I372" s="13" t="n">
        <v>0</v>
      </c>
      <c r="J372" s="13" t="n">
        <v>0</v>
      </c>
      <c r="K372" s="13" t="n">
        <v>0</v>
      </c>
      <c r="L372" s="17" t="n">
        <v>0</v>
      </c>
      <c r="M372" s="18" t="n">
        <f aca="false">IF(H372=0,"",I372/H372)</f>
        <v>0</v>
      </c>
    </row>
    <row r="373" customFormat="false" ht="15" hidden="false" customHeight="false" outlineLevel="0" collapsed="false">
      <c r="A373" s="13" t="s">
        <v>363</v>
      </c>
      <c r="B373" s="13" t="s">
        <v>176</v>
      </c>
      <c r="C373" s="13" t="n">
        <v>0</v>
      </c>
      <c r="D373" s="13" t="n">
        <v>0</v>
      </c>
      <c r="E373" s="13" t="n">
        <v>0</v>
      </c>
      <c r="F373" s="13" t="n">
        <v>0</v>
      </c>
      <c r="G373" s="17" t="n">
        <v>0</v>
      </c>
      <c r="H373" s="13" t="n">
        <v>1</v>
      </c>
      <c r="I373" s="13" t="n">
        <v>0</v>
      </c>
      <c r="J373" s="13" t="n">
        <v>0</v>
      </c>
      <c r="K373" s="13" t="n">
        <v>0</v>
      </c>
      <c r="L373" s="17" t="n">
        <v>0</v>
      </c>
      <c r="M373" s="18" t="n">
        <f aca="false">IF(H373=0,"",I373/H373)</f>
        <v>0</v>
      </c>
    </row>
    <row r="374" customFormat="false" ht="15" hidden="false" customHeight="false" outlineLevel="0" collapsed="false">
      <c r="A374" s="13" t="s">
        <v>364</v>
      </c>
      <c r="B374" s="13" t="s">
        <v>176</v>
      </c>
      <c r="C374" s="13" t="n">
        <v>0</v>
      </c>
      <c r="D374" s="13" t="n">
        <v>0</v>
      </c>
      <c r="E374" s="13" t="n">
        <v>0</v>
      </c>
      <c r="F374" s="13" t="n">
        <v>0</v>
      </c>
      <c r="G374" s="17" t="n">
        <v>0</v>
      </c>
      <c r="H374" s="13" t="n">
        <v>1</v>
      </c>
      <c r="I374" s="13" t="n">
        <v>0</v>
      </c>
      <c r="J374" s="13" t="n">
        <v>0</v>
      </c>
      <c r="K374" s="13" t="n">
        <v>0</v>
      </c>
      <c r="L374" s="17" t="n">
        <v>0</v>
      </c>
      <c r="M374" s="18" t="n">
        <f aca="false">IF(H374=0,"",I374/H374)</f>
        <v>0</v>
      </c>
    </row>
    <row r="375" customFormat="false" ht="15" hidden="false" customHeight="false" outlineLevel="0" collapsed="false">
      <c r="A375" s="13" t="s">
        <v>365</v>
      </c>
      <c r="B375" s="13" t="s">
        <v>176</v>
      </c>
      <c r="C375" s="13" t="n">
        <v>0</v>
      </c>
      <c r="D375" s="13" t="n">
        <v>0</v>
      </c>
      <c r="E375" s="13" t="n">
        <v>0</v>
      </c>
      <c r="F375" s="13" t="n">
        <v>0</v>
      </c>
      <c r="G375" s="17" t="n">
        <v>0</v>
      </c>
      <c r="H375" s="13" t="n">
        <v>1</v>
      </c>
      <c r="I375" s="13" t="n">
        <v>0</v>
      </c>
      <c r="J375" s="13" t="n">
        <v>0</v>
      </c>
      <c r="K375" s="13" t="n">
        <v>0</v>
      </c>
      <c r="L375" s="17" t="n">
        <v>0</v>
      </c>
      <c r="M375" s="18" t="n">
        <f aca="false">IF(H375=0,"",I375/H375)</f>
        <v>0</v>
      </c>
    </row>
    <row r="376" customFormat="false" ht="15" hidden="false" customHeight="false" outlineLevel="0" collapsed="false">
      <c r="A376" s="13" t="s">
        <v>366</v>
      </c>
      <c r="B376" s="13" t="s">
        <v>176</v>
      </c>
      <c r="C376" s="13" t="n">
        <v>0</v>
      </c>
      <c r="D376" s="13" t="n">
        <v>0</v>
      </c>
      <c r="E376" s="13" t="n">
        <v>0</v>
      </c>
      <c r="F376" s="13" t="n">
        <v>0</v>
      </c>
      <c r="G376" s="17" t="n">
        <v>0</v>
      </c>
      <c r="H376" s="13" t="n">
        <v>1</v>
      </c>
      <c r="I376" s="13" t="n">
        <v>0</v>
      </c>
      <c r="J376" s="13" t="n">
        <v>0</v>
      </c>
      <c r="K376" s="13" t="n">
        <v>0</v>
      </c>
      <c r="L376" s="17" t="n">
        <v>0</v>
      </c>
      <c r="M376" s="18" t="n">
        <f aca="false">IF(H376=0,"",I376/H376)</f>
        <v>0</v>
      </c>
    </row>
    <row r="377" customFormat="false" ht="15" hidden="false" customHeight="false" outlineLevel="0" collapsed="false">
      <c r="A377" s="13" t="s">
        <v>367</v>
      </c>
      <c r="B377" s="13" t="s">
        <v>176</v>
      </c>
      <c r="C377" s="13" t="n">
        <v>0</v>
      </c>
      <c r="D377" s="13" t="n">
        <v>0</v>
      </c>
      <c r="E377" s="13" t="n">
        <v>0</v>
      </c>
      <c r="F377" s="13" t="n">
        <v>0</v>
      </c>
      <c r="G377" s="17" t="n">
        <v>0</v>
      </c>
      <c r="H377" s="13" t="n">
        <v>1</v>
      </c>
      <c r="I377" s="13" t="n">
        <v>0</v>
      </c>
      <c r="J377" s="13" t="n">
        <v>0</v>
      </c>
      <c r="K377" s="13" t="n">
        <v>0</v>
      </c>
      <c r="L377" s="17" t="n">
        <v>0</v>
      </c>
      <c r="M377" s="18" t="n">
        <f aca="false">IF(H377=0,"",I377/H377)</f>
        <v>0</v>
      </c>
    </row>
    <row r="378" customFormat="false" ht="15" hidden="false" customHeight="false" outlineLevel="0" collapsed="false">
      <c r="A378" s="13" t="s">
        <v>368</v>
      </c>
      <c r="B378" s="13" t="s">
        <v>176</v>
      </c>
      <c r="C378" s="13" t="n">
        <v>0</v>
      </c>
      <c r="D378" s="13" t="n">
        <v>0</v>
      </c>
      <c r="E378" s="13" t="n">
        <v>0</v>
      </c>
      <c r="F378" s="13" t="n">
        <v>0</v>
      </c>
      <c r="G378" s="17" t="n">
        <v>0</v>
      </c>
      <c r="H378" s="13" t="n">
        <v>1</v>
      </c>
      <c r="I378" s="13" t="n">
        <v>0</v>
      </c>
      <c r="J378" s="13" t="n">
        <v>0</v>
      </c>
      <c r="K378" s="13" t="n">
        <v>0</v>
      </c>
      <c r="L378" s="17" t="n">
        <v>0</v>
      </c>
      <c r="M378" s="18" t="n">
        <f aca="false">IF(H378=0,"",I378/H378)</f>
        <v>0</v>
      </c>
    </row>
    <row r="379" customFormat="false" ht="15" hidden="false" customHeight="false" outlineLevel="0" collapsed="false">
      <c r="A379" s="13" t="s">
        <v>369</v>
      </c>
      <c r="B379" s="13" t="s">
        <v>176</v>
      </c>
      <c r="C379" s="13" t="n">
        <v>0</v>
      </c>
      <c r="D379" s="13" t="n">
        <v>0</v>
      </c>
      <c r="E379" s="13" t="n">
        <v>0</v>
      </c>
      <c r="F379" s="13" t="n">
        <v>0</v>
      </c>
      <c r="G379" s="17" t="n">
        <v>0</v>
      </c>
      <c r="H379" s="13" t="n">
        <v>1</v>
      </c>
      <c r="I379" s="13" t="n">
        <v>0</v>
      </c>
      <c r="J379" s="13" t="n">
        <v>0</v>
      </c>
      <c r="K379" s="13" t="n">
        <v>0</v>
      </c>
      <c r="L379" s="17" t="n">
        <v>0</v>
      </c>
      <c r="M379" s="18" t="n">
        <f aca="false">IF(H379=0,"",I379/H379)</f>
        <v>0</v>
      </c>
    </row>
    <row r="380" customFormat="false" ht="15" hidden="false" customHeight="false" outlineLevel="0" collapsed="false">
      <c r="A380" s="13" t="s">
        <v>370</v>
      </c>
      <c r="B380" s="13" t="s">
        <v>176</v>
      </c>
      <c r="C380" s="13" t="n">
        <v>0</v>
      </c>
      <c r="D380" s="13" t="n">
        <v>0</v>
      </c>
      <c r="E380" s="13" t="n">
        <v>0</v>
      </c>
      <c r="F380" s="13" t="n">
        <v>0</v>
      </c>
      <c r="G380" s="17" t="n">
        <v>0</v>
      </c>
      <c r="H380" s="13" t="n">
        <v>1</v>
      </c>
      <c r="I380" s="13" t="n">
        <v>0</v>
      </c>
      <c r="J380" s="13" t="n">
        <v>0</v>
      </c>
      <c r="K380" s="13" t="n">
        <v>0</v>
      </c>
      <c r="L380" s="17" t="n">
        <v>0</v>
      </c>
      <c r="M380" s="18" t="n">
        <f aca="false">IF(H380=0,"",I380/H380)</f>
        <v>0</v>
      </c>
    </row>
    <row r="381" customFormat="false" ht="15" hidden="false" customHeight="false" outlineLevel="0" collapsed="false">
      <c r="A381" s="13" t="s">
        <v>370</v>
      </c>
      <c r="B381" s="13" t="s">
        <v>176</v>
      </c>
      <c r="C381" s="13" t="n">
        <v>0</v>
      </c>
      <c r="D381" s="13" t="n">
        <v>0</v>
      </c>
      <c r="E381" s="13" t="n">
        <v>0</v>
      </c>
      <c r="F381" s="13" t="n">
        <v>0</v>
      </c>
      <c r="G381" s="17" t="n">
        <v>0</v>
      </c>
      <c r="H381" s="13" t="n">
        <v>1</v>
      </c>
      <c r="I381" s="13" t="n">
        <v>0</v>
      </c>
      <c r="J381" s="13" t="n">
        <v>0</v>
      </c>
      <c r="K381" s="13" t="n">
        <v>0</v>
      </c>
      <c r="L381" s="17" t="n">
        <v>0</v>
      </c>
      <c r="M381" s="18" t="n">
        <f aca="false">IF(H381=0,"",I381/H381)</f>
        <v>0</v>
      </c>
    </row>
    <row r="382" customFormat="false" ht="15" hidden="false" customHeight="false" outlineLevel="0" collapsed="false">
      <c r="A382" s="13" t="s">
        <v>371</v>
      </c>
      <c r="B382" s="13" t="s">
        <v>176</v>
      </c>
      <c r="C382" s="13" t="n">
        <v>0</v>
      </c>
      <c r="D382" s="13" t="n">
        <v>0</v>
      </c>
      <c r="E382" s="13" t="n">
        <v>0</v>
      </c>
      <c r="F382" s="13" t="n">
        <v>0</v>
      </c>
      <c r="G382" s="17" t="n">
        <v>0</v>
      </c>
      <c r="H382" s="13" t="n">
        <v>1</v>
      </c>
      <c r="I382" s="13" t="n">
        <v>0</v>
      </c>
      <c r="J382" s="13" t="n">
        <v>0</v>
      </c>
      <c r="K382" s="13" t="n">
        <v>0</v>
      </c>
      <c r="L382" s="17" t="n">
        <v>0</v>
      </c>
      <c r="M382" s="18" t="n">
        <f aca="false">IF(H382=0,"",I382/H382)</f>
        <v>0</v>
      </c>
    </row>
    <row r="383" customFormat="false" ht="15" hidden="false" customHeight="false" outlineLevel="0" collapsed="false">
      <c r="A383" s="13" t="s">
        <v>372</v>
      </c>
      <c r="B383" s="13" t="s">
        <v>176</v>
      </c>
      <c r="C383" s="13" t="n">
        <v>0</v>
      </c>
      <c r="D383" s="13" t="n">
        <v>0</v>
      </c>
      <c r="E383" s="13" t="n">
        <v>0</v>
      </c>
      <c r="F383" s="13" t="n">
        <v>0</v>
      </c>
      <c r="G383" s="17" t="n">
        <v>0</v>
      </c>
      <c r="H383" s="13" t="n">
        <v>1</v>
      </c>
      <c r="I383" s="13" t="n">
        <v>0</v>
      </c>
      <c r="J383" s="13" t="n">
        <v>0</v>
      </c>
      <c r="K383" s="13" t="n">
        <v>0</v>
      </c>
      <c r="L383" s="17" t="n">
        <v>0</v>
      </c>
      <c r="M383" s="18" t="n">
        <f aca="false">IF(H383=0,"",I383/H383)</f>
        <v>0</v>
      </c>
    </row>
    <row r="384" customFormat="false" ht="15" hidden="false" customHeight="false" outlineLevel="0" collapsed="false">
      <c r="A384" s="13" t="s">
        <v>145</v>
      </c>
      <c r="B384" s="13" t="s">
        <v>170</v>
      </c>
      <c r="C384" s="13" t="n">
        <v>0</v>
      </c>
      <c r="D384" s="13" t="n">
        <v>0</v>
      </c>
      <c r="E384" s="13" t="n">
        <v>0</v>
      </c>
      <c r="F384" s="13" t="n">
        <v>0</v>
      </c>
      <c r="G384" s="17" t="n">
        <v>0</v>
      </c>
      <c r="H384" s="13" t="n">
        <v>7</v>
      </c>
      <c r="I384" s="13" t="n">
        <v>7</v>
      </c>
      <c r="J384" s="13" t="n">
        <v>0</v>
      </c>
      <c r="K384" s="13" t="n">
        <v>0</v>
      </c>
      <c r="L384" s="17" t="n">
        <v>0</v>
      </c>
      <c r="M384" s="18" t="n">
        <f aca="false">IF(H384=0,"",I384/H384)</f>
        <v>1</v>
      </c>
    </row>
    <row r="385" customFormat="false" ht="15" hidden="false" customHeight="false" outlineLevel="0" collapsed="false">
      <c r="A385" s="13" t="s">
        <v>145</v>
      </c>
      <c r="B385" s="13" t="s">
        <v>172</v>
      </c>
      <c r="C385" s="13" t="n">
        <v>0</v>
      </c>
      <c r="D385" s="13" t="n">
        <v>0</v>
      </c>
      <c r="E385" s="13" t="n">
        <v>0</v>
      </c>
      <c r="F385" s="13" t="n">
        <v>0</v>
      </c>
      <c r="G385" s="17" t="n">
        <v>0</v>
      </c>
      <c r="H385" s="13" t="n">
        <v>8</v>
      </c>
      <c r="I385" s="13" t="n">
        <v>2</v>
      </c>
      <c r="J385" s="13" t="n">
        <v>5</v>
      </c>
      <c r="K385" s="13" t="n">
        <v>0</v>
      </c>
      <c r="L385" s="17" t="n">
        <v>0.0092308</v>
      </c>
      <c r="M385" s="18" t="n">
        <f aca="false">IF(H385=0,"",I385/H385)</f>
        <v>0.25</v>
      </c>
    </row>
    <row r="386" customFormat="false" ht="15" hidden="false" customHeight="false" outlineLevel="0" collapsed="false">
      <c r="A386" s="13" t="s">
        <v>145</v>
      </c>
      <c r="B386" s="13" t="s">
        <v>173</v>
      </c>
      <c r="C386" s="13" t="n">
        <v>0</v>
      </c>
      <c r="D386" s="13" t="n">
        <v>0</v>
      </c>
      <c r="E386" s="13" t="n">
        <v>0</v>
      </c>
      <c r="F386" s="13" t="n">
        <v>0</v>
      </c>
      <c r="G386" s="17" t="n">
        <v>0</v>
      </c>
      <c r="H386" s="13" t="n">
        <v>10</v>
      </c>
      <c r="I386" s="13" t="n">
        <v>6</v>
      </c>
      <c r="J386" s="13" t="n">
        <v>4</v>
      </c>
      <c r="K386" s="13" t="n">
        <v>0</v>
      </c>
      <c r="L386" s="17" t="n">
        <v>0.0155192</v>
      </c>
      <c r="M386" s="18" t="n">
        <f aca="false">IF(H386=0,"",I386/H386)</f>
        <v>0.6</v>
      </c>
    </row>
    <row r="387" customFormat="false" ht="15" hidden="false" customHeight="false" outlineLevel="0" collapsed="false">
      <c r="A387" s="13" t="s">
        <v>145</v>
      </c>
      <c r="B387" s="13" t="s">
        <v>175</v>
      </c>
      <c r="C387" s="13" t="n">
        <v>0</v>
      </c>
      <c r="D387" s="13" t="n">
        <v>0</v>
      </c>
      <c r="E387" s="13" t="n">
        <v>0</v>
      </c>
      <c r="F387" s="13" t="n">
        <v>0</v>
      </c>
      <c r="G387" s="17" t="n">
        <v>0</v>
      </c>
      <c r="H387" s="13" t="n">
        <v>3</v>
      </c>
      <c r="I387" s="13" t="n">
        <v>0</v>
      </c>
      <c r="J387" s="13" t="n">
        <v>0</v>
      </c>
      <c r="K387" s="13" t="n">
        <v>3</v>
      </c>
      <c r="L387" s="17" t="n">
        <v>0</v>
      </c>
      <c r="M387" s="18" t="n">
        <f aca="false">IF(H387=0,"",I387/H387)</f>
        <v>0</v>
      </c>
    </row>
    <row r="388" customFormat="false" ht="15" hidden="false" customHeight="false" outlineLevel="0" collapsed="false">
      <c r="A388" s="13" t="s">
        <v>373</v>
      </c>
      <c r="B388" s="13" t="s">
        <v>176</v>
      </c>
      <c r="C388" s="13" t="n">
        <v>0</v>
      </c>
      <c r="D388" s="13" t="n">
        <v>0</v>
      </c>
      <c r="E388" s="13" t="n">
        <v>0</v>
      </c>
      <c r="F388" s="13" t="n">
        <v>0</v>
      </c>
      <c r="G388" s="17" t="n">
        <v>0</v>
      </c>
      <c r="H388" s="13" t="n">
        <v>1</v>
      </c>
      <c r="I388" s="13" t="n">
        <v>0</v>
      </c>
      <c r="J388" s="13" t="n">
        <v>0</v>
      </c>
      <c r="K388" s="13" t="n">
        <v>0</v>
      </c>
      <c r="L388" s="17" t="n">
        <v>0</v>
      </c>
      <c r="M388" s="18" t="n">
        <f aca="false">IF(H388=0,"",I388/H388)</f>
        <v>0</v>
      </c>
    </row>
    <row r="389" customFormat="false" ht="15" hidden="false" customHeight="false" outlineLevel="0" collapsed="false">
      <c r="A389" s="13" t="s">
        <v>107</v>
      </c>
      <c r="B389" s="13" t="s">
        <v>169</v>
      </c>
      <c r="C389" s="13" t="n">
        <v>0</v>
      </c>
      <c r="D389" s="13" t="n">
        <v>0</v>
      </c>
      <c r="E389" s="13" t="n">
        <v>0</v>
      </c>
      <c r="F389" s="13" t="n">
        <v>0</v>
      </c>
      <c r="G389" s="17" t="n">
        <v>0</v>
      </c>
      <c r="H389" s="13" t="n">
        <v>5</v>
      </c>
      <c r="I389" s="13" t="n">
        <v>0</v>
      </c>
      <c r="J389" s="13" t="n">
        <v>0</v>
      </c>
      <c r="K389" s="13" t="n">
        <v>10</v>
      </c>
      <c r="L389" s="17" t="n">
        <v>0</v>
      </c>
      <c r="M389" s="18" t="n">
        <f aca="false">IF(H389=0,"",I389/H389)</f>
        <v>0</v>
      </c>
    </row>
    <row r="390" customFormat="false" ht="15" hidden="false" customHeight="false" outlineLevel="0" collapsed="false">
      <c r="A390" s="13" t="s">
        <v>107</v>
      </c>
      <c r="B390" s="13" t="s">
        <v>170</v>
      </c>
      <c r="C390" s="13" t="n">
        <v>0</v>
      </c>
      <c r="D390" s="13" t="n">
        <v>0</v>
      </c>
      <c r="E390" s="13" t="n">
        <v>0</v>
      </c>
      <c r="F390" s="13" t="n">
        <v>0</v>
      </c>
      <c r="G390" s="17" t="n">
        <v>0</v>
      </c>
      <c r="H390" s="13" t="n">
        <v>5</v>
      </c>
      <c r="I390" s="13" t="n">
        <v>0</v>
      </c>
      <c r="J390" s="13" t="n">
        <v>5</v>
      </c>
      <c r="K390" s="13" t="n">
        <v>0</v>
      </c>
      <c r="L390" s="17" t="n">
        <v>0</v>
      </c>
      <c r="M390" s="18" t="n">
        <f aca="false">IF(H390=0,"",I390/H390)</f>
        <v>0</v>
      </c>
    </row>
    <row r="391" customFormat="false" ht="15" hidden="false" customHeight="false" outlineLevel="0" collapsed="false">
      <c r="A391" s="13" t="s">
        <v>107</v>
      </c>
      <c r="B391" s="13" t="s">
        <v>172</v>
      </c>
      <c r="C391" s="13" t="n">
        <v>0</v>
      </c>
      <c r="D391" s="13" t="n">
        <v>0</v>
      </c>
      <c r="E391" s="13" t="n">
        <v>0</v>
      </c>
      <c r="F391" s="13" t="n">
        <v>0</v>
      </c>
      <c r="G391" s="17" t="n">
        <v>0</v>
      </c>
      <c r="H391" s="13" t="n">
        <v>29</v>
      </c>
      <c r="I391" s="13" t="n">
        <v>4</v>
      </c>
      <c r="J391" s="13" t="n">
        <v>25</v>
      </c>
      <c r="K391" s="13" t="n">
        <v>0</v>
      </c>
      <c r="L391" s="17" t="n">
        <v>0.0286414666666667</v>
      </c>
      <c r="M391" s="18" t="n">
        <f aca="false">IF(H391=0,"",I391/H391)</f>
        <v>0.137931034482759</v>
      </c>
    </row>
    <row r="392" customFormat="false" ht="15" hidden="false" customHeight="false" outlineLevel="0" collapsed="false">
      <c r="A392" s="13" t="s">
        <v>107</v>
      </c>
      <c r="B392" s="13" t="s">
        <v>173</v>
      </c>
      <c r="C392" s="13" t="n">
        <v>0</v>
      </c>
      <c r="D392" s="13" t="n">
        <v>0</v>
      </c>
      <c r="E392" s="13" t="n">
        <v>0</v>
      </c>
      <c r="F392" s="13" t="n">
        <v>0</v>
      </c>
      <c r="G392" s="17" t="n">
        <v>0</v>
      </c>
      <c r="H392" s="13" t="n">
        <v>3</v>
      </c>
      <c r="I392" s="13" t="n">
        <v>0</v>
      </c>
      <c r="J392" s="13" t="n">
        <v>3</v>
      </c>
      <c r="K392" s="13" t="n">
        <v>0</v>
      </c>
      <c r="L392" s="17" t="n">
        <v>0.003382</v>
      </c>
      <c r="M392" s="18" t="n">
        <f aca="false">IF(H392=0,"",I392/H392)</f>
        <v>0</v>
      </c>
    </row>
    <row r="393" customFormat="false" ht="15" hidden="false" customHeight="false" outlineLevel="0" collapsed="false">
      <c r="A393" s="13" t="s">
        <v>107</v>
      </c>
      <c r="B393" s="13" t="s">
        <v>175</v>
      </c>
      <c r="C393" s="13" t="n">
        <v>0</v>
      </c>
      <c r="D393" s="13" t="n">
        <v>0</v>
      </c>
      <c r="E393" s="13" t="n">
        <v>0</v>
      </c>
      <c r="F393" s="13" t="n">
        <v>0</v>
      </c>
      <c r="G393" s="17" t="n">
        <v>0</v>
      </c>
      <c r="H393" s="13" t="n">
        <v>22</v>
      </c>
      <c r="I393" s="13" t="n">
        <v>0</v>
      </c>
      <c r="J393" s="13" t="n">
        <v>0</v>
      </c>
      <c r="K393" s="13" t="n">
        <v>35</v>
      </c>
      <c r="L393" s="17" t="n">
        <v>0</v>
      </c>
      <c r="M393" s="18" t="n">
        <f aca="false">IF(H393=0,"",I393/H393)</f>
        <v>0</v>
      </c>
    </row>
    <row r="394" customFormat="false" ht="15" hidden="false" customHeight="false" outlineLevel="0" collapsed="false">
      <c r="A394" s="13" t="s">
        <v>107</v>
      </c>
      <c r="B394" s="13" t="s">
        <v>176</v>
      </c>
      <c r="C394" s="13" t="n">
        <v>0</v>
      </c>
      <c r="D394" s="13" t="n">
        <v>0</v>
      </c>
      <c r="E394" s="13" t="n">
        <v>0</v>
      </c>
      <c r="F394" s="13" t="n">
        <v>0</v>
      </c>
      <c r="G394" s="17" t="n">
        <v>0</v>
      </c>
      <c r="H394" s="13" t="n">
        <v>24</v>
      </c>
      <c r="I394" s="13" t="n">
        <v>0</v>
      </c>
      <c r="J394" s="13" t="n">
        <v>0</v>
      </c>
      <c r="K394" s="13" t="n">
        <v>0</v>
      </c>
      <c r="L394" s="17" t="n">
        <v>0</v>
      </c>
      <c r="M394" s="18" t="n">
        <f aca="false">IF(H394=0,"",I394/H394)</f>
        <v>0</v>
      </c>
    </row>
    <row r="395" customFormat="false" ht="15" hidden="false" customHeight="false" outlineLevel="0" collapsed="false">
      <c r="A395" s="13" t="s">
        <v>374</v>
      </c>
      <c r="B395" s="13" t="s">
        <v>176</v>
      </c>
      <c r="C395" s="13" t="n">
        <v>0</v>
      </c>
      <c r="D395" s="13" t="n">
        <v>0</v>
      </c>
      <c r="E395" s="13" t="n">
        <v>0</v>
      </c>
      <c r="F395" s="13" t="n">
        <v>0</v>
      </c>
      <c r="G395" s="17" t="n">
        <v>0</v>
      </c>
      <c r="H395" s="13" t="n">
        <v>1</v>
      </c>
      <c r="I395" s="13" t="n">
        <v>0</v>
      </c>
      <c r="J395" s="13" t="n">
        <v>0</v>
      </c>
      <c r="K395" s="13" t="n">
        <v>0</v>
      </c>
      <c r="L395" s="17" t="n">
        <v>0</v>
      </c>
      <c r="M395" s="18" t="n">
        <f aca="false">IF(H395=0,"",I395/H395)</f>
        <v>0</v>
      </c>
    </row>
    <row r="396" customFormat="false" ht="15" hidden="false" customHeight="false" outlineLevel="0" collapsed="false">
      <c r="A396" s="13" t="s">
        <v>375</v>
      </c>
      <c r="B396" s="13" t="s">
        <v>176</v>
      </c>
      <c r="C396" s="13" t="n">
        <v>0</v>
      </c>
      <c r="D396" s="13" t="n">
        <v>0</v>
      </c>
      <c r="E396" s="13" t="n">
        <v>0</v>
      </c>
      <c r="F396" s="13" t="n">
        <v>0</v>
      </c>
      <c r="G396" s="17" t="n">
        <v>0</v>
      </c>
      <c r="H396" s="13" t="n">
        <v>1</v>
      </c>
      <c r="I396" s="13" t="n">
        <v>0</v>
      </c>
      <c r="J396" s="13" t="n">
        <v>0</v>
      </c>
      <c r="K396" s="13" t="n">
        <v>0</v>
      </c>
      <c r="L396" s="17" t="n">
        <v>0</v>
      </c>
      <c r="M396" s="18" t="n">
        <f aca="false">IF(H396=0,"",I396/H396)</f>
        <v>0</v>
      </c>
    </row>
    <row r="397" customFormat="false" ht="15" hidden="false" customHeight="false" outlineLevel="0" collapsed="false">
      <c r="A397" s="13" t="s">
        <v>376</v>
      </c>
      <c r="B397" s="13" t="s">
        <v>176</v>
      </c>
      <c r="C397" s="13" t="n">
        <v>0</v>
      </c>
      <c r="D397" s="13" t="n">
        <v>0</v>
      </c>
      <c r="E397" s="13" t="n">
        <v>0</v>
      </c>
      <c r="F397" s="13" t="n">
        <v>0</v>
      </c>
      <c r="G397" s="17" t="n">
        <v>0</v>
      </c>
      <c r="H397" s="13" t="n">
        <v>1</v>
      </c>
      <c r="I397" s="13" t="n">
        <v>0</v>
      </c>
      <c r="J397" s="13" t="n">
        <v>0</v>
      </c>
      <c r="K397" s="13" t="n">
        <v>0</v>
      </c>
      <c r="L397" s="17" t="n">
        <v>0</v>
      </c>
      <c r="M397" s="18" t="n">
        <f aca="false">IF(H397=0,"",I397/H397)</f>
        <v>0</v>
      </c>
    </row>
    <row r="398" customFormat="false" ht="15" hidden="false" customHeight="false" outlineLevel="0" collapsed="false">
      <c r="A398" s="13" t="s">
        <v>377</v>
      </c>
      <c r="B398" s="13" t="s">
        <v>176</v>
      </c>
      <c r="C398" s="13" t="n">
        <v>0</v>
      </c>
      <c r="D398" s="13" t="n">
        <v>0</v>
      </c>
      <c r="E398" s="13" t="n">
        <v>0</v>
      </c>
      <c r="F398" s="13" t="n">
        <v>0</v>
      </c>
      <c r="G398" s="17" t="n">
        <v>0</v>
      </c>
      <c r="H398" s="13" t="n">
        <v>1</v>
      </c>
      <c r="I398" s="13" t="n">
        <v>0</v>
      </c>
      <c r="J398" s="13" t="n">
        <v>0</v>
      </c>
      <c r="K398" s="13" t="n">
        <v>0</v>
      </c>
      <c r="L398" s="17" t="n">
        <v>0</v>
      </c>
      <c r="M398" s="18" t="n">
        <f aca="false">IF(H398=0,"",I398/H398)</f>
        <v>0</v>
      </c>
    </row>
    <row r="399" customFormat="false" ht="15" hidden="false" customHeight="false" outlineLevel="0" collapsed="false">
      <c r="A399" s="13" t="s">
        <v>378</v>
      </c>
      <c r="B399" s="13" t="s">
        <v>176</v>
      </c>
      <c r="C399" s="13" t="n">
        <v>0</v>
      </c>
      <c r="D399" s="13" t="n">
        <v>0</v>
      </c>
      <c r="E399" s="13" t="n">
        <v>0</v>
      </c>
      <c r="F399" s="13" t="n">
        <v>0</v>
      </c>
      <c r="G399" s="17" t="n">
        <v>0</v>
      </c>
      <c r="H399" s="13" t="n">
        <v>1</v>
      </c>
      <c r="I399" s="13" t="n">
        <v>0</v>
      </c>
      <c r="J399" s="13" t="n">
        <v>0</v>
      </c>
      <c r="K399" s="13" t="n">
        <v>0</v>
      </c>
      <c r="L399" s="17" t="n">
        <v>0</v>
      </c>
      <c r="M399" s="18" t="n">
        <f aca="false">IF(H399=0,"",I399/H399)</f>
        <v>0</v>
      </c>
    </row>
    <row r="400" customFormat="false" ht="15" hidden="false" customHeight="false" outlineLevel="0" collapsed="false">
      <c r="A400" s="13" t="s">
        <v>379</v>
      </c>
      <c r="B400" s="13" t="s">
        <v>176</v>
      </c>
      <c r="C400" s="13" t="n">
        <v>0</v>
      </c>
      <c r="D400" s="13" t="n">
        <v>0</v>
      </c>
      <c r="E400" s="13" t="n">
        <v>0</v>
      </c>
      <c r="F400" s="13" t="n">
        <v>0</v>
      </c>
      <c r="G400" s="17" t="n">
        <v>0</v>
      </c>
      <c r="H400" s="13" t="n">
        <v>1</v>
      </c>
      <c r="I400" s="13" t="n">
        <v>0</v>
      </c>
      <c r="J400" s="13" t="n">
        <v>0</v>
      </c>
      <c r="K400" s="13" t="n">
        <v>0</v>
      </c>
      <c r="L400" s="17" t="n">
        <v>0</v>
      </c>
      <c r="M400" s="18" t="n">
        <f aca="false">IF(H400=0,"",I400/H400)</f>
        <v>0</v>
      </c>
    </row>
    <row r="401" customFormat="false" ht="15" hidden="false" customHeight="false" outlineLevel="0" collapsed="false">
      <c r="A401" s="13" t="s">
        <v>123</v>
      </c>
      <c r="B401" s="13" t="s">
        <v>169</v>
      </c>
      <c r="C401" s="13" t="n">
        <v>0</v>
      </c>
      <c r="D401" s="13" t="n">
        <v>0</v>
      </c>
      <c r="E401" s="13" t="n">
        <v>0</v>
      </c>
      <c r="F401" s="13" t="n">
        <v>0</v>
      </c>
      <c r="G401" s="17" t="n">
        <v>0</v>
      </c>
      <c r="H401" s="13" t="n">
        <v>0</v>
      </c>
      <c r="I401" s="13" t="n">
        <v>0</v>
      </c>
      <c r="J401" s="13" t="n">
        <v>39</v>
      </c>
      <c r="K401" s="13" t="n">
        <v>0</v>
      </c>
      <c r="L401" s="17" t="n">
        <v>0</v>
      </c>
      <c r="M401" s="18" t="str">
        <f aca="false">IF(H401=0,"",I401/H401)</f>
        <v/>
      </c>
    </row>
    <row r="402" customFormat="false" ht="15" hidden="false" customHeight="false" outlineLevel="0" collapsed="false">
      <c r="A402" s="13" t="s">
        <v>123</v>
      </c>
      <c r="B402" s="13" t="s">
        <v>170</v>
      </c>
      <c r="C402" s="13" t="n">
        <v>0</v>
      </c>
      <c r="D402" s="13" t="n">
        <v>0</v>
      </c>
      <c r="E402" s="13" t="n">
        <v>0</v>
      </c>
      <c r="F402" s="13" t="n">
        <v>0</v>
      </c>
      <c r="G402" s="17" t="n">
        <v>0</v>
      </c>
      <c r="H402" s="13" t="n">
        <v>103</v>
      </c>
      <c r="I402" s="13" t="n">
        <v>65</v>
      </c>
      <c r="J402" s="13" t="n">
        <v>0</v>
      </c>
      <c r="K402" s="13" t="n">
        <v>0</v>
      </c>
      <c r="L402" s="17" t="n">
        <v>0</v>
      </c>
      <c r="M402" s="18" t="n">
        <f aca="false">IF(H402=0,"",I402/H402)</f>
        <v>0.631067961165049</v>
      </c>
    </row>
    <row r="403" customFormat="false" ht="15" hidden="false" customHeight="false" outlineLevel="0" collapsed="false">
      <c r="A403" s="13" t="s">
        <v>123</v>
      </c>
      <c r="B403" s="13" t="s">
        <v>171</v>
      </c>
      <c r="C403" s="13" t="n">
        <v>0</v>
      </c>
      <c r="D403" s="13" t="n">
        <v>0</v>
      </c>
      <c r="E403" s="13" t="n">
        <v>0</v>
      </c>
      <c r="F403" s="13" t="n">
        <v>0</v>
      </c>
      <c r="G403" s="17" t="n">
        <v>0</v>
      </c>
      <c r="H403" s="13" t="n">
        <v>2</v>
      </c>
      <c r="I403" s="13" t="n">
        <v>0</v>
      </c>
      <c r="J403" s="13" t="n">
        <v>2</v>
      </c>
      <c r="K403" s="13" t="n">
        <v>0</v>
      </c>
      <c r="L403" s="17" t="n">
        <v>0.00011163</v>
      </c>
      <c r="M403" s="18" t="n">
        <f aca="false">IF(H403=0,"",I403/H403)</f>
        <v>0</v>
      </c>
    </row>
    <row r="404" customFormat="false" ht="15" hidden="false" customHeight="false" outlineLevel="0" collapsed="false">
      <c r="A404" s="13" t="s">
        <v>123</v>
      </c>
      <c r="B404" s="13" t="s">
        <v>172</v>
      </c>
      <c r="C404" s="13" t="n">
        <v>0</v>
      </c>
      <c r="D404" s="13" t="n">
        <v>0</v>
      </c>
      <c r="E404" s="13" t="n">
        <v>0</v>
      </c>
      <c r="F404" s="13" t="n">
        <v>0</v>
      </c>
      <c r="G404" s="17" t="n">
        <v>0</v>
      </c>
      <c r="H404" s="13" t="n">
        <v>138</v>
      </c>
      <c r="I404" s="13" t="n">
        <v>7</v>
      </c>
      <c r="J404" s="13" t="n">
        <v>131</v>
      </c>
      <c r="K404" s="13" t="n">
        <v>0</v>
      </c>
      <c r="L404" s="17" t="n">
        <v>0.0920072666666667</v>
      </c>
      <c r="M404" s="18" t="n">
        <f aca="false">IF(H404=0,"",I404/H404)</f>
        <v>0.0507246376811594</v>
      </c>
    </row>
    <row r="405" customFormat="false" ht="15" hidden="false" customHeight="false" outlineLevel="0" collapsed="false">
      <c r="A405" s="13" t="s">
        <v>123</v>
      </c>
      <c r="B405" s="13" t="s">
        <v>173</v>
      </c>
      <c r="C405" s="13" t="n">
        <v>0</v>
      </c>
      <c r="D405" s="13" t="n">
        <v>0</v>
      </c>
      <c r="E405" s="13" t="n">
        <v>0</v>
      </c>
      <c r="F405" s="13" t="n">
        <v>0</v>
      </c>
      <c r="G405" s="17" t="n">
        <v>0</v>
      </c>
      <c r="H405" s="13" t="n">
        <v>78</v>
      </c>
      <c r="I405" s="13" t="n">
        <v>63</v>
      </c>
      <c r="J405" s="13" t="n">
        <v>15</v>
      </c>
      <c r="K405" s="13" t="n">
        <v>0</v>
      </c>
      <c r="L405" s="17" t="n">
        <v>0.2435268</v>
      </c>
      <c r="M405" s="18" t="n">
        <f aca="false">IF(H405=0,"",I405/H405)</f>
        <v>0.807692307692308</v>
      </c>
    </row>
    <row r="406" customFormat="false" ht="15" hidden="false" customHeight="false" outlineLevel="0" collapsed="false">
      <c r="A406" s="13" t="s">
        <v>123</v>
      </c>
      <c r="B406" s="13" t="s">
        <v>175</v>
      </c>
      <c r="C406" s="13" t="n">
        <v>0</v>
      </c>
      <c r="D406" s="13" t="n">
        <v>0</v>
      </c>
      <c r="E406" s="13" t="n">
        <v>0</v>
      </c>
      <c r="F406" s="13" t="n">
        <v>0</v>
      </c>
      <c r="G406" s="17" t="n">
        <v>0</v>
      </c>
      <c r="H406" s="13" t="n">
        <v>10</v>
      </c>
      <c r="I406" s="13" t="n">
        <v>0</v>
      </c>
      <c r="J406" s="13" t="n">
        <v>0</v>
      </c>
      <c r="K406" s="13" t="n">
        <v>10</v>
      </c>
      <c r="L406" s="17" t="n">
        <v>0</v>
      </c>
      <c r="M406" s="18" t="n">
        <f aca="false">IF(H406=0,"",I406/H406)</f>
        <v>0</v>
      </c>
    </row>
    <row r="407" customFormat="false" ht="15" hidden="false" customHeight="false" outlineLevel="0" collapsed="false">
      <c r="A407" s="13" t="s">
        <v>123</v>
      </c>
      <c r="B407" s="13" t="s">
        <v>176</v>
      </c>
      <c r="C407" s="13" t="n">
        <v>0</v>
      </c>
      <c r="D407" s="13" t="n">
        <v>0</v>
      </c>
      <c r="E407" s="13" t="n">
        <v>0</v>
      </c>
      <c r="F407" s="13" t="n">
        <v>0</v>
      </c>
      <c r="G407" s="17" t="n">
        <v>0</v>
      </c>
      <c r="H407" s="13" t="n">
        <v>47</v>
      </c>
      <c r="I407" s="13" t="n">
        <v>0</v>
      </c>
      <c r="J407" s="13" t="n">
        <v>0</v>
      </c>
      <c r="K407" s="13" t="n">
        <v>0</v>
      </c>
      <c r="L407" s="17" t="n">
        <v>0</v>
      </c>
      <c r="M407" s="18" t="n">
        <f aca="false">IF(H407=0,"",I407/H407)</f>
        <v>0</v>
      </c>
    </row>
    <row r="408" customFormat="false" ht="15" hidden="false" customHeight="false" outlineLevel="0" collapsed="false">
      <c r="A408" s="13" t="s">
        <v>380</v>
      </c>
      <c r="B408" s="13" t="s">
        <v>176</v>
      </c>
      <c r="C408" s="13" t="n">
        <v>0</v>
      </c>
      <c r="D408" s="13" t="n">
        <v>0</v>
      </c>
      <c r="E408" s="13" t="n">
        <v>0</v>
      </c>
      <c r="F408" s="13" t="n">
        <v>0</v>
      </c>
      <c r="G408" s="17" t="n">
        <v>0</v>
      </c>
      <c r="H408" s="13" t="n">
        <v>1</v>
      </c>
      <c r="I408" s="13" t="n">
        <v>0</v>
      </c>
      <c r="J408" s="13" t="n">
        <v>0</v>
      </c>
      <c r="K408" s="13" t="n">
        <v>0</v>
      </c>
      <c r="L408" s="17" t="n">
        <v>0</v>
      </c>
      <c r="M408" s="18" t="n">
        <f aca="false">IF(H408=0,"",I408/H408)</f>
        <v>0</v>
      </c>
    </row>
    <row r="409" customFormat="false" ht="15" hidden="false" customHeight="false" outlineLevel="0" collapsed="false">
      <c r="A409" s="13" t="s">
        <v>381</v>
      </c>
      <c r="B409" s="13" t="s">
        <v>176</v>
      </c>
      <c r="C409" s="13" t="n">
        <v>0</v>
      </c>
      <c r="D409" s="13" t="n">
        <v>0</v>
      </c>
      <c r="E409" s="13" t="n">
        <v>0</v>
      </c>
      <c r="F409" s="13" t="n">
        <v>0</v>
      </c>
      <c r="G409" s="17" t="n">
        <v>0</v>
      </c>
      <c r="H409" s="13" t="n">
        <v>1</v>
      </c>
      <c r="I409" s="13" t="n">
        <v>0</v>
      </c>
      <c r="J409" s="13" t="n">
        <v>0</v>
      </c>
      <c r="K409" s="13" t="n">
        <v>0</v>
      </c>
      <c r="L409" s="17" t="n">
        <v>0</v>
      </c>
      <c r="M409" s="18" t="n">
        <f aca="false">IF(H409=0,"",I409/H409)</f>
        <v>0</v>
      </c>
    </row>
    <row r="410" customFormat="false" ht="15" hidden="false" customHeight="false" outlineLevel="0" collapsed="false">
      <c r="A410" s="13" t="s">
        <v>141</v>
      </c>
      <c r="B410" s="13" t="s">
        <v>170</v>
      </c>
      <c r="C410" s="13" t="n">
        <v>0</v>
      </c>
      <c r="D410" s="13" t="n">
        <v>0</v>
      </c>
      <c r="E410" s="13" t="n">
        <v>0</v>
      </c>
      <c r="F410" s="13" t="n">
        <v>0</v>
      </c>
      <c r="G410" s="17" t="n">
        <v>0</v>
      </c>
      <c r="H410" s="13" t="n">
        <v>63</v>
      </c>
      <c r="I410" s="13" t="n">
        <v>62</v>
      </c>
      <c r="J410" s="13" t="n">
        <v>1</v>
      </c>
      <c r="K410" s="13" t="n">
        <v>0</v>
      </c>
      <c r="L410" s="17" t="n">
        <v>0</v>
      </c>
      <c r="M410" s="18" t="n">
        <f aca="false">IF(H410=0,"",I410/H410)</f>
        <v>0.984126984126984</v>
      </c>
    </row>
    <row r="411" customFormat="false" ht="15" hidden="false" customHeight="false" outlineLevel="0" collapsed="false">
      <c r="A411" s="13" t="s">
        <v>141</v>
      </c>
      <c r="B411" s="13" t="s">
        <v>172</v>
      </c>
      <c r="C411" s="13" t="n">
        <v>0</v>
      </c>
      <c r="D411" s="13" t="n">
        <v>0</v>
      </c>
      <c r="E411" s="13" t="n">
        <v>0</v>
      </c>
      <c r="F411" s="13" t="n">
        <v>0</v>
      </c>
      <c r="G411" s="17" t="n">
        <v>0</v>
      </c>
      <c r="H411" s="13" t="n">
        <v>253</v>
      </c>
      <c r="I411" s="13" t="n">
        <v>226</v>
      </c>
      <c r="J411" s="13" t="n">
        <v>25</v>
      </c>
      <c r="K411" s="13" t="n">
        <v>0</v>
      </c>
      <c r="L411" s="17" t="n">
        <v>0.065052</v>
      </c>
      <c r="M411" s="18" t="n">
        <f aca="false">IF(H411=0,"",I411/H411)</f>
        <v>0.893280632411067</v>
      </c>
    </row>
    <row r="412" customFormat="false" ht="15" hidden="false" customHeight="false" outlineLevel="0" collapsed="false">
      <c r="A412" s="13" t="s">
        <v>141</v>
      </c>
      <c r="B412" s="13" t="s">
        <v>173</v>
      </c>
      <c r="C412" s="13" t="n">
        <v>0</v>
      </c>
      <c r="D412" s="13" t="n">
        <v>0</v>
      </c>
      <c r="E412" s="13" t="n">
        <v>0</v>
      </c>
      <c r="F412" s="13" t="n">
        <v>0</v>
      </c>
      <c r="G412" s="17" t="n">
        <v>0</v>
      </c>
      <c r="H412" s="13" t="n">
        <v>66</v>
      </c>
      <c r="I412" s="13" t="n">
        <v>49</v>
      </c>
      <c r="J412" s="13" t="n">
        <v>17</v>
      </c>
      <c r="K412" s="13" t="n">
        <v>0</v>
      </c>
      <c r="L412" s="17" t="n">
        <v>0.1038816</v>
      </c>
      <c r="M412" s="18" t="n">
        <f aca="false">IF(H412=0,"",I412/H412)</f>
        <v>0.742424242424242</v>
      </c>
    </row>
    <row r="413" customFormat="false" ht="15" hidden="false" customHeight="false" outlineLevel="0" collapsed="false">
      <c r="A413" s="13" t="s">
        <v>141</v>
      </c>
      <c r="B413" s="13" t="s">
        <v>175</v>
      </c>
      <c r="C413" s="13" t="n">
        <v>0</v>
      </c>
      <c r="D413" s="13" t="n">
        <v>0</v>
      </c>
      <c r="E413" s="13" t="n">
        <v>0</v>
      </c>
      <c r="F413" s="13" t="n">
        <v>0</v>
      </c>
      <c r="G413" s="17" t="n">
        <v>0</v>
      </c>
      <c r="H413" s="13" t="n">
        <v>8</v>
      </c>
      <c r="I413" s="13" t="n">
        <v>0</v>
      </c>
      <c r="J413" s="13" t="n">
        <v>0</v>
      </c>
      <c r="K413" s="13" t="n">
        <v>22</v>
      </c>
      <c r="L413" s="17" t="n">
        <v>0</v>
      </c>
      <c r="M413" s="18" t="n">
        <f aca="false">IF(H413=0,"",I413/H413)</f>
        <v>0</v>
      </c>
    </row>
    <row r="414" customFormat="false" ht="15" hidden="false" customHeight="false" outlineLevel="0" collapsed="false">
      <c r="A414" s="13" t="s">
        <v>141</v>
      </c>
      <c r="B414" s="13" t="s">
        <v>176</v>
      </c>
      <c r="C414" s="13" t="n">
        <v>0</v>
      </c>
      <c r="D414" s="13" t="n">
        <v>0</v>
      </c>
      <c r="E414" s="13" t="n">
        <v>0</v>
      </c>
      <c r="F414" s="13" t="n">
        <v>0</v>
      </c>
      <c r="G414" s="17" t="n">
        <v>0</v>
      </c>
      <c r="H414" s="13" t="n">
        <v>21</v>
      </c>
      <c r="I414" s="13" t="n">
        <v>0</v>
      </c>
      <c r="J414" s="13" t="n">
        <v>0</v>
      </c>
      <c r="K414" s="13" t="n">
        <v>0</v>
      </c>
      <c r="L414" s="17" t="n">
        <v>0</v>
      </c>
      <c r="M414" s="18" t="n">
        <f aca="false">IF(H414=0,"",I414/H414)</f>
        <v>0</v>
      </c>
    </row>
    <row r="415" customFormat="false" ht="15" hidden="false" customHeight="false" outlineLevel="0" collapsed="false">
      <c r="A415" s="13" t="s">
        <v>382</v>
      </c>
      <c r="B415" s="13" t="s">
        <v>176</v>
      </c>
      <c r="C415" s="13" t="n">
        <v>0</v>
      </c>
      <c r="D415" s="13" t="n">
        <v>0</v>
      </c>
      <c r="E415" s="13" t="n">
        <v>0</v>
      </c>
      <c r="F415" s="13" t="n">
        <v>0</v>
      </c>
      <c r="G415" s="17" t="n">
        <v>0</v>
      </c>
      <c r="H415" s="13" t="n">
        <v>1</v>
      </c>
      <c r="I415" s="13" t="n">
        <v>0</v>
      </c>
      <c r="J415" s="13" t="n">
        <v>0</v>
      </c>
      <c r="K415" s="13" t="n">
        <v>0</v>
      </c>
      <c r="L415" s="17" t="n">
        <v>0</v>
      </c>
      <c r="M415" s="18" t="n">
        <f aca="false">IF(H415=0,"",I415/H415)</f>
        <v>0</v>
      </c>
    </row>
    <row r="416" customFormat="false" ht="15" hidden="false" customHeight="false" outlineLevel="0" collapsed="false">
      <c r="A416" s="13" t="s">
        <v>383</v>
      </c>
      <c r="B416" s="13" t="s">
        <v>176</v>
      </c>
      <c r="C416" s="13" t="n">
        <v>0</v>
      </c>
      <c r="D416" s="13" t="n">
        <v>0</v>
      </c>
      <c r="E416" s="13" t="n">
        <v>0</v>
      </c>
      <c r="F416" s="13" t="n">
        <v>0</v>
      </c>
      <c r="G416" s="17" t="n">
        <v>0</v>
      </c>
      <c r="H416" s="13" t="n">
        <v>1</v>
      </c>
      <c r="I416" s="13" t="n">
        <v>0</v>
      </c>
      <c r="J416" s="13" t="n">
        <v>0</v>
      </c>
      <c r="K416" s="13" t="n">
        <v>0</v>
      </c>
      <c r="L416" s="17" t="n">
        <v>0</v>
      </c>
      <c r="M416" s="18" t="n">
        <f aca="false">IF(H416=0,"",I416/H416)</f>
        <v>0</v>
      </c>
    </row>
    <row r="417" customFormat="false" ht="15" hidden="false" customHeight="false" outlineLevel="0" collapsed="false">
      <c r="A417" s="13" t="s">
        <v>139</v>
      </c>
      <c r="B417" s="13" t="s">
        <v>170</v>
      </c>
      <c r="C417" s="13" t="n">
        <v>0</v>
      </c>
      <c r="D417" s="13" t="n">
        <v>0</v>
      </c>
      <c r="E417" s="13" t="n">
        <v>0</v>
      </c>
      <c r="F417" s="13" t="n">
        <v>0</v>
      </c>
      <c r="G417" s="17" t="n">
        <v>0</v>
      </c>
      <c r="H417" s="13" t="n">
        <v>4</v>
      </c>
      <c r="I417" s="13" t="n">
        <v>4</v>
      </c>
      <c r="J417" s="13" t="n">
        <v>0</v>
      </c>
      <c r="K417" s="13" t="n">
        <v>0</v>
      </c>
      <c r="L417" s="17" t="n">
        <v>0</v>
      </c>
      <c r="M417" s="18" t="n">
        <f aca="false">IF(H417=0,"",I417/H417)</f>
        <v>1</v>
      </c>
    </row>
    <row r="418" customFormat="false" ht="15" hidden="false" customHeight="false" outlineLevel="0" collapsed="false">
      <c r="A418" s="13" t="s">
        <v>139</v>
      </c>
      <c r="B418" s="13" t="s">
        <v>172</v>
      </c>
      <c r="C418" s="13" t="n">
        <v>0</v>
      </c>
      <c r="D418" s="13" t="n">
        <v>0</v>
      </c>
      <c r="E418" s="13" t="n">
        <v>0</v>
      </c>
      <c r="F418" s="13" t="n">
        <v>0</v>
      </c>
      <c r="G418" s="17" t="n">
        <v>0</v>
      </c>
      <c r="H418" s="13" t="n">
        <v>16</v>
      </c>
      <c r="I418" s="13" t="n">
        <v>0</v>
      </c>
      <c r="J418" s="13" t="n">
        <v>16</v>
      </c>
      <c r="K418" s="13" t="n">
        <v>0</v>
      </c>
      <c r="L418" s="17" t="n">
        <v>0.0049688</v>
      </c>
      <c r="M418" s="18" t="n">
        <f aca="false">IF(H418=0,"",I418/H418)</f>
        <v>0</v>
      </c>
    </row>
    <row r="419" customFormat="false" ht="15" hidden="false" customHeight="false" outlineLevel="0" collapsed="false">
      <c r="A419" s="13" t="s">
        <v>139</v>
      </c>
      <c r="B419" s="13" t="s">
        <v>173</v>
      </c>
      <c r="C419" s="13" t="n">
        <v>0</v>
      </c>
      <c r="D419" s="13" t="n">
        <v>0</v>
      </c>
      <c r="E419" s="13" t="n">
        <v>0</v>
      </c>
      <c r="F419" s="13" t="n">
        <v>0</v>
      </c>
      <c r="G419" s="17" t="n">
        <v>0</v>
      </c>
      <c r="H419" s="13" t="n">
        <v>4</v>
      </c>
      <c r="I419" s="13" t="n">
        <v>0</v>
      </c>
      <c r="J419" s="13" t="n">
        <v>4</v>
      </c>
      <c r="K419" s="13" t="n">
        <v>0</v>
      </c>
      <c r="L419" s="17" t="n">
        <v>0</v>
      </c>
      <c r="M419" s="18" t="n">
        <f aca="false">IF(H419=0,"",I419/H419)</f>
        <v>0</v>
      </c>
    </row>
    <row r="420" customFormat="false" ht="15" hidden="false" customHeight="false" outlineLevel="0" collapsed="false">
      <c r="A420" s="13" t="s">
        <v>139</v>
      </c>
      <c r="B420" s="13" t="s">
        <v>174</v>
      </c>
      <c r="C420" s="13" t="n">
        <v>0</v>
      </c>
      <c r="D420" s="13" t="n">
        <v>0</v>
      </c>
      <c r="E420" s="13" t="n">
        <v>0</v>
      </c>
      <c r="F420" s="13" t="n">
        <v>0</v>
      </c>
      <c r="G420" s="17" t="n">
        <v>0</v>
      </c>
      <c r="H420" s="13" t="n">
        <v>10</v>
      </c>
      <c r="I420" s="13" t="n">
        <v>10</v>
      </c>
      <c r="J420" s="13" t="n">
        <v>0</v>
      </c>
      <c r="K420" s="13" t="n">
        <v>0</v>
      </c>
      <c r="L420" s="17" t="n">
        <v>0.00270807</v>
      </c>
      <c r="M420" s="18" t="n">
        <f aca="false">IF(H420=0,"",I420/H420)</f>
        <v>1</v>
      </c>
    </row>
    <row r="421" customFormat="false" ht="15" hidden="false" customHeight="false" outlineLevel="0" collapsed="false">
      <c r="A421" s="13" t="s">
        <v>139</v>
      </c>
      <c r="B421" s="13" t="s">
        <v>175</v>
      </c>
      <c r="C421" s="13" t="n">
        <v>0</v>
      </c>
      <c r="D421" s="13" t="n">
        <v>0</v>
      </c>
      <c r="E421" s="13" t="n">
        <v>0</v>
      </c>
      <c r="F421" s="13" t="n">
        <v>0</v>
      </c>
      <c r="G421" s="17" t="n">
        <v>0</v>
      </c>
      <c r="H421" s="13" t="n">
        <v>11</v>
      </c>
      <c r="I421" s="13" t="n">
        <v>0</v>
      </c>
      <c r="J421" s="13" t="n">
        <v>0</v>
      </c>
      <c r="K421" s="13" t="n">
        <v>11</v>
      </c>
      <c r="L421" s="17" t="n">
        <v>0</v>
      </c>
      <c r="M421" s="18" t="n">
        <f aca="false">IF(H421=0,"",I421/H421)</f>
        <v>0</v>
      </c>
    </row>
    <row r="422" customFormat="false" ht="15" hidden="false" customHeight="false" outlineLevel="0" collapsed="false">
      <c r="A422" s="13" t="s">
        <v>139</v>
      </c>
      <c r="B422" s="13" t="s">
        <v>176</v>
      </c>
      <c r="C422" s="13" t="n">
        <v>0</v>
      </c>
      <c r="D422" s="13" t="n">
        <v>0</v>
      </c>
      <c r="E422" s="13" t="n">
        <v>0</v>
      </c>
      <c r="F422" s="13" t="n">
        <v>0</v>
      </c>
      <c r="G422" s="17" t="n">
        <v>0</v>
      </c>
      <c r="H422" s="13" t="n">
        <v>9</v>
      </c>
      <c r="I422" s="13" t="n">
        <v>0</v>
      </c>
      <c r="J422" s="13" t="n">
        <v>0</v>
      </c>
      <c r="K422" s="13" t="n">
        <v>0</v>
      </c>
      <c r="L422" s="17" t="n">
        <v>0</v>
      </c>
      <c r="M422" s="18" t="n">
        <f aca="false">IF(H422=0,"",I422/H422)</f>
        <v>0</v>
      </c>
    </row>
    <row r="423" customFormat="false" ht="15" hidden="false" customHeight="false" outlineLevel="0" collapsed="false">
      <c r="A423" s="13" t="s">
        <v>384</v>
      </c>
      <c r="B423" s="13" t="s">
        <v>176</v>
      </c>
      <c r="C423" s="13" t="n">
        <v>0</v>
      </c>
      <c r="D423" s="13" t="n">
        <v>0</v>
      </c>
      <c r="E423" s="13" t="n">
        <v>0</v>
      </c>
      <c r="F423" s="13" t="n">
        <v>0</v>
      </c>
      <c r="G423" s="17" t="n">
        <v>0</v>
      </c>
      <c r="H423" s="13" t="n">
        <v>1</v>
      </c>
      <c r="I423" s="13" t="n">
        <v>0</v>
      </c>
      <c r="J423" s="13" t="n">
        <v>0</v>
      </c>
      <c r="K423" s="13" t="n">
        <v>0</v>
      </c>
      <c r="L423" s="17" t="n">
        <v>0</v>
      </c>
      <c r="M423" s="18" t="n">
        <f aca="false">IF(H423=0,"",I423/H423)</f>
        <v>0</v>
      </c>
    </row>
    <row r="424" customFormat="false" ht="15" hidden="false" customHeight="false" outlineLevel="0" collapsed="false">
      <c r="A424" s="13" t="s">
        <v>385</v>
      </c>
      <c r="B424" s="13" t="s">
        <v>176</v>
      </c>
      <c r="C424" s="13" t="n">
        <v>0</v>
      </c>
      <c r="D424" s="13" t="n">
        <v>0</v>
      </c>
      <c r="E424" s="13" t="n">
        <v>0</v>
      </c>
      <c r="F424" s="13" t="n">
        <v>0</v>
      </c>
      <c r="G424" s="17" t="n">
        <v>0</v>
      </c>
      <c r="H424" s="13" t="n">
        <v>1</v>
      </c>
      <c r="I424" s="13" t="n">
        <v>0</v>
      </c>
      <c r="J424" s="13" t="n">
        <v>0</v>
      </c>
      <c r="K424" s="13" t="n">
        <v>0</v>
      </c>
      <c r="L424" s="17" t="n">
        <v>0</v>
      </c>
      <c r="M424" s="18" t="n">
        <f aca="false">IF(H424=0,"",I424/H424)</f>
        <v>0</v>
      </c>
    </row>
    <row r="425" customFormat="false" ht="15" hidden="false" customHeight="false" outlineLevel="0" collapsed="false">
      <c r="A425" s="13" t="s">
        <v>75</v>
      </c>
      <c r="B425" s="13" t="s">
        <v>170</v>
      </c>
      <c r="C425" s="13" t="n">
        <v>0</v>
      </c>
      <c r="D425" s="13" t="n">
        <v>0</v>
      </c>
      <c r="E425" s="13" t="n">
        <v>0</v>
      </c>
      <c r="F425" s="13" t="n">
        <v>0</v>
      </c>
      <c r="G425" s="17" t="n">
        <v>0</v>
      </c>
      <c r="H425" s="13" t="n">
        <v>83</v>
      </c>
      <c r="I425" s="13" t="n">
        <v>83</v>
      </c>
      <c r="J425" s="13" t="n">
        <v>0</v>
      </c>
      <c r="K425" s="13" t="n">
        <v>0</v>
      </c>
      <c r="L425" s="17" t="n">
        <v>0</v>
      </c>
      <c r="M425" s="18" t="n">
        <f aca="false">IF(H425=0,"",I425/H425)</f>
        <v>1</v>
      </c>
    </row>
    <row r="426" customFormat="false" ht="15" hidden="false" customHeight="false" outlineLevel="0" collapsed="false">
      <c r="A426" s="13" t="s">
        <v>75</v>
      </c>
      <c r="B426" s="13" t="s">
        <v>172</v>
      </c>
      <c r="C426" s="13" t="n">
        <v>0</v>
      </c>
      <c r="D426" s="13" t="n">
        <v>0</v>
      </c>
      <c r="E426" s="13" t="n">
        <v>0</v>
      </c>
      <c r="F426" s="13" t="n">
        <v>0</v>
      </c>
      <c r="G426" s="17" t="n">
        <v>0</v>
      </c>
      <c r="H426" s="13" t="n">
        <v>663</v>
      </c>
      <c r="I426" s="13" t="n">
        <v>429</v>
      </c>
      <c r="J426" s="13" t="n">
        <v>215</v>
      </c>
      <c r="K426" s="13" t="n">
        <v>0</v>
      </c>
      <c r="L426" s="17" t="n">
        <v>0.2451376</v>
      </c>
      <c r="M426" s="18" t="n">
        <f aca="false">IF(H426=0,"",I426/H426)</f>
        <v>0.647058823529412</v>
      </c>
    </row>
    <row r="427" customFormat="false" ht="15" hidden="false" customHeight="false" outlineLevel="0" collapsed="false">
      <c r="A427" s="13" t="s">
        <v>75</v>
      </c>
      <c r="B427" s="13" t="s">
        <v>173</v>
      </c>
      <c r="C427" s="13" t="n">
        <v>0</v>
      </c>
      <c r="D427" s="13" t="n">
        <v>0</v>
      </c>
      <c r="E427" s="13" t="n">
        <v>0</v>
      </c>
      <c r="F427" s="13" t="n">
        <v>0</v>
      </c>
      <c r="G427" s="17" t="n">
        <v>0</v>
      </c>
      <c r="H427" s="13" t="n">
        <v>92</v>
      </c>
      <c r="I427" s="13" t="n">
        <v>73</v>
      </c>
      <c r="J427" s="13" t="n">
        <v>19</v>
      </c>
      <c r="K427" s="13" t="n">
        <v>0</v>
      </c>
      <c r="L427" s="17" t="n">
        <v>0.1889288</v>
      </c>
      <c r="M427" s="18" t="n">
        <f aca="false">IF(H427=0,"",I427/H427)</f>
        <v>0.793478260869565</v>
      </c>
    </row>
    <row r="428" customFormat="false" ht="15" hidden="false" customHeight="false" outlineLevel="0" collapsed="false">
      <c r="A428" s="13" t="s">
        <v>75</v>
      </c>
      <c r="B428" s="13" t="s">
        <v>174</v>
      </c>
      <c r="C428" s="13" t="n">
        <v>0</v>
      </c>
      <c r="D428" s="13" t="n">
        <v>0</v>
      </c>
      <c r="E428" s="13" t="n">
        <v>0</v>
      </c>
      <c r="F428" s="13" t="n">
        <v>0</v>
      </c>
      <c r="G428" s="17" t="n">
        <v>0</v>
      </c>
      <c r="H428" s="13" t="n">
        <v>22</v>
      </c>
      <c r="I428" s="13" t="n">
        <v>20</v>
      </c>
      <c r="J428" s="13" t="n">
        <v>0</v>
      </c>
      <c r="K428" s="13" t="n">
        <v>0</v>
      </c>
      <c r="L428" s="17" t="n">
        <v>0.0067593</v>
      </c>
      <c r="M428" s="18" t="n">
        <f aca="false">IF(H428=0,"",I428/H428)</f>
        <v>0.909090909090909</v>
      </c>
    </row>
    <row r="429" customFormat="false" ht="15" hidden="false" customHeight="false" outlineLevel="0" collapsed="false">
      <c r="A429" s="13" t="s">
        <v>75</v>
      </c>
      <c r="B429" s="13" t="s">
        <v>175</v>
      </c>
      <c r="C429" s="13" t="n">
        <v>0</v>
      </c>
      <c r="D429" s="13" t="n">
        <v>0</v>
      </c>
      <c r="E429" s="13" t="n">
        <v>0</v>
      </c>
      <c r="F429" s="13" t="n">
        <v>0</v>
      </c>
      <c r="G429" s="17" t="n">
        <v>0</v>
      </c>
      <c r="H429" s="13" t="n">
        <v>31</v>
      </c>
      <c r="I429" s="13" t="n">
        <v>0</v>
      </c>
      <c r="J429" s="13" t="n">
        <v>0</v>
      </c>
      <c r="K429" s="13" t="n">
        <v>31</v>
      </c>
      <c r="L429" s="17" t="n">
        <v>0</v>
      </c>
      <c r="M429" s="18" t="n">
        <f aca="false">IF(H429=0,"",I429/H429)</f>
        <v>0</v>
      </c>
    </row>
    <row r="430" customFormat="false" ht="15" hidden="false" customHeight="false" outlineLevel="0" collapsed="false">
      <c r="A430" s="13" t="s">
        <v>75</v>
      </c>
      <c r="B430" s="13" t="s">
        <v>176</v>
      </c>
      <c r="C430" s="13" t="n">
        <v>0</v>
      </c>
      <c r="D430" s="13" t="n">
        <v>0</v>
      </c>
      <c r="E430" s="13" t="n">
        <v>0</v>
      </c>
      <c r="F430" s="13" t="n">
        <v>0</v>
      </c>
      <c r="G430" s="17" t="n">
        <v>0</v>
      </c>
      <c r="H430" s="13" t="n">
        <v>132</v>
      </c>
      <c r="I430" s="13" t="n">
        <v>0</v>
      </c>
      <c r="J430" s="13" t="n">
        <v>0</v>
      </c>
      <c r="K430" s="13" t="n">
        <v>0</v>
      </c>
      <c r="L430" s="17" t="n">
        <v>0</v>
      </c>
      <c r="M430" s="18" t="n">
        <f aca="false">IF(H430=0,"",I430/H430)</f>
        <v>0</v>
      </c>
    </row>
    <row r="431" customFormat="false" ht="15" hidden="false" customHeight="false" outlineLevel="0" collapsed="false">
      <c r="A431" s="13" t="s">
        <v>153</v>
      </c>
      <c r="B431" s="13" t="s">
        <v>169</v>
      </c>
      <c r="C431" s="13" t="n">
        <v>0</v>
      </c>
      <c r="D431" s="13" t="n">
        <v>0</v>
      </c>
      <c r="E431" s="13" t="n">
        <v>0</v>
      </c>
      <c r="F431" s="13" t="n">
        <v>0</v>
      </c>
      <c r="G431" s="17" t="n">
        <v>0</v>
      </c>
      <c r="H431" s="13" t="n">
        <v>3</v>
      </c>
      <c r="I431" s="13" t="n">
        <v>0</v>
      </c>
      <c r="J431" s="13" t="n">
        <v>1</v>
      </c>
      <c r="K431" s="13" t="n">
        <v>6</v>
      </c>
      <c r="L431" s="17" t="n">
        <v>0</v>
      </c>
      <c r="M431" s="18" t="n">
        <f aca="false">IF(H431=0,"",I431/H431)</f>
        <v>0</v>
      </c>
    </row>
    <row r="432" customFormat="false" ht="15" hidden="false" customHeight="false" outlineLevel="0" collapsed="false">
      <c r="A432" s="13" t="s">
        <v>153</v>
      </c>
      <c r="B432" s="13" t="s">
        <v>170</v>
      </c>
      <c r="C432" s="13" t="n">
        <v>0</v>
      </c>
      <c r="D432" s="13" t="n">
        <v>0</v>
      </c>
      <c r="E432" s="13" t="n">
        <v>0</v>
      </c>
      <c r="F432" s="13" t="n">
        <v>0</v>
      </c>
      <c r="G432" s="17" t="n">
        <v>0</v>
      </c>
      <c r="H432" s="13" t="n">
        <v>1</v>
      </c>
      <c r="I432" s="13" t="n">
        <v>0</v>
      </c>
      <c r="J432" s="13" t="n">
        <v>0</v>
      </c>
      <c r="K432" s="13" t="n">
        <v>0</v>
      </c>
      <c r="L432" s="17" t="n">
        <v>0</v>
      </c>
      <c r="M432" s="18" t="n">
        <f aca="false">IF(H432=0,"",I432/H432)</f>
        <v>0</v>
      </c>
    </row>
    <row r="433" customFormat="false" ht="15" hidden="false" customHeight="false" outlineLevel="0" collapsed="false">
      <c r="A433" s="13" t="s">
        <v>153</v>
      </c>
      <c r="B433" s="13" t="s">
        <v>172</v>
      </c>
      <c r="C433" s="13" t="n">
        <v>0</v>
      </c>
      <c r="D433" s="13" t="n">
        <v>0</v>
      </c>
      <c r="E433" s="13" t="n">
        <v>0</v>
      </c>
      <c r="F433" s="13" t="n">
        <v>0</v>
      </c>
      <c r="G433" s="17" t="n">
        <v>0</v>
      </c>
      <c r="H433" s="13" t="n">
        <v>6</v>
      </c>
      <c r="I433" s="13" t="n">
        <v>0</v>
      </c>
      <c r="J433" s="13" t="n">
        <v>6</v>
      </c>
      <c r="K433" s="13" t="n">
        <v>0</v>
      </c>
      <c r="L433" s="17" t="n">
        <v>0.005454</v>
      </c>
      <c r="M433" s="18" t="n">
        <f aca="false">IF(H433=0,"",I433/H433)</f>
        <v>0</v>
      </c>
    </row>
    <row r="434" customFormat="false" ht="15" hidden="false" customHeight="false" outlineLevel="0" collapsed="false">
      <c r="A434" s="13" t="s">
        <v>153</v>
      </c>
      <c r="B434" s="13" t="s">
        <v>173</v>
      </c>
      <c r="C434" s="13" t="n">
        <v>0</v>
      </c>
      <c r="D434" s="13" t="n">
        <v>0</v>
      </c>
      <c r="E434" s="13" t="n">
        <v>0</v>
      </c>
      <c r="F434" s="13" t="n">
        <v>0</v>
      </c>
      <c r="G434" s="17" t="n">
        <v>0</v>
      </c>
      <c r="H434" s="13" t="n">
        <v>3</v>
      </c>
      <c r="I434" s="13" t="n">
        <v>3</v>
      </c>
      <c r="J434" s="13" t="n">
        <v>0</v>
      </c>
      <c r="K434" s="13" t="n">
        <v>0</v>
      </c>
      <c r="L434" s="17" t="n">
        <v>0.026374</v>
      </c>
      <c r="M434" s="18" t="n">
        <f aca="false">IF(H434=0,"",I434/H434)</f>
        <v>1</v>
      </c>
    </row>
    <row r="435" customFormat="false" ht="15" hidden="false" customHeight="false" outlineLevel="0" collapsed="false">
      <c r="A435" s="13" t="s">
        <v>153</v>
      </c>
      <c r="B435" s="13" t="s">
        <v>174</v>
      </c>
      <c r="C435" s="13" t="n">
        <v>0</v>
      </c>
      <c r="D435" s="13" t="n">
        <v>0</v>
      </c>
      <c r="E435" s="13" t="n">
        <v>0</v>
      </c>
      <c r="F435" s="13" t="n">
        <v>0</v>
      </c>
      <c r="G435" s="17" t="n">
        <v>0</v>
      </c>
      <c r="H435" s="13" t="n">
        <v>2</v>
      </c>
      <c r="I435" s="13" t="n">
        <v>2</v>
      </c>
      <c r="J435" s="13" t="n">
        <v>0</v>
      </c>
      <c r="K435" s="13" t="n">
        <v>0</v>
      </c>
      <c r="L435" s="17" t="n">
        <v>0.00057873</v>
      </c>
      <c r="M435" s="18" t="n">
        <f aca="false">IF(H435=0,"",I435/H435)</f>
        <v>1</v>
      </c>
    </row>
    <row r="436" customFormat="false" ht="15" hidden="false" customHeight="false" outlineLevel="0" collapsed="false">
      <c r="A436" s="13" t="s">
        <v>153</v>
      </c>
      <c r="B436" s="13" t="s">
        <v>175</v>
      </c>
      <c r="C436" s="13" t="n">
        <v>0</v>
      </c>
      <c r="D436" s="13" t="n">
        <v>0</v>
      </c>
      <c r="E436" s="13" t="n">
        <v>0</v>
      </c>
      <c r="F436" s="13" t="n">
        <v>0</v>
      </c>
      <c r="G436" s="17" t="n">
        <v>0</v>
      </c>
      <c r="H436" s="13" t="n">
        <v>10</v>
      </c>
      <c r="I436" s="13" t="n">
        <v>0</v>
      </c>
      <c r="J436" s="13" t="n">
        <v>0</v>
      </c>
      <c r="K436" s="13" t="n">
        <v>22</v>
      </c>
      <c r="L436" s="17" t="n">
        <v>0</v>
      </c>
      <c r="M436" s="18" t="n">
        <f aca="false">IF(H436=0,"",I436/H436)</f>
        <v>0</v>
      </c>
    </row>
    <row r="437" customFormat="false" ht="15" hidden="false" customHeight="false" outlineLevel="0" collapsed="false">
      <c r="A437" s="13" t="s">
        <v>153</v>
      </c>
      <c r="B437" s="13" t="s">
        <v>176</v>
      </c>
      <c r="C437" s="13" t="n">
        <v>0</v>
      </c>
      <c r="D437" s="13" t="n">
        <v>0</v>
      </c>
      <c r="E437" s="13" t="n">
        <v>0</v>
      </c>
      <c r="F437" s="13" t="n">
        <v>0</v>
      </c>
      <c r="G437" s="17" t="n">
        <v>0</v>
      </c>
      <c r="H437" s="13" t="n">
        <v>5</v>
      </c>
      <c r="I437" s="13" t="n">
        <v>0</v>
      </c>
      <c r="J437" s="13" t="n">
        <v>0</v>
      </c>
      <c r="K437" s="13" t="n">
        <v>0</v>
      </c>
      <c r="L437" s="17" t="n">
        <v>0</v>
      </c>
      <c r="M437" s="18" t="n">
        <f aca="false">IF(H437=0,"",I437/H437)</f>
        <v>0</v>
      </c>
    </row>
    <row r="438" customFormat="false" ht="15" hidden="false" customHeight="false" outlineLevel="0" collapsed="false">
      <c r="A438" s="13" t="s">
        <v>386</v>
      </c>
      <c r="B438" s="13" t="s">
        <v>176</v>
      </c>
      <c r="C438" s="13" t="n">
        <v>0</v>
      </c>
      <c r="D438" s="13" t="n">
        <v>0</v>
      </c>
      <c r="E438" s="13" t="n">
        <v>0</v>
      </c>
      <c r="F438" s="13" t="n">
        <v>0</v>
      </c>
      <c r="G438" s="17" t="n">
        <v>0</v>
      </c>
      <c r="H438" s="13" t="n">
        <v>1</v>
      </c>
      <c r="I438" s="13" t="n">
        <v>0</v>
      </c>
      <c r="J438" s="13" t="n">
        <v>0</v>
      </c>
      <c r="K438" s="13" t="n">
        <v>0</v>
      </c>
      <c r="L438" s="17" t="n">
        <v>0</v>
      </c>
      <c r="M438" s="18" t="n">
        <f aca="false">IF(H438=0,"",I438/H438)</f>
        <v>0</v>
      </c>
    </row>
    <row r="439" customFormat="false" ht="15" hidden="false" customHeight="false" outlineLevel="0" collapsed="false">
      <c r="A439" s="13" t="s">
        <v>387</v>
      </c>
      <c r="B439" s="13" t="s">
        <v>176</v>
      </c>
      <c r="C439" s="13" t="n">
        <v>0</v>
      </c>
      <c r="D439" s="13" t="n">
        <v>0</v>
      </c>
      <c r="E439" s="13" t="n">
        <v>0</v>
      </c>
      <c r="F439" s="13" t="n">
        <v>0</v>
      </c>
      <c r="G439" s="17" t="n">
        <v>0</v>
      </c>
      <c r="H439" s="13" t="n">
        <v>1</v>
      </c>
      <c r="I439" s="13" t="n">
        <v>0</v>
      </c>
      <c r="J439" s="13" t="n">
        <v>0</v>
      </c>
      <c r="K439" s="13" t="n">
        <v>0</v>
      </c>
      <c r="L439" s="17" t="n">
        <v>0</v>
      </c>
      <c r="M439" s="18" t="n">
        <f aca="false">IF(H439=0,"",I439/H439)</f>
        <v>0</v>
      </c>
    </row>
    <row r="440" customFormat="false" ht="15" hidden="false" customHeight="false" outlineLevel="0" collapsed="false">
      <c r="A440" s="13" t="s">
        <v>388</v>
      </c>
      <c r="B440" s="13" t="s">
        <v>176</v>
      </c>
      <c r="C440" s="13" t="n">
        <v>0</v>
      </c>
      <c r="D440" s="13" t="n">
        <v>0</v>
      </c>
      <c r="E440" s="13" t="n">
        <v>0</v>
      </c>
      <c r="F440" s="13" t="n">
        <v>0</v>
      </c>
      <c r="G440" s="17" t="n">
        <v>0</v>
      </c>
      <c r="H440" s="13" t="n">
        <v>1</v>
      </c>
      <c r="I440" s="13" t="n">
        <v>0</v>
      </c>
      <c r="J440" s="13" t="n">
        <v>0</v>
      </c>
      <c r="K440" s="13" t="n">
        <v>0</v>
      </c>
      <c r="L440" s="17" t="n">
        <v>0</v>
      </c>
      <c r="M440" s="18" t="n">
        <f aca="false">IF(H440=0,"",I440/H440)</f>
        <v>0</v>
      </c>
    </row>
    <row r="441" customFormat="false" ht="15" hidden="false" customHeight="false" outlineLevel="0" collapsed="false">
      <c r="A441" s="13" t="s">
        <v>389</v>
      </c>
      <c r="B441" s="13" t="s">
        <v>176</v>
      </c>
      <c r="C441" s="13" t="n">
        <v>0</v>
      </c>
      <c r="D441" s="13" t="n">
        <v>0</v>
      </c>
      <c r="E441" s="13" t="n">
        <v>0</v>
      </c>
      <c r="F441" s="13" t="n">
        <v>0</v>
      </c>
      <c r="G441" s="17" t="n">
        <v>0</v>
      </c>
      <c r="H441" s="13" t="n">
        <v>1</v>
      </c>
      <c r="I441" s="13" t="n">
        <v>0</v>
      </c>
      <c r="J441" s="13" t="n">
        <v>0</v>
      </c>
      <c r="K441" s="13" t="n">
        <v>0</v>
      </c>
      <c r="L441" s="17" t="n">
        <v>0</v>
      </c>
      <c r="M441" s="18" t="n">
        <f aca="false">IF(H441=0,"",I441/H441)</f>
        <v>0</v>
      </c>
    </row>
    <row r="442" customFormat="false" ht="15" hidden="false" customHeight="false" outlineLevel="0" collapsed="false">
      <c r="A442" s="13" t="s">
        <v>390</v>
      </c>
      <c r="B442" s="13" t="s">
        <v>176</v>
      </c>
      <c r="C442" s="13" t="n">
        <v>0</v>
      </c>
      <c r="D442" s="13" t="n">
        <v>0</v>
      </c>
      <c r="E442" s="13" t="n">
        <v>0</v>
      </c>
      <c r="F442" s="13" t="n">
        <v>0</v>
      </c>
      <c r="G442" s="17" t="n">
        <v>0</v>
      </c>
      <c r="H442" s="13" t="n">
        <v>1</v>
      </c>
      <c r="I442" s="13" t="n">
        <v>0</v>
      </c>
      <c r="J442" s="13" t="n">
        <v>0</v>
      </c>
      <c r="K442" s="13" t="n">
        <v>0</v>
      </c>
      <c r="L442" s="17" t="n">
        <v>0</v>
      </c>
      <c r="M442" s="18" t="n">
        <f aca="false">IF(H442=0,"",I442/H442)</f>
        <v>0</v>
      </c>
    </row>
    <row r="443" customFormat="false" ht="15" hidden="false" customHeight="false" outlineLevel="0" collapsed="false">
      <c r="A443" s="13" t="s">
        <v>391</v>
      </c>
      <c r="B443" s="13" t="s">
        <v>176</v>
      </c>
      <c r="C443" s="13" t="n">
        <v>0</v>
      </c>
      <c r="D443" s="13" t="n">
        <v>0</v>
      </c>
      <c r="E443" s="13" t="n">
        <v>0</v>
      </c>
      <c r="F443" s="13" t="n">
        <v>0</v>
      </c>
      <c r="G443" s="17" t="n">
        <v>0</v>
      </c>
      <c r="H443" s="13" t="n">
        <v>1</v>
      </c>
      <c r="I443" s="13" t="n">
        <v>0</v>
      </c>
      <c r="J443" s="13" t="n">
        <v>0</v>
      </c>
      <c r="K443" s="13" t="n">
        <v>0</v>
      </c>
      <c r="L443" s="17" t="n">
        <v>0</v>
      </c>
      <c r="M443" s="18" t="n">
        <f aca="false">IF(H443=0,"",I443/H443)</f>
        <v>0</v>
      </c>
    </row>
    <row r="444" customFormat="false" ht="15" hidden="false" customHeight="false" outlineLevel="0" collapsed="false">
      <c r="A444" s="13" t="s">
        <v>392</v>
      </c>
      <c r="B444" s="13" t="s">
        <v>176</v>
      </c>
      <c r="C444" s="13" t="n">
        <v>0</v>
      </c>
      <c r="D444" s="13" t="n">
        <v>0</v>
      </c>
      <c r="E444" s="13" t="n">
        <v>0</v>
      </c>
      <c r="F444" s="13" t="n">
        <v>0</v>
      </c>
      <c r="G444" s="17" t="n">
        <v>0</v>
      </c>
      <c r="H444" s="13" t="n">
        <v>1</v>
      </c>
      <c r="I444" s="13" t="n">
        <v>0</v>
      </c>
      <c r="J444" s="13" t="n">
        <v>0</v>
      </c>
      <c r="K444" s="13" t="n">
        <v>0</v>
      </c>
      <c r="L444" s="17" t="n">
        <v>0</v>
      </c>
      <c r="M444" s="18" t="n">
        <f aca="false">IF(H444=0,"",I444/H444)</f>
        <v>0</v>
      </c>
    </row>
    <row r="445" customFormat="false" ht="15" hidden="false" customHeight="false" outlineLevel="0" collapsed="false">
      <c r="A445" s="13" t="s">
        <v>393</v>
      </c>
      <c r="B445" s="13" t="s">
        <v>176</v>
      </c>
      <c r="C445" s="13" t="n">
        <v>0</v>
      </c>
      <c r="D445" s="13" t="n">
        <v>0</v>
      </c>
      <c r="E445" s="13" t="n">
        <v>0</v>
      </c>
      <c r="F445" s="13" t="n">
        <v>0</v>
      </c>
      <c r="G445" s="17" t="n">
        <v>0</v>
      </c>
      <c r="H445" s="13" t="n">
        <v>1</v>
      </c>
      <c r="I445" s="13" t="n">
        <v>0</v>
      </c>
      <c r="J445" s="13" t="n">
        <v>0</v>
      </c>
      <c r="K445" s="13" t="n">
        <v>0</v>
      </c>
      <c r="L445" s="17" t="n">
        <v>0</v>
      </c>
      <c r="M445" s="18" t="n">
        <f aca="false">IF(H445=0,"",I445/H445)</f>
        <v>0</v>
      </c>
    </row>
    <row r="446" customFormat="false" ht="15" hidden="false" customHeight="false" outlineLevel="0" collapsed="false">
      <c r="A446" s="13" t="s">
        <v>394</v>
      </c>
      <c r="B446" s="13" t="s">
        <v>176</v>
      </c>
      <c r="C446" s="13" t="n">
        <v>0</v>
      </c>
      <c r="D446" s="13" t="n">
        <v>0</v>
      </c>
      <c r="E446" s="13" t="n">
        <v>0</v>
      </c>
      <c r="F446" s="13" t="n">
        <v>0</v>
      </c>
      <c r="G446" s="17" t="n">
        <v>0</v>
      </c>
      <c r="H446" s="13" t="n">
        <v>1</v>
      </c>
      <c r="I446" s="13" t="n">
        <v>0</v>
      </c>
      <c r="J446" s="13" t="n">
        <v>0</v>
      </c>
      <c r="K446" s="13" t="n">
        <v>0</v>
      </c>
      <c r="L446" s="17" t="n">
        <v>0</v>
      </c>
      <c r="M446" s="18" t="n">
        <f aca="false">IF(H446=0,"",I446/H446)</f>
        <v>0</v>
      </c>
    </row>
    <row r="447" customFormat="false" ht="15" hidden="false" customHeight="false" outlineLevel="0" collapsed="false">
      <c r="A447" s="13" t="s">
        <v>395</v>
      </c>
      <c r="B447" s="13" t="s">
        <v>176</v>
      </c>
      <c r="C447" s="13" t="n">
        <v>0</v>
      </c>
      <c r="D447" s="13" t="n">
        <v>0</v>
      </c>
      <c r="E447" s="13" t="n">
        <v>0</v>
      </c>
      <c r="F447" s="13" t="n">
        <v>0</v>
      </c>
      <c r="G447" s="17" t="n">
        <v>0</v>
      </c>
      <c r="H447" s="13" t="n">
        <v>1</v>
      </c>
      <c r="I447" s="13" t="n">
        <v>0</v>
      </c>
      <c r="J447" s="13" t="n">
        <v>0</v>
      </c>
      <c r="K447" s="13" t="n">
        <v>0</v>
      </c>
      <c r="L447" s="17" t="n">
        <v>0</v>
      </c>
      <c r="M447" s="18" t="n">
        <f aca="false">IF(H447=0,"",I447/H447)</f>
        <v>0</v>
      </c>
    </row>
    <row r="448" customFormat="false" ht="15" hidden="false" customHeight="false" outlineLevel="0" collapsed="false">
      <c r="A448" s="13" t="s">
        <v>396</v>
      </c>
      <c r="B448" s="13" t="s">
        <v>176</v>
      </c>
      <c r="C448" s="13" t="n">
        <v>0</v>
      </c>
      <c r="D448" s="13" t="n">
        <v>0</v>
      </c>
      <c r="E448" s="13" t="n">
        <v>0</v>
      </c>
      <c r="F448" s="13" t="n">
        <v>0</v>
      </c>
      <c r="G448" s="17" t="n">
        <v>0</v>
      </c>
      <c r="H448" s="13" t="n">
        <v>1</v>
      </c>
      <c r="I448" s="13" t="n">
        <v>0</v>
      </c>
      <c r="J448" s="13" t="n">
        <v>0</v>
      </c>
      <c r="K448" s="13" t="n">
        <v>0</v>
      </c>
      <c r="L448" s="17" t="n">
        <v>0</v>
      </c>
      <c r="M448" s="18" t="n">
        <f aca="false">IF(H448=0,"",I448/H448)</f>
        <v>0</v>
      </c>
    </row>
    <row r="449" customFormat="false" ht="15" hidden="false" customHeight="false" outlineLevel="0" collapsed="false">
      <c r="A449" s="13" t="s">
        <v>397</v>
      </c>
      <c r="B449" s="13" t="s">
        <v>176</v>
      </c>
      <c r="C449" s="13" t="n">
        <v>0</v>
      </c>
      <c r="D449" s="13" t="n">
        <v>0</v>
      </c>
      <c r="E449" s="13" t="n">
        <v>0</v>
      </c>
      <c r="F449" s="13" t="n">
        <v>0</v>
      </c>
      <c r="G449" s="17" t="n">
        <v>0</v>
      </c>
      <c r="H449" s="13" t="n">
        <v>1</v>
      </c>
      <c r="I449" s="13" t="n">
        <v>0</v>
      </c>
      <c r="J449" s="13" t="n">
        <v>0</v>
      </c>
      <c r="K449" s="13" t="n">
        <v>0</v>
      </c>
      <c r="L449" s="17" t="n">
        <v>0</v>
      </c>
      <c r="M449" s="18" t="n">
        <f aca="false">IF(H449=0,"",I449/H449)</f>
        <v>0</v>
      </c>
    </row>
    <row r="450" customFormat="false" ht="15" hidden="false" customHeight="false" outlineLevel="0" collapsed="false">
      <c r="A450" s="13" t="s">
        <v>398</v>
      </c>
      <c r="B450" s="13" t="s">
        <v>176</v>
      </c>
      <c r="C450" s="13" t="n">
        <v>0</v>
      </c>
      <c r="D450" s="13" t="n">
        <v>0</v>
      </c>
      <c r="E450" s="13" t="n">
        <v>0</v>
      </c>
      <c r="F450" s="13" t="n">
        <v>0</v>
      </c>
      <c r="G450" s="17" t="n">
        <v>0</v>
      </c>
      <c r="H450" s="13" t="n">
        <v>1</v>
      </c>
      <c r="I450" s="13" t="n">
        <v>0</v>
      </c>
      <c r="J450" s="13" t="n">
        <v>0</v>
      </c>
      <c r="K450" s="13" t="n">
        <v>0</v>
      </c>
      <c r="L450" s="17" t="n">
        <v>0</v>
      </c>
      <c r="M450" s="18" t="n">
        <f aca="false">IF(H450=0,"",I450/H450)</f>
        <v>0</v>
      </c>
    </row>
    <row r="451" customFormat="false" ht="15" hidden="false" customHeight="false" outlineLevel="0" collapsed="false">
      <c r="A451" s="13" t="s">
        <v>399</v>
      </c>
      <c r="B451" s="13" t="s">
        <v>176</v>
      </c>
      <c r="C451" s="13" t="n">
        <v>0</v>
      </c>
      <c r="D451" s="13" t="n">
        <v>0</v>
      </c>
      <c r="E451" s="13" t="n">
        <v>0</v>
      </c>
      <c r="F451" s="13" t="n">
        <v>0</v>
      </c>
      <c r="G451" s="17" t="n">
        <v>0</v>
      </c>
      <c r="H451" s="13" t="n">
        <v>1</v>
      </c>
      <c r="I451" s="13" t="n">
        <v>0</v>
      </c>
      <c r="J451" s="13" t="n">
        <v>0</v>
      </c>
      <c r="K451" s="13" t="n">
        <v>0</v>
      </c>
      <c r="L451" s="17" t="n">
        <v>0</v>
      </c>
      <c r="M451" s="18" t="n">
        <f aca="false">IF(H451=0,"",I451/H451)</f>
        <v>0</v>
      </c>
    </row>
    <row r="452" customFormat="false" ht="15" hidden="false" customHeight="false" outlineLevel="0" collapsed="false">
      <c r="A452" s="13" t="s">
        <v>400</v>
      </c>
      <c r="B452" s="13" t="s">
        <v>176</v>
      </c>
      <c r="C452" s="13" t="n">
        <v>0</v>
      </c>
      <c r="D452" s="13" t="n">
        <v>0</v>
      </c>
      <c r="E452" s="13" t="n">
        <v>0</v>
      </c>
      <c r="F452" s="13" t="n">
        <v>0</v>
      </c>
      <c r="G452" s="17" t="n">
        <v>0</v>
      </c>
      <c r="H452" s="13" t="n">
        <v>1</v>
      </c>
      <c r="I452" s="13" t="n">
        <v>0</v>
      </c>
      <c r="J452" s="13" t="n">
        <v>0</v>
      </c>
      <c r="K452" s="13" t="n">
        <v>0</v>
      </c>
      <c r="L452" s="17" t="n">
        <v>0</v>
      </c>
      <c r="M452" s="18" t="n">
        <f aca="false">IF(H452=0,"",I452/H452)</f>
        <v>0</v>
      </c>
    </row>
    <row r="453" customFormat="false" ht="15" hidden="false" customHeight="false" outlineLevel="0" collapsed="false">
      <c r="A453" s="13" t="s">
        <v>401</v>
      </c>
      <c r="B453" s="13" t="s">
        <v>176</v>
      </c>
      <c r="C453" s="13" t="n">
        <v>0</v>
      </c>
      <c r="D453" s="13" t="n">
        <v>0</v>
      </c>
      <c r="E453" s="13" t="n">
        <v>0</v>
      </c>
      <c r="F453" s="13" t="n">
        <v>0</v>
      </c>
      <c r="G453" s="17" t="n">
        <v>0</v>
      </c>
      <c r="H453" s="13" t="n">
        <v>1</v>
      </c>
      <c r="I453" s="13" t="n">
        <v>0</v>
      </c>
      <c r="J453" s="13" t="n">
        <v>0</v>
      </c>
      <c r="K453" s="13" t="n">
        <v>0</v>
      </c>
      <c r="L453" s="17" t="n">
        <v>0</v>
      </c>
      <c r="M453" s="18" t="n">
        <f aca="false">IF(H453=0,"",I453/H453)</f>
        <v>0</v>
      </c>
    </row>
    <row r="454" customFormat="false" ht="15" hidden="false" customHeight="false" outlineLevel="0" collapsed="false">
      <c r="A454" s="13" t="s">
        <v>402</v>
      </c>
      <c r="B454" s="13" t="s">
        <v>176</v>
      </c>
      <c r="C454" s="13" t="n">
        <v>0</v>
      </c>
      <c r="D454" s="13" t="n">
        <v>0</v>
      </c>
      <c r="E454" s="13" t="n">
        <v>0</v>
      </c>
      <c r="F454" s="13" t="n">
        <v>0</v>
      </c>
      <c r="G454" s="17" t="n">
        <v>0</v>
      </c>
      <c r="H454" s="13" t="n">
        <v>1</v>
      </c>
      <c r="I454" s="13" t="n">
        <v>0</v>
      </c>
      <c r="J454" s="13" t="n">
        <v>0</v>
      </c>
      <c r="K454" s="13" t="n">
        <v>0</v>
      </c>
      <c r="L454" s="17" t="n">
        <v>0</v>
      </c>
      <c r="M454" s="18" t="n">
        <f aca="false">IF(H454=0,"",I454/H454)</f>
        <v>0</v>
      </c>
    </row>
    <row r="455" customFormat="false" ht="15" hidden="false" customHeight="false" outlineLevel="0" collapsed="false">
      <c r="A455" s="13" t="s">
        <v>403</v>
      </c>
      <c r="B455" s="13" t="s">
        <v>176</v>
      </c>
      <c r="C455" s="13" t="n">
        <v>0</v>
      </c>
      <c r="D455" s="13" t="n">
        <v>0</v>
      </c>
      <c r="E455" s="13" t="n">
        <v>0</v>
      </c>
      <c r="F455" s="13" t="n">
        <v>0</v>
      </c>
      <c r="G455" s="17" t="n">
        <v>0</v>
      </c>
      <c r="H455" s="13" t="n">
        <v>1</v>
      </c>
      <c r="I455" s="13" t="n">
        <v>0</v>
      </c>
      <c r="J455" s="13" t="n">
        <v>0</v>
      </c>
      <c r="K455" s="13" t="n">
        <v>0</v>
      </c>
      <c r="L455" s="17" t="n">
        <v>0</v>
      </c>
      <c r="M455" s="18" t="n">
        <f aca="false">IF(H455=0,"",I455/H455)</f>
        <v>0</v>
      </c>
    </row>
    <row r="456" customFormat="false" ht="15" hidden="false" customHeight="false" outlineLevel="0" collapsed="false">
      <c r="A456" s="13" t="s">
        <v>404</v>
      </c>
      <c r="B456" s="13" t="s">
        <v>176</v>
      </c>
      <c r="C456" s="13" t="n">
        <v>0</v>
      </c>
      <c r="D456" s="13" t="n">
        <v>0</v>
      </c>
      <c r="E456" s="13" t="n">
        <v>0</v>
      </c>
      <c r="F456" s="13" t="n">
        <v>0</v>
      </c>
      <c r="G456" s="17" t="n">
        <v>0</v>
      </c>
      <c r="H456" s="13" t="n">
        <v>1</v>
      </c>
      <c r="I456" s="13" t="n">
        <v>0</v>
      </c>
      <c r="J456" s="13" t="n">
        <v>0</v>
      </c>
      <c r="K456" s="13" t="n">
        <v>0</v>
      </c>
      <c r="L456" s="17" t="n">
        <v>0</v>
      </c>
      <c r="M456" s="18" t="n">
        <f aca="false">IF(H456=0,"",I456/H456)</f>
        <v>0</v>
      </c>
    </row>
    <row r="457" customFormat="false" ht="15" hidden="false" customHeight="false" outlineLevel="0" collapsed="false">
      <c r="A457" s="13" t="s">
        <v>405</v>
      </c>
      <c r="B457" s="13" t="s">
        <v>176</v>
      </c>
      <c r="C457" s="13" t="n">
        <v>0</v>
      </c>
      <c r="D457" s="13" t="n">
        <v>0</v>
      </c>
      <c r="E457" s="13" t="n">
        <v>0</v>
      </c>
      <c r="F457" s="13" t="n">
        <v>0</v>
      </c>
      <c r="G457" s="17" t="n">
        <v>0</v>
      </c>
      <c r="H457" s="13" t="n">
        <v>1</v>
      </c>
      <c r="I457" s="13" t="n">
        <v>0</v>
      </c>
      <c r="J457" s="13" t="n">
        <v>0</v>
      </c>
      <c r="K457" s="13" t="n">
        <v>0</v>
      </c>
      <c r="L457" s="17" t="n">
        <v>0</v>
      </c>
      <c r="M457" s="18" t="n">
        <f aca="false">IF(H457=0,"",I457/H457)</f>
        <v>0</v>
      </c>
    </row>
    <row r="458" customFormat="false" ht="15" hidden="false" customHeight="false" outlineLevel="0" collapsed="false">
      <c r="A458" s="13" t="s">
        <v>406</v>
      </c>
      <c r="B458" s="13" t="s">
        <v>176</v>
      </c>
      <c r="C458" s="13" t="n">
        <v>0</v>
      </c>
      <c r="D458" s="13" t="n">
        <v>0</v>
      </c>
      <c r="E458" s="13" t="n">
        <v>0</v>
      </c>
      <c r="F458" s="13" t="n">
        <v>0</v>
      </c>
      <c r="G458" s="17" t="n">
        <v>0</v>
      </c>
      <c r="H458" s="13" t="n">
        <v>1</v>
      </c>
      <c r="I458" s="13" t="n">
        <v>0</v>
      </c>
      <c r="J458" s="13" t="n">
        <v>0</v>
      </c>
      <c r="K458" s="13" t="n">
        <v>0</v>
      </c>
      <c r="L458" s="17" t="n">
        <v>0</v>
      </c>
      <c r="M458" s="18" t="n">
        <f aca="false">IF(H458=0,"",I458/H458)</f>
        <v>0</v>
      </c>
    </row>
    <row r="459" customFormat="false" ht="15" hidden="false" customHeight="false" outlineLevel="0" collapsed="false">
      <c r="A459" s="13" t="s">
        <v>407</v>
      </c>
      <c r="B459" s="13" t="s">
        <v>176</v>
      </c>
      <c r="C459" s="13" t="n">
        <v>0</v>
      </c>
      <c r="D459" s="13" t="n">
        <v>0</v>
      </c>
      <c r="E459" s="13" t="n">
        <v>0</v>
      </c>
      <c r="F459" s="13" t="n">
        <v>0</v>
      </c>
      <c r="G459" s="17" t="n">
        <v>0</v>
      </c>
      <c r="H459" s="13" t="n">
        <v>1</v>
      </c>
      <c r="I459" s="13" t="n">
        <v>0</v>
      </c>
      <c r="J459" s="13" t="n">
        <v>0</v>
      </c>
      <c r="K459" s="13" t="n">
        <v>0</v>
      </c>
      <c r="L459" s="17" t="n">
        <v>0</v>
      </c>
      <c r="M459" s="18" t="n">
        <f aca="false">IF(H459=0,"",I459/H459)</f>
        <v>0</v>
      </c>
    </row>
    <row r="460" customFormat="false" ht="15" hidden="false" customHeight="false" outlineLevel="0" collapsed="false">
      <c r="A460" s="13" t="s">
        <v>408</v>
      </c>
      <c r="B460" s="13" t="s">
        <v>176</v>
      </c>
      <c r="C460" s="13" t="n">
        <v>0</v>
      </c>
      <c r="D460" s="13" t="n">
        <v>0</v>
      </c>
      <c r="E460" s="13" t="n">
        <v>0</v>
      </c>
      <c r="F460" s="13" t="n">
        <v>0</v>
      </c>
      <c r="G460" s="17" t="n">
        <v>0</v>
      </c>
      <c r="H460" s="13" t="n">
        <v>1</v>
      </c>
      <c r="I460" s="13" t="n">
        <v>0</v>
      </c>
      <c r="J460" s="13" t="n">
        <v>0</v>
      </c>
      <c r="K460" s="13" t="n">
        <v>0</v>
      </c>
      <c r="L460" s="17" t="n">
        <v>0</v>
      </c>
      <c r="M460" s="18" t="n">
        <f aca="false">IF(H460=0,"",I460/H460)</f>
        <v>0</v>
      </c>
    </row>
    <row r="461" customFormat="false" ht="15" hidden="false" customHeight="false" outlineLevel="0" collapsed="false">
      <c r="A461" s="13" t="s">
        <v>409</v>
      </c>
      <c r="B461" s="13" t="s">
        <v>176</v>
      </c>
      <c r="C461" s="13" t="n">
        <v>0</v>
      </c>
      <c r="D461" s="13" t="n">
        <v>0</v>
      </c>
      <c r="E461" s="13" t="n">
        <v>0</v>
      </c>
      <c r="F461" s="13" t="n">
        <v>0</v>
      </c>
      <c r="G461" s="17" t="n">
        <v>0</v>
      </c>
      <c r="H461" s="13" t="n">
        <v>1</v>
      </c>
      <c r="I461" s="13" t="n">
        <v>0</v>
      </c>
      <c r="J461" s="13" t="n">
        <v>0</v>
      </c>
      <c r="K461" s="13" t="n">
        <v>0</v>
      </c>
      <c r="L461" s="17" t="n">
        <v>0</v>
      </c>
      <c r="M461" s="18" t="n">
        <f aca="false">IF(H461=0,"",I461/H461)</f>
        <v>0</v>
      </c>
    </row>
    <row r="462" customFormat="false" ht="15" hidden="false" customHeight="false" outlineLevel="0" collapsed="false">
      <c r="A462" s="13" t="s">
        <v>410</v>
      </c>
      <c r="B462" s="13" t="s">
        <v>176</v>
      </c>
      <c r="C462" s="13" t="n">
        <v>0</v>
      </c>
      <c r="D462" s="13" t="n">
        <v>0</v>
      </c>
      <c r="E462" s="13" t="n">
        <v>0</v>
      </c>
      <c r="F462" s="13" t="n">
        <v>0</v>
      </c>
      <c r="G462" s="17" t="n">
        <v>0</v>
      </c>
      <c r="H462" s="13" t="n">
        <v>1</v>
      </c>
      <c r="I462" s="13" t="n">
        <v>0</v>
      </c>
      <c r="J462" s="13" t="n">
        <v>0</v>
      </c>
      <c r="K462" s="13" t="n">
        <v>0</v>
      </c>
      <c r="L462" s="17" t="n">
        <v>0</v>
      </c>
      <c r="M462" s="18" t="n">
        <f aca="false">IF(H462=0,"",I462/H462)</f>
        <v>0</v>
      </c>
    </row>
    <row r="463" customFormat="false" ht="15" hidden="false" customHeight="false" outlineLevel="0" collapsed="false">
      <c r="A463" s="13" t="s">
        <v>411</v>
      </c>
      <c r="B463" s="13" t="s">
        <v>176</v>
      </c>
      <c r="C463" s="13" t="n">
        <v>0</v>
      </c>
      <c r="D463" s="13" t="n">
        <v>0</v>
      </c>
      <c r="E463" s="13" t="n">
        <v>0</v>
      </c>
      <c r="F463" s="13" t="n">
        <v>0</v>
      </c>
      <c r="G463" s="17" t="n">
        <v>0</v>
      </c>
      <c r="H463" s="13" t="n">
        <v>1</v>
      </c>
      <c r="I463" s="13" t="n">
        <v>0</v>
      </c>
      <c r="J463" s="13" t="n">
        <v>0</v>
      </c>
      <c r="K463" s="13" t="n">
        <v>0</v>
      </c>
      <c r="L463" s="17" t="n">
        <v>0</v>
      </c>
      <c r="M463" s="18" t="n">
        <f aca="false">IF(H463=0,"",I463/H463)</f>
        <v>0</v>
      </c>
    </row>
    <row r="464" customFormat="false" ht="15" hidden="false" customHeight="false" outlineLevel="0" collapsed="false">
      <c r="A464" s="13" t="s">
        <v>412</v>
      </c>
      <c r="B464" s="13" t="s">
        <v>176</v>
      </c>
      <c r="C464" s="13" t="n">
        <v>0</v>
      </c>
      <c r="D464" s="13" t="n">
        <v>0</v>
      </c>
      <c r="E464" s="13" t="n">
        <v>0</v>
      </c>
      <c r="F464" s="13" t="n">
        <v>0</v>
      </c>
      <c r="G464" s="17" t="n">
        <v>0</v>
      </c>
      <c r="H464" s="13" t="n">
        <v>1</v>
      </c>
      <c r="I464" s="13" t="n">
        <v>0</v>
      </c>
      <c r="J464" s="13" t="n">
        <v>0</v>
      </c>
      <c r="K464" s="13" t="n">
        <v>0</v>
      </c>
      <c r="L464" s="17" t="n">
        <v>0</v>
      </c>
      <c r="M464" s="18" t="n">
        <f aca="false">IF(H464=0,"",I464/H464)</f>
        <v>0</v>
      </c>
    </row>
    <row r="465" customFormat="false" ht="15" hidden="false" customHeight="false" outlineLevel="0" collapsed="false">
      <c r="A465" s="13" t="s">
        <v>413</v>
      </c>
      <c r="B465" s="13" t="s">
        <v>176</v>
      </c>
      <c r="C465" s="13" t="n">
        <v>0</v>
      </c>
      <c r="D465" s="13" t="n">
        <v>0</v>
      </c>
      <c r="E465" s="13" t="n">
        <v>0</v>
      </c>
      <c r="F465" s="13" t="n">
        <v>0</v>
      </c>
      <c r="G465" s="17" t="n">
        <v>0</v>
      </c>
      <c r="H465" s="13" t="n">
        <v>1</v>
      </c>
      <c r="I465" s="13" t="n">
        <v>0</v>
      </c>
      <c r="J465" s="13" t="n">
        <v>0</v>
      </c>
      <c r="K465" s="13" t="n">
        <v>0</v>
      </c>
      <c r="L465" s="17" t="n">
        <v>0</v>
      </c>
      <c r="M465" s="18" t="n">
        <f aca="false">IF(H465=0,"",I465/H465)</f>
        <v>0</v>
      </c>
    </row>
    <row r="466" customFormat="false" ht="15" hidden="false" customHeight="false" outlineLevel="0" collapsed="false">
      <c r="A466" s="13" t="s">
        <v>111</v>
      </c>
      <c r="B466" s="13" t="s">
        <v>169</v>
      </c>
      <c r="C466" s="13" t="n">
        <v>0</v>
      </c>
      <c r="D466" s="13" t="n">
        <v>0</v>
      </c>
      <c r="E466" s="13" t="n">
        <v>0</v>
      </c>
      <c r="F466" s="13" t="n">
        <v>0</v>
      </c>
      <c r="G466" s="17" t="n">
        <v>0</v>
      </c>
      <c r="H466" s="13" t="n">
        <v>14</v>
      </c>
      <c r="I466" s="13" t="n">
        <v>0</v>
      </c>
      <c r="J466" s="13" t="n">
        <v>5</v>
      </c>
      <c r="K466" s="13" t="n">
        <v>28</v>
      </c>
      <c r="L466" s="17" t="n">
        <v>0</v>
      </c>
      <c r="M466" s="18" t="n">
        <f aca="false">IF(H466=0,"",I466/H466)</f>
        <v>0</v>
      </c>
    </row>
    <row r="467" customFormat="false" ht="15" hidden="false" customHeight="false" outlineLevel="0" collapsed="false">
      <c r="A467" s="13" t="s">
        <v>111</v>
      </c>
      <c r="B467" s="13" t="s">
        <v>170</v>
      </c>
      <c r="C467" s="13" t="n">
        <v>0</v>
      </c>
      <c r="D467" s="13" t="n">
        <v>0</v>
      </c>
      <c r="E467" s="13" t="n">
        <v>0</v>
      </c>
      <c r="F467" s="13" t="n">
        <v>0</v>
      </c>
      <c r="G467" s="17" t="n">
        <v>0</v>
      </c>
      <c r="H467" s="13" t="n">
        <v>30</v>
      </c>
      <c r="I467" s="13" t="n">
        <v>17</v>
      </c>
      <c r="J467" s="13" t="n">
        <v>0</v>
      </c>
      <c r="K467" s="13" t="n">
        <v>47</v>
      </c>
      <c r="L467" s="17" t="n">
        <v>0</v>
      </c>
      <c r="M467" s="18" t="n">
        <f aca="false">IF(H467=0,"",I467/H467)</f>
        <v>0.566666666666667</v>
      </c>
    </row>
    <row r="468" customFormat="false" ht="15" hidden="false" customHeight="false" outlineLevel="0" collapsed="false">
      <c r="A468" s="13" t="s">
        <v>111</v>
      </c>
      <c r="B468" s="13" t="s">
        <v>171</v>
      </c>
      <c r="C468" s="13" t="n">
        <v>0</v>
      </c>
      <c r="D468" s="13" t="n">
        <v>0</v>
      </c>
      <c r="E468" s="13" t="n">
        <v>0</v>
      </c>
      <c r="F468" s="13" t="n">
        <v>0</v>
      </c>
      <c r="G468" s="17" t="n">
        <v>0</v>
      </c>
      <c r="H468" s="13" t="n">
        <v>14</v>
      </c>
      <c r="I468" s="13" t="n">
        <v>1</v>
      </c>
      <c r="J468" s="13" t="n">
        <v>5</v>
      </c>
      <c r="K468" s="13" t="n">
        <v>0</v>
      </c>
      <c r="L468" s="17" t="n">
        <v>0.00175395</v>
      </c>
      <c r="M468" s="18" t="n">
        <f aca="false">IF(H468=0,"",I468/H468)</f>
        <v>0.0714285714285714</v>
      </c>
    </row>
    <row r="469" customFormat="false" ht="15" hidden="false" customHeight="false" outlineLevel="0" collapsed="false">
      <c r="A469" s="13" t="s">
        <v>111</v>
      </c>
      <c r="B469" s="13" t="s">
        <v>172</v>
      </c>
      <c r="C469" s="13" t="n">
        <v>0</v>
      </c>
      <c r="D469" s="13" t="n">
        <v>0</v>
      </c>
      <c r="E469" s="13" t="n">
        <v>0</v>
      </c>
      <c r="F469" s="13" t="n">
        <v>0</v>
      </c>
      <c r="G469" s="17" t="n">
        <v>0</v>
      </c>
      <c r="H469" s="13" t="n">
        <v>182</v>
      </c>
      <c r="I469" s="13" t="n">
        <v>27</v>
      </c>
      <c r="J469" s="13" t="n">
        <v>153</v>
      </c>
      <c r="K469" s="13" t="n">
        <v>0</v>
      </c>
      <c r="L469" s="17" t="n">
        <v>0.0727793333333333</v>
      </c>
      <c r="M469" s="18" t="n">
        <f aca="false">IF(H469=0,"",I469/H469)</f>
        <v>0.148351648351648</v>
      </c>
    </row>
    <row r="470" customFormat="false" ht="15" hidden="false" customHeight="false" outlineLevel="0" collapsed="false">
      <c r="A470" s="13" t="s">
        <v>111</v>
      </c>
      <c r="B470" s="13" t="s">
        <v>173</v>
      </c>
      <c r="C470" s="13" t="n">
        <v>0</v>
      </c>
      <c r="D470" s="13" t="n">
        <v>0</v>
      </c>
      <c r="E470" s="13" t="n">
        <v>0</v>
      </c>
      <c r="F470" s="13" t="n">
        <v>0</v>
      </c>
      <c r="G470" s="17" t="n">
        <v>0</v>
      </c>
      <c r="H470" s="13" t="n">
        <v>34</v>
      </c>
      <c r="I470" s="13" t="n">
        <v>17</v>
      </c>
      <c r="J470" s="13" t="n">
        <v>17</v>
      </c>
      <c r="K470" s="13" t="n">
        <v>0</v>
      </c>
      <c r="L470" s="17" t="n">
        <v>0.1250172</v>
      </c>
      <c r="M470" s="18" t="n">
        <f aca="false">IF(H470=0,"",I470/H470)</f>
        <v>0.5</v>
      </c>
    </row>
    <row r="471" customFormat="false" ht="15" hidden="false" customHeight="false" outlineLevel="0" collapsed="false">
      <c r="A471" s="13" t="s">
        <v>111</v>
      </c>
      <c r="B471" s="13" t="s">
        <v>175</v>
      </c>
      <c r="C471" s="13" t="n">
        <v>0</v>
      </c>
      <c r="D471" s="13" t="n">
        <v>0</v>
      </c>
      <c r="E471" s="13" t="n">
        <v>0</v>
      </c>
      <c r="F471" s="13" t="n">
        <v>0</v>
      </c>
      <c r="G471" s="17" t="n">
        <v>0</v>
      </c>
      <c r="H471" s="13" t="n">
        <v>8</v>
      </c>
      <c r="I471" s="13" t="n">
        <v>0</v>
      </c>
      <c r="J471" s="13" t="n">
        <v>0</v>
      </c>
      <c r="K471" s="13" t="n">
        <v>8</v>
      </c>
      <c r="L471" s="17" t="n">
        <v>0</v>
      </c>
      <c r="M471" s="18" t="n">
        <f aca="false">IF(H471=0,"",I471/H471)</f>
        <v>0</v>
      </c>
    </row>
    <row r="472" customFormat="false" ht="15" hidden="false" customHeight="false" outlineLevel="0" collapsed="false">
      <c r="A472" s="13" t="s">
        <v>111</v>
      </c>
      <c r="B472" s="13" t="s">
        <v>176</v>
      </c>
      <c r="C472" s="13" t="n">
        <v>0</v>
      </c>
      <c r="D472" s="13" t="n">
        <v>0</v>
      </c>
      <c r="E472" s="13" t="n">
        <v>0</v>
      </c>
      <c r="F472" s="13" t="n">
        <v>0</v>
      </c>
      <c r="G472" s="17" t="n">
        <v>0</v>
      </c>
      <c r="H472" s="13" t="n">
        <v>72</v>
      </c>
      <c r="I472" s="13" t="n">
        <v>0</v>
      </c>
      <c r="J472" s="13" t="n">
        <v>0</v>
      </c>
      <c r="K472" s="13" t="n">
        <v>0</v>
      </c>
      <c r="L472" s="17" t="n">
        <v>0</v>
      </c>
      <c r="M472" s="18" t="n">
        <f aca="false">IF(H472=0,"",I472/H472)</f>
        <v>0</v>
      </c>
    </row>
    <row r="473" customFormat="false" ht="15" hidden="false" customHeight="false" outlineLevel="0" collapsed="false">
      <c r="A473" s="13" t="s">
        <v>414</v>
      </c>
      <c r="B473" s="13" t="s">
        <v>176</v>
      </c>
      <c r="C473" s="13" t="n">
        <v>0</v>
      </c>
      <c r="D473" s="13" t="n">
        <v>0</v>
      </c>
      <c r="E473" s="13" t="n">
        <v>0</v>
      </c>
      <c r="F473" s="13" t="n">
        <v>0</v>
      </c>
      <c r="G473" s="17" t="n">
        <v>0</v>
      </c>
      <c r="H473" s="13" t="n">
        <v>1</v>
      </c>
      <c r="I473" s="13" t="n">
        <v>0</v>
      </c>
      <c r="J473" s="13" t="n">
        <v>0</v>
      </c>
      <c r="K473" s="13" t="n">
        <v>0</v>
      </c>
      <c r="L473" s="17" t="n">
        <v>0</v>
      </c>
      <c r="M473" s="18" t="n">
        <f aca="false">IF(H473=0,"",I473/H473)</f>
        <v>0</v>
      </c>
    </row>
    <row r="474" customFormat="false" ht="15" hidden="false" customHeight="false" outlineLevel="0" collapsed="false">
      <c r="A474" s="13" t="s">
        <v>415</v>
      </c>
      <c r="B474" s="13" t="s">
        <v>176</v>
      </c>
      <c r="C474" s="13" t="n">
        <v>0</v>
      </c>
      <c r="D474" s="13" t="n">
        <v>0</v>
      </c>
      <c r="E474" s="13" t="n">
        <v>0</v>
      </c>
      <c r="F474" s="13" t="n">
        <v>0</v>
      </c>
      <c r="G474" s="17" t="n">
        <v>0</v>
      </c>
      <c r="H474" s="13" t="n">
        <v>1</v>
      </c>
      <c r="I474" s="13" t="n">
        <v>0</v>
      </c>
      <c r="J474" s="13" t="n">
        <v>0</v>
      </c>
      <c r="K474" s="13" t="n">
        <v>0</v>
      </c>
      <c r="L474" s="17" t="n">
        <v>0</v>
      </c>
      <c r="M474" s="18" t="n">
        <f aca="false">IF(H474=0,"",I474/H474)</f>
        <v>0</v>
      </c>
    </row>
    <row r="475" customFormat="false" ht="15" hidden="false" customHeight="false" outlineLevel="0" collapsed="false">
      <c r="A475" s="13" t="s">
        <v>416</v>
      </c>
      <c r="B475" s="13" t="s">
        <v>176</v>
      </c>
      <c r="C475" s="13" t="n">
        <v>0</v>
      </c>
      <c r="D475" s="13" t="n">
        <v>0</v>
      </c>
      <c r="E475" s="13" t="n">
        <v>0</v>
      </c>
      <c r="F475" s="13" t="n">
        <v>0</v>
      </c>
      <c r="G475" s="17" t="n">
        <v>0</v>
      </c>
      <c r="H475" s="13" t="n">
        <v>1</v>
      </c>
      <c r="I475" s="13" t="n">
        <v>0</v>
      </c>
      <c r="J475" s="13" t="n">
        <v>0</v>
      </c>
      <c r="K475" s="13" t="n">
        <v>0</v>
      </c>
      <c r="L475" s="17" t="n">
        <v>0</v>
      </c>
      <c r="M475" s="18" t="n">
        <f aca="false">IF(H475=0,"",I475/H475)</f>
        <v>0</v>
      </c>
    </row>
    <row r="476" customFormat="false" ht="15" hidden="false" customHeight="false" outlineLevel="0" collapsed="false">
      <c r="A476" s="13" t="s">
        <v>417</v>
      </c>
      <c r="B476" s="13" t="s">
        <v>176</v>
      </c>
      <c r="C476" s="13" t="n">
        <v>0</v>
      </c>
      <c r="D476" s="13" t="n">
        <v>0</v>
      </c>
      <c r="E476" s="13" t="n">
        <v>0</v>
      </c>
      <c r="F476" s="13" t="n">
        <v>0</v>
      </c>
      <c r="G476" s="17" t="n">
        <v>0</v>
      </c>
      <c r="H476" s="13" t="n">
        <v>1</v>
      </c>
      <c r="I476" s="13" t="n">
        <v>0</v>
      </c>
      <c r="J476" s="13" t="n">
        <v>0</v>
      </c>
      <c r="K476" s="13" t="n">
        <v>0</v>
      </c>
      <c r="L476" s="17" t="n">
        <v>0</v>
      </c>
      <c r="M476" s="18" t="n">
        <f aca="false">IF(H476=0,"",I476/H476)</f>
        <v>0</v>
      </c>
    </row>
    <row r="477" customFormat="false" ht="15" hidden="false" customHeight="false" outlineLevel="0" collapsed="false">
      <c r="A477" s="13" t="s">
        <v>127</v>
      </c>
      <c r="B477" s="13" t="s">
        <v>169</v>
      </c>
      <c r="C477" s="13" t="n">
        <v>1</v>
      </c>
      <c r="D477" s="13" t="n">
        <v>0</v>
      </c>
      <c r="E477" s="13" t="n">
        <v>1</v>
      </c>
      <c r="F477" s="13" t="n">
        <v>2</v>
      </c>
      <c r="G477" s="17" t="n">
        <v>0</v>
      </c>
      <c r="H477" s="13" t="n">
        <v>1</v>
      </c>
      <c r="I477" s="13" t="n">
        <v>0</v>
      </c>
      <c r="J477" s="13" t="n">
        <v>1</v>
      </c>
      <c r="K477" s="13" t="n">
        <v>2</v>
      </c>
      <c r="L477" s="17" t="n">
        <v>0</v>
      </c>
      <c r="M477" s="18" t="n">
        <f aca="false">IF(H477=0,"",I477/H477)</f>
        <v>0</v>
      </c>
    </row>
    <row r="478" customFormat="false" ht="15" hidden="false" customHeight="false" outlineLevel="0" collapsed="false">
      <c r="A478" s="13" t="s">
        <v>127</v>
      </c>
      <c r="B478" s="13" t="s">
        <v>170</v>
      </c>
      <c r="C478" s="13" t="n">
        <v>1</v>
      </c>
      <c r="D478" s="13" t="n">
        <v>0</v>
      </c>
      <c r="E478" s="13" t="n">
        <v>0</v>
      </c>
      <c r="F478" s="13" t="n">
        <v>0</v>
      </c>
      <c r="G478" s="17" t="n">
        <v>0</v>
      </c>
      <c r="H478" s="13" t="n">
        <v>10</v>
      </c>
      <c r="I478" s="13" t="n">
        <v>9</v>
      </c>
      <c r="J478" s="13" t="n">
        <v>0</v>
      </c>
      <c r="K478" s="13" t="n">
        <v>0</v>
      </c>
      <c r="L478" s="17" t="n">
        <v>0</v>
      </c>
      <c r="M478" s="18" t="n">
        <f aca="false">IF(H478=0,"",I478/H478)</f>
        <v>0.9</v>
      </c>
    </row>
    <row r="479" customFormat="false" ht="15" hidden="false" customHeight="false" outlineLevel="0" collapsed="false">
      <c r="A479" s="13" t="s">
        <v>127</v>
      </c>
      <c r="B479" s="13" t="s">
        <v>172</v>
      </c>
      <c r="C479" s="13" t="n">
        <v>0</v>
      </c>
      <c r="D479" s="13" t="n">
        <v>0</v>
      </c>
      <c r="E479" s="13" t="n">
        <v>0</v>
      </c>
      <c r="F479" s="13" t="n">
        <v>0</v>
      </c>
      <c r="G479" s="17" t="n">
        <v>0</v>
      </c>
      <c r="H479" s="13" t="n">
        <v>120</v>
      </c>
      <c r="I479" s="13" t="n">
        <v>70</v>
      </c>
      <c r="J479" s="13" t="n">
        <v>44</v>
      </c>
      <c r="K479" s="13" t="n">
        <v>0</v>
      </c>
      <c r="L479" s="17" t="n">
        <v>0.0741692</v>
      </c>
      <c r="M479" s="18" t="n">
        <f aca="false">IF(H479=0,"",I479/H479)</f>
        <v>0.583333333333333</v>
      </c>
    </row>
    <row r="480" customFormat="false" ht="15" hidden="false" customHeight="false" outlineLevel="0" collapsed="false">
      <c r="A480" s="13" t="s">
        <v>127</v>
      </c>
      <c r="B480" s="13" t="s">
        <v>173</v>
      </c>
      <c r="C480" s="13" t="n">
        <v>0</v>
      </c>
      <c r="D480" s="13" t="n">
        <v>0</v>
      </c>
      <c r="E480" s="13" t="n">
        <v>0</v>
      </c>
      <c r="F480" s="13" t="n">
        <v>0</v>
      </c>
      <c r="G480" s="17" t="n">
        <v>0</v>
      </c>
      <c r="H480" s="13" t="n">
        <v>21</v>
      </c>
      <c r="I480" s="13" t="n">
        <v>18</v>
      </c>
      <c r="J480" s="13" t="n">
        <v>3</v>
      </c>
      <c r="K480" s="13" t="n">
        <v>0</v>
      </c>
      <c r="L480" s="17" t="n">
        <v>0.0739536</v>
      </c>
      <c r="M480" s="18" t="n">
        <f aca="false">IF(H480=0,"",I480/H480)</f>
        <v>0.857142857142857</v>
      </c>
    </row>
    <row r="481" customFormat="false" ht="15" hidden="false" customHeight="false" outlineLevel="0" collapsed="false">
      <c r="A481" s="13" t="s">
        <v>127</v>
      </c>
      <c r="B481" s="13" t="s">
        <v>174</v>
      </c>
      <c r="C481" s="13" t="n">
        <v>0</v>
      </c>
      <c r="D481" s="13" t="n">
        <v>0</v>
      </c>
      <c r="E481" s="13" t="n">
        <v>0</v>
      </c>
      <c r="F481" s="13" t="n">
        <v>0</v>
      </c>
      <c r="G481" s="17" t="n">
        <v>0</v>
      </c>
      <c r="H481" s="13" t="n">
        <v>77</v>
      </c>
      <c r="I481" s="13" t="n">
        <v>59</v>
      </c>
      <c r="J481" s="13" t="n">
        <v>2</v>
      </c>
      <c r="K481" s="13" t="n">
        <v>0</v>
      </c>
      <c r="L481" s="17" t="n">
        <v>0.02166475</v>
      </c>
      <c r="M481" s="18" t="n">
        <f aca="false">IF(H481=0,"",I481/H481)</f>
        <v>0.766233766233766</v>
      </c>
    </row>
    <row r="482" customFormat="false" ht="15" hidden="false" customHeight="false" outlineLevel="0" collapsed="false">
      <c r="A482" s="13" t="s">
        <v>127</v>
      </c>
      <c r="B482" s="13" t="s">
        <v>175</v>
      </c>
      <c r="C482" s="13" t="n">
        <v>0</v>
      </c>
      <c r="D482" s="13" t="n">
        <v>0</v>
      </c>
      <c r="E482" s="13" t="n">
        <v>0</v>
      </c>
      <c r="F482" s="13" t="n">
        <v>0</v>
      </c>
      <c r="G482" s="17" t="n">
        <v>0</v>
      </c>
      <c r="H482" s="13" t="n">
        <v>64</v>
      </c>
      <c r="I482" s="13" t="n">
        <v>0</v>
      </c>
      <c r="J482" s="13" t="n">
        <v>0</v>
      </c>
      <c r="K482" s="13" t="n">
        <v>64</v>
      </c>
      <c r="L482" s="17" t="n">
        <v>0</v>
      </c>
      <c r="M482" s="18" t="n">
        <f aca="false">IF(H482=0,"",I482/H482)</f>
        <v>0</v>
      </c>
    </row>
    <row r="483" customFormat="false" ht="15" hidden="false" customHeight="false" outlineLevel="0" collapsed="false">
      <c r="A483" s="13" t="s">
        <v>127</v>
      </c>
      <c r="B483" s="13" t="s">
        <v>176</v>
      </c>
      <c r="C483" s="13" t="n">
        <v>0</v>
      </c>
      <c r="D483" s="13" t="n">
        <v>0</v>
      </c>
      <c r="E483" s="13" t="n">
        <v>0</v>
      </c>
      <c r="F483" s="13" t="n">
        <v>0</v>
      </c>
      <c r="G483" s="17" t="n">
        <v>0</v>
      </c>
      <c r="H483" s="13" t="n">
        <v>30</v>
      </c>
      <c r="I483" s="13" t="n">
        <v>0</v>
      </c>
      <c r="J483" s="13" t="n">
        <v>0</v>
      </c>
      <c r="K483" s="13" t="n">
        <v>0</v>
      </c>
      <c r="L483" s="17" t="n">
        <v>0</v>
      </c>
      <c r="M483" s="18" t="n">
        <f aca="false">IF(H483=0,"",I483/H483)</f>
        <v>0</v>
      </c>
    </row>
    <row r="484" customFormat="false" ht="15" hidden="false" customHeight="false" outlineLevel="0" collapsed="false">
      <c r="A484" s="13" t="s">
        <v>418</v>
      </c>
      <c r="B484" s="13" t="s">
        <v>176</v>
      </c>
      <c r="C484" s="13" t="n">
        <v>0</v>
      </c>
      <c r="D484" s="13" t="n">
        <v>0</v>
      </c>
      <c r="E484" s="13" t="n">
        <v>0</v>
      </c>
      <c r="F484" s="13" t="n">
        <v>0</v>
      </c>
      <c r="G484" s="17" t="n">
        <v>0</v>
      </c>
      <c r="H484" s="13" t="n">
        <v>1</v>
      </c>
      <c r="I484" s="13" t="n">
        <v>0</v>
      </c>
      <c r="J484" s="13" t="n">
        <v>0</v>
      </c>
      <c r="K484" s="13" t="n">
        <v>0</v>
      </c>
      <c r="L484" s="17" t="n">
        <v>0</v>
      </c>
      <c r="M484" s="18" t="n">
        <f aca="false">IF(H484=0,"",I484/H484)</f>
        <v>0</v>
      </c>
    </row>
    <row r="485" customFormat="false" ht="15" hidden="false" customHeight="false" outlineLevel="0" collapsed="false">
      <c r="A485" s="13" t="s">
        <v>69</v>
      </c>
      <c r="B485" s="13" t="s">
        <v>169</v>
      </c>
      <c r="C485" s="13" t="n">
        <v>0</v>
      </c>
      <c r="D485" s="13" t="n">
        <v>0</v>
      </c>
      <c r="E485" s="13" t="n">
        <v>0</v>
      </c>
      <c r="F485" s="13" t="n">
        <v>0</v>
      </c>
      <c r="G485" s="17" t="n">
        <v>0</v>
      </c>
      <c r="H485" s="13" t="n">
        <v>36</v>
      </c>
      <c r="I485" s="13" t="n">
        <v>0</v>
      </c>
      <c r="J485" s="13" t="n">
        <v>34</v>
      </c>
      <c r="K485" s="13" t="n">
        <v>72</v>
      </c>
      <c r="L485" s="17" t="n">
        <v>0</v>
      </c>
      <c r="M485" s="18" t="n">
        <f aca="false">IF(H485=0,"",I485/H485)</f>
        <v>0</v>
      </c>
    </row>
    <row r="486" customFormat="false" ht="15" hidden="false" customHeight="false" outlineLevel="0" collapsed="false">
      <c r="A486" s="13" t="s">
        <v>69</v>
      </c>
      <c r="B486" s="13" t="s">
        <v>170</v>
      </c>
      <c r="C486" s="13" t="n">
        <v>0</v>
      </c>
      <c r="D486" s="13" t="n">
        <v>0</v>
      </c>
      <c r="E486" s="13" t="n">
        <v>0</v>
      </c>
      <c r="F486" s="13" t="n">
        <v>0</v>
      </c>
      <c r="G486" s="17" t="n">
        <v>0</v>
      </c>
      <c r="H486" s="13" t="n">
        <v>116</v>
      </c>
      <c r="I486" s="13" t="n">
        <v>76</v>
      </c>
      <c r="J486" s="13" t="n">
        <v>4</v>
      </c>
      <c r="K486" s="13" t="n">
        <v>4</v>
      </c>
      <c r="L486" s="17" t="n">
        <v>0</v>
      </c>
      <c r="M486" s="18" t="n">
        <f aca="false">IF(H486=0,"",I486/H486)</f>
        <v>0.655172413793103</v>
      </c>
    </row>
    <row r="487" customFormat="false" ht="15" hidden="false" customHeight="false" outlineLevel="0" collapsed="false">
      <c r="A487" s="13" t="s">
        <v>69</v>
      </c>
      <c r="B487" s="13" t="s">
        <v>171</v>
      </c>
      <c r="C487" s="13" t="n">
        <v>0</v>
      </c>
      <c r="D487" s="13" t="n">
        <v>0</v>
      </c>
      <c r="E487" s="13" t="n">
        <v>0</v>
      </c>
      <c r="F487" s="13" t="n">
        <v>0</v>
      </c>
      <c r="G487" s="17" t="n">
        <v>0</v>
      </c>
      <c r="H487" s="13" t="n">
        <v>28</v>
      </c>
      <c r="I487" s="13" t="n">
        <v>0</v>
      </c>
      <c r="J487" s="13" t="n">
        <v>27</v>
      </c>
      <c r="K487" s="13" t="n">
        <v>0</v>
      </c>
      <c r="L487" s="17" t="n">
        <v>0.00348348</v>
      </c>
      <c r="M487" s="18" t="n">
        <f aca="false">IF(H487=0,"",I487/H487)</f>
        <v>0</v>
      </c>
    </row>
    <row r="488" customFormat="false" ht="15" hidden="false" customHeight="false" outlineLevel="0" collapsed="false">
      <c r="A488" s="13" t="s">
        <v>69</v>
      </c>
      <c r="B488" s="13" t="s">
        <v>172</v>
      </c>
      <c r="C488" s="13" t="n">
        <v>0</v>
      </c>
      <c r="D488" s="13" t="n">
        <v>0</v>
      </c>
      <c r="E488" s="13" t="n">
        <v>0</v>
      </c>
      <c r="F488" s="13" t="n">
        <v>0</v>
      </c>
      <c r="G488" s="17" t="n">
        <v>0</v>
      </c>
      <c r="H488" s="13" t="n">
        <v>417</v>
      </c>
      <c r="I488" s="13" t="n">
        <v>27</v>
      </c>
      <c r="J488" s="13" t="n">
        <v>387</v>
      </c>
      <c r="K488" s="13" t="n">
        <v>0</v>
      </c>
      <c r="L488" s="17" t="n">
        <v>0.542983866666667</v>
      </c>
      <c r="M488" s="18" t="n">
        <f aca="false">IF(H488=0,"",I488/H488)</f>
        <v>0.0647482014388489</v>
      </c>
    </row>
    <row r="489" customFormat="false" ht="15" hidden="false" customHeight="false" outlineLevel="0" collapsed="false">
      <c r="A489" s="13" t="s">
        <v>69</v>
      </c>
      <c r="B489" s="13" t="s">
        <v>173</v>
      </c>
      <c r="C489" s="13" t="n">
        <v>0</v>
      </c>
      <c r="D489" s="13" t="n">
        <v>0</v>
      </c>
      <c r="E489" s="13" t="n">
        <v>0</v>
      </c>
      <c r="F489" s="13" t="n">
        <v>0</v>
      </c>
      <c r="G489" s="17" t="n">
        <v>0</v>
      </c>
      <c r="H489" s="13" t="n">
        <v>146</v>
      </c>
      <c r="I489" s="13" t="n">
        <v>130</v>
      </c>
      <c r="J489" s="13" t="n">
        <v>16</v>
      </c>
      <c r="K489" s="13" t="n">
        <v>0</v>
      </c>
      <c r="L489" s="17" t="n">
        <v>0.7713784</v>
      </c>
      <c r="M489" s="18" t="n">
        <f aca="false">IF(H489=0,"",I489/H489)</f>
        <v>0.89041095890411</v>
      </c>
    </row>
    <row r="490" customFormat="false" ht="15" hidden="false" customHeight="false" outlineLevel="0" collapsed="false">
      <c r="A490" s="13" t="s">
        <v>69</v>
      </c>
      <c r="B490" s="13" t="s">
        <v>175</v>
      </c>
      <c r="C490" s="13" t="n">
        <v>0</v>
      </c>
      <c r="D490" s="13" t="n">
        <v>0</v>
      </c>
      <c r="E490" s="13" t="n">
        <v>0</v>
      </c>
      <c r="F490" s="13" t="n">
        <v>0</v>
      </c>
      <c r="G490" s="17" t="n">
        <v>0</v>
      </c>
      <c r="H490" s="13" t="n">
        <v>2</v>
      </c>
      <c r="I490" s="13" t="n">
        <v>0</v>
      </c>
      <c r="J490" s="13" t="n">
        <v>0</v>
      </c>
      <c r="K490" s="13" t="n">
        <v>2</v>
      </c>
      <c r="L490" s="17" t="n">
        <v>0</v>
      </c>
      <c r="M490" s="18" t="n">
        <f aca="false">IF(H490=0,"",I490/H490)</f>
        <v>0</v>
      </c>
    </row>
    <row r="491" customFormat="false" ht="15" hidden="false" customHeight="false" outlineLevel="0" collapsed="false">
      <c r="A491" s="13" t="s">
        <v>69</v>
      </c>
      <c r="B491" s="13" t="s">
        <v>176</v>
      </c>
      <c r="C491" s="13" t="n">
        <v>0</v>
      </c>
      <c r="D491" s="13" t="n">
        <v>0</v>
      </c>
      <c r="E491" s="13" t="n">
        <v>0</v>
      </c>
      <c r="F491" s="13" t="n">
        <v>0</v>
      </c>
      <c r="G491" s="17" t="n">
        <v>0</v>
      </c>
      <c r="H491" s="13" t="n">
        <v>179</v>
      </c>
      <c r="I491" s="13" t="n">
        <v>0</v>
      </c>
      <c r="J491" s="13" t="n">
        <v>0</v>
      </c>
      <c r="K491" s="13" t="n">
        <v>0</v>
      </c>
      <c r="L491" s="17" t="n">
        <v>0</v>
      </c>
      <c r="M491" s="18" t="n">
        <f aca="false">IF(H491=0,"",I491/H491)</f>
        <v>0</v>
      </c>
    </row>
    <row r="492" customFormat="false" ht="15" hidden="false" customHeight="false" outlineLevel="0" collapsed="false">
      <c r="A492" s="13" t="s">
        <v>59</v>
      </c>
      <c r="B492" s="13" t="s">
        <v>170</v>
      </c>
      <c r="C492" s="13" t="n">
        <v>0</v>
      </c>
      <c r="D492" s="13" t="n">
        <v>0</v>
      </c>
      <c r="E492" s="13" t="n">
        <v>0</v>
      </c>
      <c r="F492" s="13" t="n">
        <v>0</v>
      </c>
      <c r="G492" s="17" t="n">
        <v>0</v>
      </c>
      <c r="H492" s="13" t="n">
        <v>96</v>
      </c>
      <c r="I492" s="13" t="n">
        <v>91</v>
      </c>
      <c r="J492" s="13" t="n">
        <v>5</v>
      </c>
      <c r="K492" s="13" t="n">
        <v>0</v>
      </c>
      <c r="L492" s="17" t="n">
        <v>0</v>
      </c>
      <c r="M492" s="18" t="n">
        <f aca="false">IF(H492=0,"",I492/H492)</f>
        <v>0.947916666666667</v>
      </c>
    </row>
    <row r="493" customFormat="false" ht="15" hidden="false" customHeight="false" outlineLevel="0" collapsed="false">
      <c r="A493" s="13" t="s">
        <v>59</v>
      </c>
      <c r="B493" s="13" t="s">
        <v>171</v>
      </c>
      <c r="C493" s="13" t="n">
        <v>0</v>
      </c>
      <c r="D493" s="13" t="n">
        <v>0</v>
      </c>
      <c r="E493" s="13" t="n">
        <v>0</v>
      </c>
      <c r="F493" s="13" t="n">
        <v>0</v>
      </c>
      <c r="G493" s="17" t="n">
        <v>0</v>
      </c>
      <c r="H493" s="13" t="n">
        <v>51</v>
      </c>
      <c r="I493" s="13" t="n">
        <v>0</v>
      </c>
      <c r="J493" s="13" t="n">
        <v>51</v>
      </c>
      <c r="K493" s="13" t="n">
        <v>0</v>
      </c>
      <c r="L493" s="17" t="n">
        <v>0.00430464</v>
      </c>
      <c r="M493" s="18" t="n">
        <f aca="false">IF(H493=0,"",I493/H493)</f>
        <v>0</v>
      </c>
    </row>
    <row r="494" customFormat="false" ht="15" hidden="false" customHeight="false" outlineLevel="0" collapsed="false">
      <c r="A494" s="13" t="s">
        <v>59</v>
      </c>
      <c r="B494" s="13" t="s">
        <v>172</v>
      </c>
      <c r="C494" s="13" t="n">
        <v>0</v>
      </c>
      <c r="D494" s="13" t="n">
        <v>0</v>
      </c>
      <c r="E494" s="13" t="n">
        <v>0</v>
      </c>
      <c r="F494" s="13" t="n">
        <v>0</v>
      </c>
      <c r="G494" s="17" t="n">
        <v>0</v>
      </c>
      <c r="H494" s="13" t="n">
        <v>719</v>
      </c>
      <c r="I494" s="13" t="n">
        <v>60</v>
      </c>
      <c r="J494" s="13" t="n">
        <v>657</v>
      </c>
      <c r="K494" s="13" t="n">
        <v>0</v>
      </c>
      <c r="L494" s="17" t="n">
        <v>0.460231933333333</v>
      </c>
      <c r="M494" s="18" t="n">
        <f aca="false">IF(H494=0,"",I494/H494)</f>
        <v>0.0834492350486787</v>
      </c>
    </row>
    <row r="495" customFormat="false" ht="15" hidden="false" customHeight="false" outlineLevel="0" collapsed="false">
      <c r="A495" s="13" t="s">
        <v>59</v>
      </c>
      <c r="B495" s="13" t="s">
        <v>173</v>
      </c>
      <c r="C495" s="13" t="n">
        <v>0</v>
      </c>
      <c r="D495" s="13" t="n">
        <v>0</v>
      </c>
      <c r="E495" s="13" t="n">
        <v>0</v>
      </c>
      <c r="F495" s="13" t="n">
        <v>0</v>
      </c>
      <c r="G495" s="17" t="n">
        <v>0</v>
      </c>
      <c r="H495" s="13" t="n">
        <v>101</v>
      </c>
      <c r="I495" s="13" t="n">
        <v>15</v>
      </c>
      <c r="J495" s="13" t="n">
        <v>86</v>
      </c>
      <c r="K495" s="13" t="n">
        <v>0</v>
      </c>
      <c r="L495" s="17" t="n">
        <v>0.04832</v>
      </c>
      <c r="M495" s="18" t="n">
        <f aca="false">IF(H495=0,"",I495/H495)</f>
        <v>0.148514851485149</v>
      </c>
    </row>
    <row r="496" customFormat="false" ht="15" hidden="false" customHeight="false" outlineLevel="0" collapsed="false">
      <c r="A496" s="13" t="s">
        <v>59</v>
      </c>
      <c r="B496" s="13" t="s">
        <v>174</v>
      </c>
      <c r="C496" s="13" t="n">
        <v>0</v>
      </c>
      <c r="D496" s="13" t="n">
        <v>0</v>
      </c>
      <c r="E496" s="13" t="n">
        <v>0</v>
      </c>
      <c r="F496" s="13" t="n">
        <v>0</v>
      </c>
      <c r="G496" s="17" t="n">
        <v>0</v>
      </c>
      <c r="H496" s="13" t="n">
        <v>1</v>
      </c>
      <c r="I496" s="13" t="n">
        <v>1</v>
      </c>
      <c r="J496" s="13" t="n">
        <v>0</v>
      </c>
      <c r="K496" s="13" t="n">
        <v>0</v>
      </c>
      <c r="L496" s="17" t="n">
        <v>0</v>
      </c>
      <c r="M496" s="18" t="n">
        <f aca="false">IF(H496=0,"",I496/H496)</f>
        <v>1</v>
      </c>
    </row>
    <row r="497" customFormat="false" ht="15" hidden="false" customHeight="false" outlineLevel="0" collapsed="false">
      <c r="A497" s="13" t="s">
        <v>59</v>
      </c>
      <c r="B497" s="13" t="s">
        <v>175</v>
      </c>
      <c r="C497" s="13" t="n">
        <v>0</v>
      </c>
      <c r="D497" s="13" t="n">
        <v>0</v>
      </c>
      <c r="E497" s="13" t="n">
        <v>0</v>
      </c>
      <c r="F497" s="13" t="n">
        <v>0</v>
      </c>
      <c r="G497" s="17" t="n">
        <v>0</v>
      </c>
      <c r="H497" s="13" t="n">
        <v>29</v>
      </c>
      <c r="I497" s="13" t="n">
        <v>0</v>
      </c>
      <c r="J497" s="13" t="n">
        <v>0</v>
      </c>
      <c r="K497" s="13" t="n">
        <v>85</v>
      </c>
      <c r="L497" s="17" t="n">
        <v>0</v>
      </c>
      <c r="M497" s="18" t="n">
        <f aca="false">IF(H497=0,"",I497/H497)</f>
        <v>0</v>
      </c>
    </row>
    <row r="498" customFormat="false" ht="15" hidden="false" customHeight="false" outlineLevel="0" collapsed="false">
      <c r="A498" s="13" t="s">
        <v>59</v>
      </c>
      <c r="B498" s="13" t="s">
        <v>176</v>
      </c>
      <c r="C498" s="13" t="n">
        <v>0</v>
      </c>
      <c r="D498" s="13" t="n">
        <v>0</v>
      </c>
      <c r="E498" s="13" t="n">
        <v>0</v>
      </c>
      <c r="F498" s="13" t="n">
        <v>0</v>
      </c>
      <c r="G498" s="17" t="n">
        <v>0</v>
      </c>
      <c r="H498" s="13" t="n">
        <v>413</v>
      </c>
      <c r="I498" s="13" t="n">
        <v>0</v>
      </c>
      <c r="J498" s="13" t="n">
        <v>0</v>
      </c>
      <c r="K498" s="13" t="n">
        <v>0</v>
      </c>
      <c r="L498" s="17" t="n">
        <v>0</v>
      </c>
      <c r="M498" s="18" t="n">
        <f aca="false">IF(H498=0,"",I498/H498)</f>
        <v>0</v>
      </c>
    </row>
    <row r="499" customFormat="false" ht="15" hidden="false" customHeight="false" outlineLevel="0" collapsed="false">
      <c r="A499" s="13" t="s">
        <v>419</v>
      </c>
      <c r="B499" s="13" t="s">
        <v>176</v>
      </c>
      <c r="C499" s="13" t="n">
        <v>0</v>
      </c>
      <c r="D499" s="13" t="n">
        <v>0</v>
      </c>
      <c r="E499" s="13" t="n">
        <v>0</v>
      </c>
      <c r="F499" s="13" t="n">
        <v>0</v>
      </c>
      <c r="G499" s="17" t="n">
        <v>0</v>
      </c>
      <c r="H499" s="13" t="n">
        <v>1</v>
      </c>
      <c r="I499" s="13" t="n">
        <v>0</v>
      </c>
      <c r="J499" s="13" t="n">
        <v>0</v>
      </c>
      <c r="K499" s="13" t="n">
        <v>0</v>
      </c>
      <c r="L499" s="17" t="n">
        <v>0</v>
      </c>
      <c r="M499" s="18" t="n">
        <f aca="false">IF(H499=0,"",I499/H499)</f>
        <v>0</v>
      </c>
    </row>
    <row r="500" customFormat="false" ht="15" hidden="false" customHeight="false" outlineLevel="0" collapsed="false">
      <c r="A500" s="13" t="s">
        <v>420</v>
      </c>
      <c r="B500" s="13" t="s">
        <v>176</v>
      </c>
      <c r="C500" s="13" t="n">
        <v>0</v>
      </c>
      <c r="D500" s="13" t="n">
        <v>0</v>
      </c>
      <c r="E500" s="13" t="n">
        <v>0</v>
      </c>
      <c r="F500" s="13" t="n">
        <v>0</v>
      </c>
      <c r="G500" s="17" t="n">
        <v>0</v>
      </c>
      <c r="H500" s="13" t="n">
        <v>1</v>
      </c>
      <c r="I500" s="13" t="n">
        <v>0</v>
      </c>
      <c r="J500" s="13" t="n">
        <v>0</v>
      </c>
      <c r="K500" s="13" t="n">
        <v>0</v>
      </c>
      <c r="L500" s="17" t="n">
        <v>0</v>
      </c>
      <c r="M500" s="18" t="n">
        <f aca="false">IF(H500=0,"",I500/H500)</f>
        <v>0</v>
      </c>
    </row>
    <row r="501" customFormat="false" ht="15" hidden="false" customHeight="false" outlineLevel="0" collapsed="false">
      <c r="A501" s="13" t="s">
        <v>421</v>
      </c>
      <c r="B501" s="13" t="s">
        <v>176</v>
      </c>
      <c r="C501" s="13" t="n">
        <v>0</v>
      </c>
      <c r="D501" s="13" t="n">
        <v>0</v>
      </c>
      <c r="E501" s="13" t="n">
        <v>0</v>
      </c>
      <c r="F501" s="13" t="n">
        <v>0</v>
      </c>
      <c r="G501" s="17" t="n">
        <v>0</v>
      </c>
      <c r="H501" s="13" t="n">
        <v>1</v>
      </c>
      <c r="I501" s="13" t="n">
        <v>0</v>
      </c>
      <c r="J501" s="13" t="n">
        <v>0</v>
      </c>
      <c r="K501" s="13" t="n">
        <v>0</v>
      </c>
      <c r="L501" s="17" t="n">
        <v>0</v>
      </c>
      <c r="M501" s="18" t="n">
        <f aca="false">IF(H501=0,"",I501/H501)</f>
        <v>0</v>
      </c>
    </row>
    <row r="502" customFormat="false" ht="15" hidden="false" customHeight="false" outlineLevel="0" collapsed="false">
      <c r="A502" s="13" t="s">
        <v>422</v>
      </c>
      <c r="B502" s="13" t="s">
        <v>176</v>
      </c>
      <c r="C502" s="13" t="n">
        <v>0</v>
      </c>
      <c r="D502" s="13" t="n">
        <v>0</v>
      </c>
      <c r="E502" s="13" t="n">
        <v>0</v>
      </c>
      <c r="F502" s="13" t="n">
        <v>0</v>
      </c>
      <c r="G502" s="17" t="n">
        <v>0</v>
      </c>
      <c r="H502" s="13" t="n">
        <v>1</v>
      </c>
      <c r="I502" s="13" t="n">
        <v>0</v>
      </c>
      <c r="J502" s="13" t="n">
        <v>0</v>
      </c>
      <c r="K502" s="13" t="n">
        <v>0</v>
      </c>
      <c r="L502" s="17" t="n">
        <v>0</v>
      </c>
      <c r="M502" s="18" t="n">
        <f aca="false">IF(H502=0,"",I502/H502)</f>
        <v>0</v>
      </c>
    </row>
    <row r="503" customFormat="false" ht="15" hidden="false" customHeight="false" outlineLevel="0" collapsed="false">
      <c r="A503" s="13" t="s">
        <v>423</v>
      </c>
      <c r="B503" s="13" t="s">
        <v>176</v>
      </c>
      <c r="C503" s="13" t="n">
        <v>0</v>
      </c>
      <c r="D503" s="13" t="n">
        <v>0</v>
      </c>
      <c r="E503" s="13" t="n">
        <v>0</v>
      </c>
      <c r="F503" s="13" t="n">
        <v>0</v>
      </c>
      <c r="G503" s="17" t="n">
        <v>0</v>
      </c>
      <c r="H503" s="13" t="n">
        <v>1</v>
      </c>
      <c r="I503" s="13" t="n">
        <v>0</v>
      </c>
      <c r="J503" s="13" t="n">
        <v>0</v>
      </c>
      <c r="K503" s="13" t="n">
        <v>0</v>
      </c>
      <c r="L503" s="17" t="n">
        <v>0</v>
      </c>
      <c r="M503" s="18" t="n">
        <f aca="false">IF(H503=0,"",I503/H503)</f>
        <v>0</v>
      </c>
    </row>
    <row r="504" customFormat="false" ht="15" hidden="false" customHeight="false" outlineLevel="0" collapsed="false">
      <c r="A504" s="13" t="s">
        <v>424</v>
      </c>
      <c r="B504" s="13" t="s">
        <v>176</v>
      </c>
      <c r="C504" s="13" t="n">
        <v>0</v>
      </c>
      <c r="D504" s="13" t="n">
        <v>0</v>
      </c>
      <c r="E504" s="13" t="n">
        <v>0</v>
      </c>
      <c r="F504" s="13" t="n">
        <v>0</v>
      </c>
      <c r="G504" s="17" t="n">
        <v>0</v>
      </c>
      <c r="H504" s="13" t="n">
        <v>1</v>
      </c>
      <c r="I504" s="13" t="n">
        <v>0</v>
      </c>
      <c r="J504" s="13" t="n">
        <v>0</v>
      </c>
      <c r="K504" s="13" t="n">
        <v>0</v>
      </c>
      <c r="L504" s="17" t="n">
        <v>0</v>
      </c>
      <c r="M504" s="18" t="n">
        <f aca="false">IF(H504=0,"",I504/H504)</f>
        <v>0</v>
      </c>
    </row>
    <row r="505" customFormat="false" ht="15" hidden="false" customHeight="false" outlineLevel="0" collapsed="false">
      <c r="A505" s="13" t="s">
        <v>425</v>
      </c>
      <c r="B505" s="13" t="s">
        <v>176</v>
      </c>
      <c r="C505" s="13" t="n">
        <v>0</v>
      </c>
      <c r="D505" s="13" t="n">
        <v>0</v>
      </c>
      <c r="E505" s="13" t="n">
        <v>0</v>
      </c>
      <c r="F505" s="13" t="n">
        <v>0</v>
      </c>
      <c r="G505" s="17" t="n">
        <v>0</v>
      </c>
      <c r="H505" s="13" t="n">
        <v>1</v>
      </c>
      <c r="I505" s="13" t="n">
        <v>0</v>
      </c>
      <c r="J505" s="13" t="n">
        <v>0</v>
      </c>
      <c r="K505" s="13" t="n">
        <v>0</v>
      </c>
      <c r="L505" s="17" t="n">
        <v>0</v>
      </c>
      <c r="M505" s="18" t="n">
        <f aca="false">IF(H505=0,"",I505/H505)</f>
        <v>0</v>
      </c>
    </row>
    <row r="506" customFormat="false" ht="15" hidden="false" customHeight="false" outlineLevel="0" collapsed="false">
      <c r="A506" s="13" t="s">
        <v>426</v>
      </c>
      <c r="B506" s="13" t="s">
        <v>176</v>
      </c>
      <c r="C506" s="13" t="n">
        <v>0</v>
      </c>
      <c r="D506" s="13" t="n">
        <v>0</v>
      </c>
      <c r="E506" s="13" t="n">
        <v>0</v>
      </c>
      <c r="F506" s="13" t="n">
        <v>0</v>
      </c>
      <c r="G506" s="17" t="n">
        <v>0</v>
      </c>
      <c r="H506" s="13" t="n">
        <v>1</v>
      </c>
      <c r="I506" s="13" t="n">
        <v>0</v>
      </c>
      <c r="J506" s="13" t="n">
        <v>0</v>
      </c>
      <c r="K506" s="13" t="n">
        <v>0</v>
      </c>
      <c r="L506" s="17" t="n">
        <v>0</v>
      </c>
      <c r="M506" s="18" t="n">
        <f aca="false">IF(H506=0,"",I506/H506)</f>
        <v>0</v>
      </c>
    </row>
    <row r="507" customFormat="false" ht="15" hidden="false" customHeight="false" outlineLevel="0" collapsed="false">
      <c r="A507" s="13" t="s">
        <v>427</v>
      </c>
      <c r="B507" s="13" t="s">
        <v>176</v>
      </c>
      <c r="C507" s="13" t="n">
        <v>0</v>
      </c>
      <c r="D507" s="13" t="n">
        <v>0</v>
      </c>
      <c r="E507" s="13" t="n">
        <v>0</v>
      </c>
      <c r="F507" s="13" t="n">
        <v>0</v>
      </c>
      <c r="G507" s="17" t="n">
        <v>0</v>
      </c>
      <c r="H507" s="13" t="n">
        <v>1</v>
      </c>
      <c r="I507" s="13" t="n">
        <v>0</v>
      </c>
      <c r="J507" s="13" t="n">
        <v>0</v>
      </c>
      <c r="K507" s="13" t="n">
        <v>0</v>
      </c>
      <c r="L507" s="17" t="n">
        <v>0</v>
      </c>
      <c r="M507" s="18" t="n">
        <f aca="false">IF(H507=0,"",I507/H507)</f>
        <v>0</v>
      </c>
    </row>
    <row r="508" customFormat="false" ht="15" hidden="false" customHeight="false" outlineLevel="0" collapsed="false">
      <c r="A508" s="13" t="s">
        <v>428</v>
      </c>
      <c r="B508" s="13" t="s">
        <v>176</v>
      </c>
      <c r="C508" s="13" t="n">
        <v>0</v>
      </c>
      <c r="D508" s="13" t="n">
        <v>0</v>
      </c>
      <c r="E508" s="13" t="n">
        <v>0</v>
      </c>
      <c r="F508" s="13" t="n">
        <v>0</v>
      </c>
      <c r="G508" s="17" t="n">
        <v>0</v>
      </c>
      <c r="H508" s="13" t="n">
        <v>1</v>
      </c>
      <c r="I508" s="13" t="n">
        <v>0</v>
      </c>
      <c r="J508" s="13" t="n">
        <v>0</v>
      </c>
      <c r="K508" s="13" t="n">
        <v>0</v>
      </c>
      <c r="L508" s="17" t="n">
        <v>0</v>
      </c>
      <c r="M508" s="18" t="n">
        <f aca="false">IF(H508=0,"",I508/H508)</f>
        <v>0</v>
      </c>
    </row>
    <row r="509" customFormat="false" ht="15" hidden="false" customHeight="false" outlineLevel="0" collapsed="false">
      <c r="A509" s="13" t="s">
        <v>429</v>
      </c>
      <c r="B509" s="13" t="s">
        <v>176</v>
      </c>
      <c r="C509" s="13" t="n">
        <v>0</v>
      </c>
      <c r="D509" s="13" t="n">
        <v>0</v>
      </c>
      <c r="E509" s="13" t="n">
        <v>0</v>
      </c>
      <c r="F509" s="13" t="n">
        <v>0</v>
      </c>
      <c r="G509" s="17" t="n">
        <v>0</v>
      </c>
      <c r="H509" s="13" t="n">
        <v>1</v>
      </c>
      <c r="I509" s="13" t="n">
        <v>0</v>
      </c>
      <c r="J509" s="13" t="n">
        <v>0</v>
      </c>
      <c r="K509" s="13" t="n">
        <v>0</v>
      </c>
      <c r="L509" s="17" t="n">
        <v>0</v>
      </c>
      <c r="M509" s="18" t="n">
        <f aca="false">IF(H509=0,"",I509/H509)</f>
        <v>0</v>
      </c>
    </row>
    <row r="510" customFormat="false" ht="15" hidden="false" customHeight="false" outlineLevel="0" collapsed="false">
      <c r="A510" s="13" t="s">
        <v>430</v>
      </c>
      <c r="B510" s="13" t="s">
        <v>176</v>
      </c>
      <c r="C510" s="13" t="n">
        <v>0</v>
      </c>
      <c r="D510" s="13" t="n">
        <v>0</v>
      </c>
      <c r="E510" s="13" t="n">
        <v>0</v>
      </c>
      <c r="F510" s="13" t="n">
        <v>0</v>
      </c>
      <c r="G510" s="17" t="n">
        <v>0</v>
      </c>
      <c r="H510" s="13" t="n">
        <v>1</v>
      </c>
      <c r="I510" s="13" t="n">
        <v>0</v>
      </c>
      <c r="J510" s="13" t="n">
        <v>0</v>
      </c>
      <c r="K510" s="13" t="n">
        <v>0</v>
      </c>
      <c r="L510" s="17" t="n">
        <v>0</v>
      </c>
      <c r="M510" s="18" t="n">
        <f aca="false">IF(H510=0,"",I510/H510)</f>
        <v>0</v>
      </c>
    </row>
    <row r="511" customFormat="false" ht="15" hidden="false" customHeight="false" outlineLevel="0" collapsed="false">
      <c r="A511" s="13" t="s">
        <v>115</v>
      </c>
      <c r="B511" s="13" t="s">
        <v>169</v>
      </c>
      <c r="C511" s="13" t="n">
        <v>0</v>
      </c>
      <c r="D511" s="13" t="n">
        <v>0</v>
      </c>
      <c r="E511" s="13" t="n">
        <v>0</v>
      </c>
      <c r="F511" s="13" t="n">
        <v>0</v>
      </c>
      <c r="G511" s="17" t="n">
        <v>0</v>
      </c>
      <c r="H511" s="13" t="n">
        <v>22</v>
      </c>
      <c r="I511" s="13" t="n">
        <v>0</v>
      </c>
      <c r="J511" s="13" t="n">
        <v>19</v>
      </c>
      <c r="K511" s="13" t="n">
        <v>44</v>
      </c>
      <c r="L511" s="17" t="n">
        <v>0</v>
      </c>
      <c r="M511" s="18" t="n">
        <f aca="false">IF(H511=0,"",I511/H511)</f>
        <v>0</v>
      </c>
    </row>
    <row r="512" customFormat="false" ht="15" hidden="false" customHeight="false" outlineLevel="0" collapsed="false">
      <c r="A512" s="13" t="s">
        <v>115</v>
      </c>
      <c r="B512" s="13" t="s">
        <v>170</v>
      </c>
      <c r="C512" s="13" t="n">
        <v>0</v>
      </c>
      <c r="D512" s="13" t="n">
        <v>0</v>
      </c>
      <c r="E512" s="13" t="n">
        <v>0</v>
      </c>
      <c r="F512" s="13" t="n">
        <v>0</v>
      </c>
      <c r="G512" s="17" t="n">
        <v>0</v>
      </c>
      <c r="H512" s="13" t="n">
        <v>23</v>
      </c>
      <c r="I512" s="13" t="n">
        <v>0</v>
      </c>
      <c r="J512" s="13" t="n">
        <v>2</v>
      </c>
      <c r="K512" s="13" t="n">
        <v>2</v>
      </c>
      <c r="L512" s="17" t="n">
        <v>0</v>
      </c>
      <c r="M512" s="18" t="n">
        <f aca="false">IF(H512=0,"",I512/H512)</f>
        <v>0</v>
      </c>
    </row>
    <row r="513" customFormat="false" ht="15" hidden="false" customHeight="false" outlineLevel="0" collapsed="false">
      <c r="A513" s="13" t="s">
        <v>115</v>
      </c>
      <c r="B513" s="13" t="s">
        <v>171</v>
      </c>
      <c r="C513" s="13" t="n">
        <v>0</v>
      </c>
      <c r="D513" s="13" t="n">
        <v>0</v>
      </c>
      <c r="E513" s="13" t="n">
        <v>0</v>
      </c>
      <c r="F513" s="13" t="n">
        <v>0</v>
      </c>
      <c r="G513" s="17" t="n">
        <v>0</v>
      </c>
      <c r="H513" s="13" t="n">
        <v>11</v>
      </c>
      <c r="I513" s="13" t="n">
        <v>0</v>
      </c>
      <c r="J513" s="13" t="n">
        <v>9</v>
      </c>
      <c r="K513" s="13" t="n">
        <v>0</v>
      </c>
      <c r="L513" s="17" t="n">
        <v>0.00077133</v>
      </c>
      <c r="M513" s="18" t="n">
        <f aca="false">IF(H513=0,"",I513/H513)</f>
        <v>0</v>
      </c>
    </row>
    <row r="514" customFormat="false" ht="15" hidden="false" customHeight="false" outlineLevel="0" collapsed="false">
      <c r="A514" s="13" t="s">
        <v>115</v>
      </c>
      <c r="B514" s="13" t="s">
        <v>172</v>
      </c>
      <c r="C514" s="13" t="n">
        <v>0</v>
      </c>
      <c r="D514" s="13" t="n">
        <v>0</v>
      </c>
      <c r="E514" s="13" t="n">
        <v>0</v>
      </c>
      <c r="F514" s="13" t="n">
        <v>0</v>
      </c>
      <c r="G514" s="17" t="n">
        <v>0</v>
      </c>
      <c r="H514" s="13" t="n">
        <v>120</v>
      </c>
      <c r="I514" s="13" t="n">
        <v>1</v>
      </c>
      <c r="J514" s="13" t="n">
        <v>119</v>
      </c>
      <c r="K514" s="13" t="n">
        <v>0</v>
      </c>
      <c r="L514" s="17" t="n">
        <v>0.0765210666666667</v>
      </c>
      <c r="M514" s="18" t="n">
        <f aca="false">IF(H514=0,"",I514/H514)</f>
        <v>0.00833333333333333</v>
      </c>
    </row>
    <row r="515" customFormat="false" ht="15" hidden="false" customHeight="false" outlineLevel="0" collapsed="false">
      <c r="A515" s="13" t="s">
        <v>115</v>
      </c>
      <c r="B515" s="13" t="s">
        <v>173</v>
      </c>
      <c r="C515" s="13" t="n">
        <v>0</v>
      </c>
      <c r="D515" s="13" t="n">
        <v>0</v>
      </c>
      <c r="E515" s="13" t="n">
        <v>0</v>
      </c>
      <c r="F515" s="13" t="n">
        <v>0</v>
      </c>
      <c r="G515" s="17" t="n">
        <v>0</v>
      </c>
      <c r="H515" s="13" t="n">
        <v>3</v>
      </c>
      <c r="I515" s="13" t="n">
        <v>3</v>
      </c>
      <c r="J515" s="13" t="n">
        <v>0</v>
      </c>
      <c r="K515" s="13" t="n">
        <v>0</v>
      </c>
      <c r="L515" s="17" t="n">
        <v>0.0049904</v>
      </c>
      <c r="M515" s="18" t="n">
        <f aca="false">IF(H515=0,"",I515/H515)</f>
        <v>1</v>
      </c>
    </row>
    <row r="516" customFormat="false" ht="15" hidden="false" customHeight="false" outlineLevel="0" collapsed="false">
      <c r="A516" s="13" t="s">
        <v>115</v>
      </c>
      <c r="B516" s="13" t="s">
        <v>175</v>
      </c>
      <c r="C516" s="13" t="n">
        <v>0</v>
      </c>
      <c r="D516" s="13" t="n">
        <v>0</v>
      </c>
      <c r="E516" s="13" t="n">
        <v>0</v>
      </c>
      <c r="F516" s="13" t="n">
        <v>0</v>
      </c>
      <c r="G516" s="17" t="n">
        <v>0</v>
      </c>
      <c r="H516" s="13" t="n">
        <v>5</v>
      </c>
      <c r="I516" s="13" t="n">
        <v>0</v>
      </c>
      <c r="J516" s="13" t="n">
        <v>0</v>
      </c>
      <c r="K516" s="13" t="n">
        <v>5</v>
      </c>
      <c r="L516" s="17" t="n">
        <v>0</v>
      </c>
      <c r="M516" s="18" t="n">
        <f aca="false">IF(H516=0,"",I516/H516)</f>
        <v>0</v>
      </c>
    </row>
    <row r="517" customFormat="false" ht="15" hidden="false" customHeight="false" outlineLevel="0" collapsed="false">
      <c r="A517" s="13" t="s">
        <v>115</v>
      </c>
      <c r="B517" s="13" t="s">
        <v>176</v>
      </c>
      <c r="C517" s="13" t="n">
        <v>0</v>
      </c>
      <c r="D517" s="13" t="n">
        <v>0</v>
      </c>
      <c r="E517" s="13" t="n">
        <v>0</v>
      </c>
      <c r="F517" s="13" t="n">
        <v>0</v>
      </c>
      <c r="G517" s="17" t="n">
        <v>0</v>
      </c>
      <c r="H517" s="13" t="n">
        <v>98</v>
      </c>
      <c r="I517" s="13" t="n">
        <v>0</v>
      </c>
      <c r="J517" s="13" t="n">
        <v>0</v>
      </c>
      <c r="K517" s="13" t="n">
        <v>0</v>
      </c>
      <c r="L517" s="17" t="n">
        <v>0</v>
      </c>
      <c r="M517" s="18" t="n">
        <f aca="false">IF(H517=0,"",I517/H517)</f>
        <v>0</v>
      </c>
    </row>
    <row r="518" customFormat="false" ht="15" hidden="false" customHeight="false" outlineLevel="0" collapsed="false">
      <c r="A518" s="13" t="s">
        <v>431</v>
      </c>
      <c r="B518" s="13" t="s">
        <v>176</v>
      </c>
      <c r="C518" s="13" t="n">
        <v>0</v>
      </c>
      <c r="D518" s="13" t="n">
        <v>0</v>
      </c>
      <c r="E518" s="13" t="n">
        <v>0</v>
      </c>
      <c r="F518" s="13" t="n">
        <v>0</v>
      </c>
      <c r="G518" s="17" t="n">
        <v>0</v>
      </c>
      <c r="H518" s="13" t="n">
        <v>1</v>
      </c>
      <c r="I518" s="13" t="n">
        <v>0</v>
      </c>
      <c r="J518" s="13" t="n">
        <v>0</v>
      </c>
      <c r="K518" s="13" t="n">
        <v>0</v>
      </c>
      <c r="L518" s="17" t="n">
        <v>0</v>
      </c>
      <c r="M518" s="18" t="n">
        <f aca="false">IF(H518=0,"",I518/H518)</f>
        <v>0</v>
      </c>
    </row>
    <row r="519" customFormat="false" ht="15" hidden="false" customHeight="false" outlineLevel="0" collapsed="false">
      <c r="A519" s="13" t="s">
        <v>432</v>
      </c>
      <c r="B519" s="13" t="s">
        <v>176</v>
      </c>
      <c r="C519" s="13" t="n">
        <v>0</v>
      </c>
      <c r="D519" s="13" t="n">
        <v>0</v>
      </c>
      <c r="E519" s="13" t="n">
        <v>0</v>
      </c>
      <c r="F519" s="13" t="n">
        <v>0</v>
      </c>
      <c r="G519" s="17" t="n">
        <v>0</v>
      </c>
      <c r="H519" s="13" t="n">
        <v>1</v>
      </c>
      <c r="I519" s="13" t="n">
        <v>0</v>
      </c>
      <c r="J519" s="13" t="n">
        <v>0</v>
      </c>
      <c r="K519" s="13" t="n">
        <v>0</v>
      </c>
      <c r="L519" s="17" t="n">
        <v>0</v>
      </c>
      <c r="M519" s="18" t="n">
        <f aca="false">IF(H519=0,"",I519/H519)</f>
        <v>0</v>
      </c>
    </row>
    <row r="520" customFormat="false" ht="15" hidden="false" customHeight="false" outlineLevel="0" collapsed="false">
      <c r="A520" s="13" t="s">
        <v>433</v>
      </c>
      <c r="B520" s="13" t="s">
        <v>176</v>
      </c>
      <c r="C520" s="13" t="n">
        <v>0</v>
      </c>
      <c r="D520" s="13" t="n">
        <v>0</v>
      </c>
      <c r="E520" s="13" t="n">
        <v>0</v>
      </c>
      <c r="F520" s="13" t="n">
        <v>0</v>
      </c>
      <c r="G520" s="17" t="n">
        <v>0</v>
      </c>
      <c r="H520" s="13" t="n">
        <v>1</v>
      </c>
      <c r="I520" s="13" t="n">
        <v>0</v>
      </c>
      <c r="J520" s="13" t="n">
        <v>0</v>
      </c>
      <c r="K520" s="13" t="n">
        <v>0</v>
      </c>
      <c r="L520" s="17" t="n">
        <v>0</v>
      </c>
      <c r="M520" s="18" t="n">
        <f aca="false">IF(H520=0,"",I520/H520)</f>
        <v>0</v>
      </c>
    </row>
    <row r="521" customFormat="false" ht="15" hidden="false" customHeight="false" outlineLevel="0" collapsed="false">
      <c r="A521" s="13" t="s">
        <v>434</v>
      </c>
      <c r="B521" s="13" t="s">
        <v>176</v>
      </c>
      <c r="C521" s="13" t="n">
        <v>0</v>
      </c>
      <c r="D521" s="13" t="n">
        <v>0</v>
      </c>
      <c r="E521" s="13" t="n">
        <v>0</v>
      </c>
      <c r="F521" s="13" t="n">
        <v>0</v>
      </c>
      <c r="G521" s="17" t="n">
        <v>0</v>
      </c>
      <c r="H521" s="13" t="n">
        <v>1</v>
      </c>
      <c r="I521" s="13" t="n">
        <v>0</v>
      </c>
      <c r="J521" s="13" t="n">
        <v>0</v>
      </c>
      <c r="K521" s="13" t="n">
        <v>0</v>
      </c>
      <c r="L521" s="17" t="n">
        <v>0</v>
      </c>
      <c r="M521" s="18" t="n">
        <f aca="false">IF(H521=0,"",I521/H521)</f>
        <v>0</v>
      </c>
    </row>
    <row r="522" customFormat="false" ht="15" hidden="false" customHeight="false" outlineLevel="0" collapsed="false">
      <c r="A522" s="13" t="s">
        <v>77</v>
      </c>
      <c r="B522" s="13" t="s">
        <v>169</v>
      </c>
      <c r="C522" s="13" t="n">
        <v>0</v>
      </c>
      <c r="D522" s="13" t="n">
        <v>0</v>
      </c>
      <c r="E522" s="13" t="n">
        <v>0</v>
      </c>
      <c r="F522" s="13" t="n">
        <v>0</v>
      </c>
      <c r="G522" s="17" t="n">
        <v>0</v>
      </c>
      <c r="H522" s="13" t="n">
        <v>28</v>
      </c>
      <c r="I522" s="13" t="n">
        <v>0</v>
      </c>
      <c r="J522" s="13" t="n">
        <v>23</v>
      </c>
      <c r="K522" s="13" t="n">
        <v>56</v>
      </c>
      <c r="L522" s="17" t="n">
        <v>0</v>
      </c>
      <c r="M522" s="18" t="n">
        <f aca="false">IF(H522=0,"",I522/H522)</f>
        <v>0</v>
      </c>
    </row>
    <row r="523" customFormat="false" ht="15" hidden="false" customHeight="false" outlineLevel="0" collapsed="false">
      <c r="A523" s="13" t="s">
        <v>77</v>
      </c>
      <c r="B523" s="13" t="s">
        <v>170</v>
      </c>
      <c r="C523" s="13" t="n">
        <v>0</v>
      </c>
      <c r="D523" s="13" t="n">
        <v>0</v>
      </c>
      <c r="E523" s="13" t="n">
        <v>0</v>
      </c>
      <c r="F523" s="13" t="n">
        <v>0</v>
      </c>
      <c r="G523" s="17" t="n">
        <v>0</v>
      </c>
      <c r="H523" s="13" t="n">
        <v>78</v>
      </c>
      <c r="I523" s="13" t="n">
        <v>23</v>
      </c>
      <c r="J523" s="13" t="n">
        <v>11</v>
      </c>
      <c r="K523" s="13" t="n">
        <v>33</v>
      </c>
      <c r="L523" s="17" t="n">
        <v>0</v>
      </c>
      <c r="M523" s="18" t="n">
        <f aca="false">IF(H523=0,"",I523/H523)</f>
        <v>0.294871794871795</v>
      </c>
    </row>
    <row r="524" customFormat="false" ht="15" hidden="false" customHeight="false" outlineLevel="0" collapsed="false">
      <c r="A524" s="13" t="s">
        <v>77</v>
      </c>
      <c r="B524" s="13" t="s">
        <v>171</v>
      </c>
      <c r="C524" s="13" t="n">
        <v>0</v>
      </c>
      <c r="D524" s="13" t="n">
        <v>0</v>
      </c>
      <c r="E524" s="13" t="n">
        <v>0</v>
      </c>
      <c r="F524" s="13" t="n">
        <v>0</v>
      </c>
      <c r="G524" s="17" t="n">
        <v>0</v>
      </c>
      <c r="H524" s="13" t="n">
        <v>28</v>
      </c>
      <c r="I524" s="13" t="n">
        <v>3</v>
      </c>
      <c r="J524" s="13" t="n">
        <v>3</v>
      </c>
      <c r="K524" s="13" t="n">
        <v>0</v>
      </c>
      <c r="L524" s="17" t="n">
        <v>0.003405</v>
      </c>
      <c r="M524" s="18" t="n">
        <f aca="false">IF(H524=0,"",I524/H524)</f>
        <v>0.107142857142857</v>
      </c>
    </row>
    <row r="525" customFormat="false" ht="15" hidden="false" customHeight="false" outlineLevel="0" collapsed="false">
      <c r="A525" s="13" t="s">
        <v>77</v>
      </c>
      <c r="B525" s="13" t="s">
        <v>172</v>
      </c>
      <c r="C525" s="13" t="n">
        <v>0</v>
      </c>
      <c r="D525" s="13" t="n">
        <v>0</v>
      </c>
      <c r="E525" s="13" t="n">
        <v>0</v>
      </c>
      <c r="F525" s="13" t="n">
        <v>0</v>
      </c>
      <c r="G525" s="17" t="n">
        <v>0</v>
      </c>
      <c r="H525" s="13" t="n">
        <v>312</v>
      </c>
      <c r="I525" s="13" t="n">
        <v>28</v>
      </c>
      <c r="J525" s="13" t="n">
        <v>281</v>
      </c>
      <c r="K525" s="13" t="n">
        <v>0</v>
      </c>
      <c r="L525" s="17" t="n">
        <v>0.178079266666667</v>
      </c>
      <c r="M525" s="18" t="n">
        <f aca="false">IF(H525=0,"",I525/H525)</f>
        <v>0.0897435897435897</v>
      </c>
    </row>
    <row r="526" customFormat="false" ht="15" hidden="false" customHeight="false" outlineLevel="0" collapsed="false">
      <c r="A526" s="13" t="s">
        <v>77</v>
      </c>
      <c r="B526" s="13" t="s">
        <v>173</v>
      </c>
      <c r="C526" s="13" t="n">
        <v>0</v>
      </c>
      <c r="D526" s="13" t="n">
        <v>0</v>
      </c>
      <c r="E526" s="13" t="n">
        <v>0</v>
      </c>
      <c r="F526" s="13" t="n">
        <v>0</v>
      </c>
      <c r="G526" s="17" t="n">
        <v>0</v>
      </c>
      <c r="H526" s="13" t="n">
        <v>46</v>
      </c>
      <c r="I526" s="13" t="n">
        <v>17</v>
      </c>
      <c r="J526" s="13" t="n">
        <v>29</v>
      </c>
      <c r="K526" s="13" t="n">
        <v>0</v>
      </c>
      <c r="L526" s="17" t="n">
        <v>0.0857912</v>
      </c>
      <c r="M526" s="18" t="n">
        <f aca="false">IF(H526=0,"",I526/H526)</f>
        <v>0.369565217391304</v>
      </c>
    </row>
    <row r="527" customFormat="false" ht="15" hidden="false" customHeight="false" outlineLevel="0" collapsed="false">
      <c r="A527" s="13" t="s">
        <v>77</v>
      </c>
      <c r="B527" s="13" t="s">
        <v>175</v>
      </c>
      <c r="C527" s="13" t="n">
        <v>0</v>
      </c>
      <c r="D527" s="13" t="n">
        <v>0</v>
      </c>
      <c r="E527" s="13" t="n">
        <v>0</v>
      </c>
      <c r="F527" s="13" t="n">
        <v>0</v>
      </c>
      <c r="G527" s="17" t="n">
        <v>0</v>
      </c>
      <c r="H527" s="13" t="n">
        <v>5</v>
      </c>
      <c r="I527" s="13" t="n">
        <v>0</v>
      </c>
      <c r="J527" s="13" t="n">
        <v>0</v>
      </c>
      <c r="K527" s="13" t="n">
        <v>18</v>
      </c>
      <c r="L527" s="17" t="n">
        <v>0</v>
      </c>
      <c r="M527" s="18" t="n">
        <f aca="false">IF(H527=0,"",I527/H527)</f>
        <v>0</v>
      </c>
    </row>
    <row r="528" customFormat="false" ht="15" hidden="false" customHeight="false" outlineLevel="0" collapsed="false">
      <c r="A528" s="13" t="s">
        <v>77</v>
      </c>
      <c r="B528" s="13" t="s">
        <v>176</v>
      </c>
      <c r="C528" s="13" t="n">
        <v>0</v>
      </c>
      <c r="D528" s="13" t="n">
        <v>0</v>
      </c>
      <c r="E528" s="13" t="n">
        <v>0</v>
      </c>
      <c r="F528" s="13" t="n">
        <v>0</v>
      </c>
      <c r="G528" s="17" t="n">
        <v>0</v>
      </c>
      <c r="H528" s="13" t="n">
        <v>145</v>
      </c>
      <c r="I528" s="13" t="n">
        <v>0</v>
      </c>
      <c r="J528" s="13" t="n">
        <v>0</v>
      </c>
      <c r="K528" s="13" t="n">
        <v>0</v>
      </c>
      <c r="L528" s="17" t="n">
        <v>0</v>
      </c>
      <c r="M528" s="18" t="n">
        <f aca="false">IF(H528=0,"",I528/H528)</f>
        <v>0</v>
      </c>
    </row>
    <row r="529" customFormat="false" ht="15" hidden="false" customHeight="false" outlineLevel="0" collapsed="false">
      <c r="A529" s="13" t="s">
        <v>435</v>
      </c>
      <c r="B529" s="13" t="s">
        <v>176</v>
      </c>
      <c r="C529" s="13" t="n">
        <v>0</v>
      </c>
      <c r="D529" s="13" t="n">
        <v>0</v>
      </c>
      <c r="E529" s="13" t="n">
        <v>0</v>
      </c>
      <c r="F529" s="13" t="n">
        <v>0</v>
      </c>
      <c r="G529" s="17" t="n">
        <v>0</v>
      </c>
      <c r="H529" s="13" t="n">
        <v>1</v>
      </c>
      <c r="I529" s="13" t="n">
        <v>0</v>
      </c>
      <c r="J529" s="13" t="n">
        <v>0</v>
      </c>
      <c r="K529" s="13" t="n">
        <v>0</v>
      </c>
      <c r="L529" s="17" t="n">
        <v>0</v>
      </c>
      <c r="M529" s="18" t="n">
        <f aca="false">IF(H529=0,"",I529/H529)</f>
        <v>0</v>
      </c>
    </row>
    <row r="530" customFormat="false" ht="15" hidden="false" customHeight="false" outlineLevel="0" collapsed="false">
      <c r="A530" s="13" t="s">
        <v>436</v>
      </c>
      <c r="B530" s="13" t="s">
        <v>176</v>
      </c>
      <c r="C530" s="13" t="n">
        <v>0</v>
      </c>
      <c r="D530" s="13" t="n">
        <v>0</v>
      </c>
      <c r="E530" s="13" t="n">
        <v>0</v>
      </c>
      <c r="F530" s="13" t="n">
        <v>0</v>
      </c>
      <c r="G530" s="17" t="n">
        <v>0</v>
      </c>
      <c r="H530" s="13" t="n">
        <v>1</v>
      </c>
      <c r="I530" s="13" t="n">
        <v>0</v>
      </c>
      <c r="J530" s="13" t="n">
        <v>0</v>
      </c>
      <c r="K530" s="13" t="n">
        <v>0</v>
      </c>
      <c r="L530" s="17" t="n">
        <v>0</v>
      </c>
      <c r="M530" s="18" t="n">
        <f aca="false">IF(H530=0,"",I530/H530)</f>
        <v>0</v>
      </c>
    </row>
    <row r="531" customFormat="false" ht="15" hidden="false" customHeight="false" outlineLevel="0" collapsed="false">
      <c r="A531" s="13" t="s">
        <v>437</v>
      </c>
      <c r="B531" s="13" t="s">
        <v>176</v>
      </c>
      <c r="C531" s="13" t="n">
        <v>0</v>
      </c>
      <c r="D531" s="13" t="n">
        <v>0</v>
      </c>
      <c r="E531" s="13" t="n">
        <v>0</v>
      </c>
      <c r="F531" s="13" t="n">
        <v>0</v>
      </c>
      <c r="G531" s="17" t="n">
        <v>0</v>
      </c>
      <c r="H531" s="13" t="n">
        <v>1</v>
      </c>
      <c r="I531" s="13" t="n">
        <v>0</v>
      </c>
      <c r="J531" s="13" t="n">
        <v>0</v>
      </c>
      <c r="K531" s="13" t="n">
        <v>0</v>
      </c>
      <c r="L531" s="17" t="n">
        <v>0</v>
      </c>
      <c r="M531" s="18" t="n">
        <f aca="false">IF(H531=0,"",I531/H531)</f>
        <v>0</v>
      </c>
    </row>
    <row r="532" customFormat="false" ht="15" hidden="false" customHeight="false" outlineLevel="0" collapsed="false">
      <c r="A532" s="13" t="s">
        <v>438</v>
      </c>
      <c r="B532" s="13" t="s">
        <v>176</v>
      </c>
      <c r="C532" s="13" t="n">
        <v>0</v>
      </c>
      <c r="D532" s="13" t="n">
        <v>0</v>
      </c>
      <c r="E532" s="13" t="n">
        <v>0</v>
      </c>
      <c r="F532" s="13" t="n">
        <v>0</v>
      </c>
      <c r="G532" s="17" t="n">
        <v>0</v>
      </c>
      <c r="H532" s="13" t="n">
        <v>1</v>
      </c>
      <c r="I532" s="13" t="n">
        <v>0</v>
      </c>
      <c r="J532" s="13" t="n">
        <v>0</v>
      </c>
      <c r="K532" s="13" t="n">
        <v>0</v>
      </c>
      <c r="L532" s="17" t="n">
        <v>0</v>
      </c>
      <c r="M532" s="18" t="n">
        <f aca="false">IF(H532=0,"",I532/H532)</f>
        <v>0</v>
      </c>
    </row>
    <row r="533" customFormat="false" ht="15" hidden="false" customHeight="false" outlineLevel="0" collapsed="false">
      <c r="A533" s="13" t="s">
        <v>439</v>
      </c>
      <c r="B533" s="13" t="s">
        <v>176</v>
      </c>
      <c r="C533" s="13" t="n">
        <v>0</v>
      </c>
      <c r="D533" s="13" t="n">
        <v>0</v>
      </c>
      <c r="E533" s="13" t="n">
        <v>0</v>
      </c>
      <c r="F533" s="13" t="n">
        <v>0</v>
      </c>
      <c r="G533" s="17" t="n">
        <v>0</v>
      </c>
      <c r="H533" s="13" t="n">
        <v>1</v>
      </c>
      <c r="I533" s="13" t="n">
        <v>0</v>
      </c>
      <c r="J533" s="13" t="n">
        <v>0</v>
      </c>
      <c r="K533" s="13" t="n">
        <v>0</v>
      </c>
      <c r="L533" s="17" t="n">
        <v>0</v>
      </c>
      <c r="M533" s="18" t="n">
        <f aca="false">IF(H533=0,"",I533/H533)</f>
        <v>0</v>
      </c>
    </row>
    <row r="534" customFormat="false" ht="15" hidden="false" customHeight="false" outlineLevel="0" collapsed="false">
      <c r="A534" s="13" t="s">
        <v>440</v>
      </c>
      <c r="B534" s="13" t="s">
        <v>176</v>
      </c>
      <c r="C534" s="13" t="n">
        <v>0</v>
      </c>
      <c r="D534" s="13" t="n">
        <v>0</v>
      </c>
      <c r="E534" s="13" t="n">
        <v>0</v>
      </c>
      <c r="F534" s="13" t="n">
        <v>0</v>
      </c>
      <c r="G534" s="17" t="n">
        <v>0</v>
      </c>
      <c r="H534" s="13" t="n">
        <v>1</v>
      </c>
      <c r="I534" s="13" t="n">
        <v>0</v>
      </c>
      <c r="J534" s="13" t="n">
        <v>0</v>
      </c>
      <c r="K534" s="13" t="n">
        <v>0</v>
      </c>
      <c r="L534" s="17" t="n">
        <v>0</v>
      </c>
      <c r="M534" s="18" t="n">
        <f aca="false">IF(H534=0,"",I534/H534)</f>
        <v>0</v>
      </c>
    </row>
    <row r="535" customFormat="false" ht="15" hidden="false" customHeight="false" outlineLevel="0" collapsed="false">
      <c r="A535" s="13" t="s">
        <v>441</v>
      </c>
      <c r="B535" s="13" t="s">
        <v>176</v>
      </c>
      <c r="C535" s="13" t="n">
        <v>0</v>
      </c>
      <c r="D535" s="13" t="n">
        <v>0</v>
      </c>
      <c r="E535" s="13" t="n">
        <v>0</v>
      </c>
      <c r="F535" s="13" t="n">
        <v>0</v>
      </c>
      <c r="G535" s="17" t="n">
        <v>0</v>
      </c>
      <c r="H535" s="13" t="n">
        <v>1</v>
      </c>
      <c r="I535" s="13" t="n">
        <v>0</v>
      </c>
      <c r="J535" s="13" t="n">
        <v>0</v>
      </c>
      <c r="K535" s="13" t="n">
        <v>0</v>
      </c>
      <c r="L535" s="17" t="n">
        <v>0</v>
      </c>
      <c r="M535" s="18" t="n">
        <f aca="false">IF(H535=0,"",I535/H535)</f>
        <v>0</v>
      </c>
    </row>
    <row r="536" customFormat="false" ht="15" hidden="false" customHeight="false" outlineLevel="0" collapsed="false">
      <c r="A536" s="13" t="s">
        <v>442</v>
      </c>
      <c r="B536" s="13" t="s">
        <v>176</v>
      </c>
      <c r="C536" s="13" t="n">
        <v>0</v>
      </c>
      <c r="D536" s="13" t="n">
        <v>0</v>
      </c>
      <c r="E536" s="13" t="n">
        <v>0</v>
      </c>
      <c r="F536" s="13" t="n">
        <v>0</v>
      </c>
      <c r="G536" s="17" t="n">
        <v>0</v>
      </c>
      <c r="H536" s="13" t="n">
        <v>1</v>
      </c>
      <c r="I536" s="13" t="n">
        <v>0</v>
      </c>
      <c r="J536" s="13" t="n">
        <v>0</v>
      </c>
      <c r="K536" s="13" t="n">
        <v>0</v>
      </c>
      <c r="L536" s="17" t="n">
        <v>0</v>
      </c>
      <c r="M536" s="18" t="n">
        <f aca="false">IF(H536=0,"",I536/H536)</f>
        <v>0</v>
      </c>
    </row>
    <row r="537" customFormat="false" ht="15" hidden="false" customHeight="false" outlineLevel="0" collapsed="false">
      <c r="A537" s="13" t="s">
        <v>443</v>
      </c>
      <c r="B537" s="13" t="s">
        <v>176</v>
      </c>
      <c r="C537" s="13" t="n">
        <v>0</v>
      </c>
      <c r="D537" s="13" t="n">
        <v>0</v>
      </c>
      <c r="E537" s="13" t="n">
        <v>0</v>
      </c>
      <c r="F537" s="13" t="n">
        <v>0</v>
      </c>
      <c r="G537" s="17" t="n">
        <v>0</v>
      </c>
      <c r="H537" s="13" t="n">
        <v>1</v>
      </c>
      <c r="I537" s="13" t="n">
        <v>0</v>
      </c>
      <c r="J537" s="13" t="n">
        <v>0</v>
      </c>
      <c r="K537" s="13" t="n">
        <v>0</v>
      </c>
      <c r="L537" s="17" t="n">
        <v>0</v>
      </c>
      <c r="M537" s="18" t="n">
        <f aca="false">IF(H537=0,"",I537/H537)</f>
        <v>0</v>
      </c>
    </row>
    <row r="538" customFormat="false" ht="15" hidden="false" customHeight="false" outlineLevel="0" collapsed="false">
      <c r="A538" s="13" t="s">
        <v>444</v>
      </c>
      <c r="B538" s="13" t="s">
        <v>176</v>
      </c>
      <c r="C538" s="13" t="n">
        <v>0</v>
      </c>
      <c r="D538" s="13" t="n">
        <v>0</v>
      </c>
      <c r="E538" s="13" t="n">
        <v>0</v>
      </c>
      <c r="F538" s="13" t="n">
        <v>0</v>
      </c>
      <c r="G538" s="17" t="n">
        <v>0</v>
      </c>
      <c r="H538" s="13" t="n">
        <v>1</v>
      </c>
      <c r="I538" s="13" t="n">
        <v>0</v>
      </c>
      <c r="J538" s="13" t="n">
        <v>0</v>
      </c>
      <c r="K538" s="13" t="n">
        <v>0</v>
      </c>
      <c r="L538" s="17" t="n">
        <v>0</v>
      </c>
      <c r="M538" s="18" t="n">
        <f aca="false">IF(H538=0,"",I538/H538)</f>
        <v>0</v>
      </c>
    </row>
    <row r="539" customFormat="false" ht="15" hidden="false" customHeight="false" outlineLevel="0" collapsed="false">
      <c r="A539" s="13" t="s">
        <v>445</v>
      </c>
      <c r="B539" s="13" t="s">
        <v>176</v>
      </c>
      <c r="C539" s="13" t="n">
        <v>0</v>
      </c>
      <c r="D539" s="13" t="n">
        <v>0</v>
      </c>
      <c r="E539" s="13" t="n">
        <v>0</v>
      </c>
      <c r="F539" s="13" t="n">
        <v>0</v>
      </c>
      <c r="G539" s="17" t="n">
        <v>0</v>
      </c>
      <c r="H539" s="13" t="n">
        <v>1</v>
      </c>
      <c r="I539" s="13" t="n">
        <v>0</v>
      </c>
      <c r="J539" s="13" t="n">
        <v>0</v>
      </c>
      <c r="K539" s="13" t="n">
        <v>0</v>
      </c>
      <c r="L539" s="17" t="n">
        <v>0</v>
      </c>
      <c r="M539" s="18" t="n">
        <f aca="false">IF(H539=0,"",I539/H539)</f>
        <v>0</v>
      </c>
    </row>
    <row r="540" customFormat="false" ht="15" hidden="false" customHeight="false" outlineLevel="0" collapsed="false">
      <c r="A540" s="13" t="s">
        <v>446</v>
      </c>
      <c r="B540" s="13" t="s">
        <v>176</v>
      </c>
      <c r="C540" s="13" t="n">
        <v>0</v>
      </c>
      <c r="D540" s="13" t="n">
        <v>0</v>
      </c>
      <c r="E540" s="13" t="n">
        <v>0</v>
      </c>
      <c r="F540" s="13" t="n">
        <v>0</v>
      </c>
      <c r="G540" s="17" t="n">
        <v>0</v>
      </c>
      <c r="H540" s="13" t="n">
        <v>1</v>
      </c>
      <c r="I540" s="13" t="n">
        <v>0</v>
      </c>
      <c r="J540" s="13" t="n">
        <v>0</v>
      </c>
      <c r="K540" s="13" t="n">
        <v>0</v>
      </c>
      <c r="L540" s="17" t="n">
        <v>0</v>
      </c>
      <c r="M540" s="18" t="n">
        <f aca="false">IF(H540=0,"",I540/H540)</f>
        <v>0</v>
      </c>
    </row>
    <row r="541" customFormat="false" ht="15" hidden="false" customHeight="false" outlineLevel="0" collapsed="false">
      <c r="A541" s="13" t="s">
        <v>447</v>
      </c>
      <c r="B541" s="13" t="s">
        <v>176</v>
      </c>
      <c r="C541" s="13" t="n">
        <v>0</v>
      </c>
      <c r="D541" s="13" t="n">
        <v>0</v>
      </c>
      <c r="E541" s="13" t="n">
        <v>0</v>
      </c>
      <c r="F541" s="13" t="n">
        <v>0</v>
      </c>
      <c r="G541" s="17" t="n">
        <v>0</v>
      </c>
      <c r="H541" s="13" t="n">
        <v>1</v>
      </c>
      <c r="I541" s="13" t="n">
        <v>0</v>
      </c>
      <c r="J541" s="13" t="n">
        <v>0</v>
      </c>
      <c r="K541" s="13" t="n">
        <v>0</v>
      </c>
      <c r="L541" s="17" t="n">
        <v>0</v>
      </c>
      <c r="M541" s="18" t="n">
        <f aca="false">IF(H541=0,"",I541/H541)</f>
        <v>0</v>
      </c>
    </row>
    <row r="542" customFormat="false" ht="15" hidden="false" customHeight="false" outlineLevel="0" collapsed="false">
      <c r="A542" s="13" t="s">
        <v>448</v>
      </c>
      <c r="B542" s="13" t="s">
        <v>176</v>
      </c>
      <c r="C542" s="13" t="n">
        <v>0</v>
      </c>
      <c r="D542" s="13" t="n">
        <v>0</v>
      </c>
      <c r="E542" s="13" t="n">
        <v>0</v>
      </c>
      <c r="F542" s="13" t="n">
        <v>0</v>
      </c>
      <c r="G542" s="17" t="n">
        <v>0</v>
      </c>
      <c r="H542" s="13" t="n">
        <v>1</v>
      </c>
      <c r="I542" s="13" t="n">
        <v>0</v>
      </c>
      <c r="J542" s="13" t="n">
        <v>0</v>
      </c>
      <c r="K542" s="13" t="n">
        <v>0</v>
      </c>
      <c r="L542" s="17" t="n">
        <v>0</v>
      </c>
      <c r="M542" s="18" t="n">
        <f aca="false">IF(H542=0,"",I542/H542)</f>
        <v>0</v>
      </c>
    </row>
    <row r="543" customFormat="false" ht="15" hidden="false" customHeight="false" outlineLevel="0" collapsed="false">
      <c r="A543" s="13" t="s">
        <v>53</v>
      </c>
      <c r="B543" s="13" t="s">
        <v>170</v>
      </c>
      <c r="C543" s="13" t="n">
        <v>0</v>
      </c>
      <c r="D543" s="13" t="n">
        <v>0</v>
      </c>
      <c r="E543" s="13" t="n">
        <v>0</v>
      </c>
      <c r="F543" s="13" t="n">
        <v>0</v>
      </c>
      <c r="G543" s="17" t="n">
        <v>0</v>
      </c>
      <c r="H543" s="13" t="n">
        <v>42</v>
      </c>
      <c r="I543" s="13" t="n">
        <v>19</v>
      </c>
      <c r="J543" s="13" t="n">
        <v>23</v>
      </c>
      <c r="K543" s="13" t="n">
        <v>0</v>
      </c>
      <c r="L543" s="17" t="n">
        <v>0</v>
      </c>
      <c r="M543" s="18" t="n">
        <f aca="false">IF(H543=0,"",I543/H543)</f>
        <v>0.452380952380952</v>
      </c>
    </row>
    <row r="544" customFormat="false" ht="15" hidden="false" customHeight="false" outlineLevel="0" collapsed="false">
      <c r="A544" s="13" t="s">
        <v>53</v>
      </c>
      <c r="B544" s="13" t="s">
        <v>172</v>
      </c>
      <c r="C544" s="13" t="n">
        <v>0</v>
      </c>
      <c r="D544" s="13" t="n">
        <v>0</v>
      </c>
      <c r="E544" s="13" t="n">
        <v>0</v>
      </c>
      <c r="F544" s="13" t="n">
        <v>0</v>
      </c>
      <c r="G544" s="17" t="n">
        <v>0</v>
      </c>
      <c r="H544" s="13" t="n">
        <v>608</v>
      </c>
      <c r="I544" s="13" t="n">
        <v>1</v>
      </c>
      <c r="J544" s="13" t="n">
        <v>607</v>
      </c>
      <c r="K544" s="13" t="n">
        <v>0</v>
      </c>
      <c r="L544" s="17" t="n">
        <v>0.199129766666667</v>
      </c>
      <c r="M544" s="18" t="n">
        <f aca="false">IF(H544=0,"",I544/H544)</f>
        <v>0.00164473684210526</v>
      </c>
    </row>
    <row r="545" customFormat="false" ht="15" hidden="false" customHeight="false" outlineLevel="0" collapsed="false">
      <c r="A545" s="13" t="s">
        <v>53</v>
      </c>
      <c r="B545" s="13" t="s">
        <v>173</v>
      </c>
      <c r="C545" s="13" t="n">
        <v>0</v>
      </c>
      <c r="D545" s="13" t="n">
        <v>0</v>
      </c>
      <c r="E545" s="13" t="n">
        <v>0</v>
      </c>
      <c r="F545" s="13" t="n">
        <v>0</v>
      </c>
      <c r="G545" s="17" t="n">
        <v>0</v>
      </c>
      <c r="H545" s="13" t="n">
        <v>26</v>
      </c>
      <c r="I545" s="13" t="n">
        <v>3</v>
      </c>
      <c r="J545" s="13" t="n">
        <v>23</v>
      </c>
      <c r="K545" s="13" t="n">
        <v>0</v>
      </c>
      <c r="L545" s="17" t="n">
        <v>0.0291996</v>
      </c>
      <c r="M545" s="18" t="n">
        <f aca="false">IF(H545=0,"",I545/H545)</f>
        <v>0.115384615384615</v>
      </c>
    </row>
    <row r="546" customFormat="false" ht="15" hidden="false" customHeight="false" outlineLevel="0" collapsed="false">
      <c r="A546" s="13" t="s">
        <v>53</v>
      </c>
      <c r="B546" s="13" t="s">
        <v>175</v>
      </c>
      <c r="C546" s="13" t="n">
        <v>0</v>
      </c>
      <c r="D546" s="13" t="n">
        <v>0</v>
      </c>
      <c r="E546" s="13" t="n">
        <v>0</v>
      </c>
      <c r="F546" s="13" t="n">
        <v>0</v>
      </c>
      <c r="G546" s="17" t="n">
        <v>0</v>
      </c>
      <c r="H546" s="13" t="n">
        <v>8</v>
      </c>
      <c r="I546" s="13" t="n">
        <v>0</v>
      </c>
      <c r="J546" s="13" t="n">
        <v>0</v>
      </c>
      <c r="K546" s="13" t="n">
        <v>8</v>
      </c>
      <c r="L546" s="17" t="n">
        <v>0</v>
      </c>
      <c r="M546" s="18" t="n">
        <f aca="false">IF(H546=0,"",I546/H546)</f>
        <v>0</v>
      </c>
    </row>
    <row r="547" customFormat="false" ht="15" hidden="false" customHeight="false" outlineLevel="0" collapsed="false">
      <c r="A547" s="13" t="s">
        <v>53</v>
      </c>
      <c r="B547" s="13" t="s">
        <v>176</v>
      </c>
      <c r="C547" s="13" t="n">
        <v>0</v>
      </c>
      <c r="D547" s="13" t="n">
        <v>0</v>
      </c>
      <c r="E547" s="13" t="n">
        <v>0</v>
      </c>
      <c r="F547" s="13" t="n">
        <v>0</v>
      </c>
      <c r="G547" s="17" t="n">
        <v>0</v>
      </c>
      <c r="H547" s="13" t="n">
        <v>512</v>
      </c>
      <c r="I547" s="13" t="n">
        <v>0</v>
      </c>
      <c r="J547" s="13" t="n">
        <v>0</v>
      </c>
      <c r="K547" s="13" t="n">
        <v>0</v>
      </c>
      <c r="L547" s="17" t="n">
        <v>0</v>
      </c>
      <c r="M547" s="18" t="n">
        <f aca="false">IF(H547=0,"",I547/H547)</f>
        <v>0</v>
      </c>
    </row>
    <row r="548" customFormat="false" ht="15" hidden="false" customHeight="false" outlineLevel="0" collapsed="false">
      <c r="A548" s="13" t="s">
        <v>49</v>
      </c>
      <c r="B548" s="13" t="s">
        <v>169</v>
      </c>
      <c r="C548" s="13" t="n">
        <v>0</v>
      </c>
      <c r="D548" s="13" t="n">
        <v>0</v>
      </c>
      <c r="E548" s="13" t="n">
        <v>0</v>
      </c>
      <c r="F548" s="13" t="n">
        <v>0</v>
      </c>
      <c r="G548" s="17" t="n">
        <v>0</v>
      </c>
      <c r="H548" s="13" t="n">
        <v>0</v>
      </c>
      <c r="I548" s="13" t="n">
        <v>0</v>
      </c>
      <c r="J548" s="13" t="n">
        <v>7</v>
      </c>
      <c r="K548" s="13" t="n">
        <v>0</v>
      </c>
      <c r="L548" s="17" t="n">
        <v>0</v>
      </c>
      <c r="M548" s="18" t="str">
        <f aca="false">IF(H548=0,"",I548/H548)</f>
        <v/>
      </c>
    </row>
    <row r="549" customFormat="false" ht="15" hidden="false" customHeight="false" outlineLevel="0" collapsed="false">
      <c r="A549" s="13" t="s">
        <v>49</v>
      </c>
      <c r="B549" s="13" t="s">
        <v>170</v>
      </c>
      <c r="C549" s="13" t="n">
        <v>0</v>
      </c>
      <c r="D549" s="13" t="n">
        <v>0</v>
      </c>
      <c r="E549" s="13" t="n">
        <v>0</v>
      </c>
      <c r="F549" s="13" t="n">
        <v>0</v>
      </c>
      <c r="G549" s="17" t="n">
        <v>0</v>
      </c>
      <c r="H549" s="13" t="n">
        <v>106</v>
      </c>
      <c r="I549" s="13" t="n">
        <v>5</v>
      </c>
      <c r="J549" s="13" t="n">
        <v>10</v>
      </c>
      <c r="K549" s="13" t="n">
        <v>80</v>
      </c>
      <c r="L549" s="17" t="n">
        <v>0</v>
      </c>
      <c r="M549" s="18" t="n">
        <f aca="false">IF(H549=0,"",I549/H549)</f>
        <v>0.0471698113207547</v>
      </c>
    </row>
    <row r="550" customFormat="false" ht="15" hidden="false" customHeight="false" outlineLevel="0" collapsed="false">
      <c r="A550" s="13" t="s">
        <v>49</v>
      </c>
      <c r="B550" s="13" t="s">
        <v>171</v>
      </c>
      <c r="C550" s="13" t="n">
        <v>0</v>
      </c>
      <c r="D550" s="13" t="n">
        <v>0</v>
      </c>
      <c r="E550" s="13" t="n">
        <v>0</v>
      </c>
      <c r="F550" s="13" t="n">
        <v>0</v>
      </c>
      <c r="G550" s="17" t="n">
        <v>0</v>
      </c>
      <c r="H550" s="13" t="n">
        <v>176</v>
      </c>
      <c r="I550" s="13" t="n">
        <v>0</v>
      </c>
      <c r="J550" s="13" t="n">
        <v>97</v>
      </c>
      <c r="K550" s="13" t="n">
        <v>0</v>
      </c>
      <c r="L550" s="17" t="n">
        <v>0.0260739</v>
      </c>
      <c r="M550" s="18" t="n">
        <f aca="false">IF(H550=0,"",I550/H550)</f>
        <v>0</v>
      </c>
    </row>
    <row r="551" customFormat="false" ht="15" hidden="false" customHeight="false" outlineLevel="0" collapsed="false">
      <c r="A551" s="13" t="s">
        <v>49</v>
      </c>
      <c r="B551" s="13" t="s">
        <v>172</v>
      </c>
      <c r="C551" s="13" t="n">
        <v>0</v>
      </c>
      <c r="D551" s="13" t="n">
        <v>0</v>
      </c>
      <c r="E551" s="13" t="n">
        <v>0</v>
      </c>
      <c r="F551" s="13" t="n">
        <v>0</v>
      </c>
      <c r="G551" s="17" t="n">
        <v>0</v>
      </c>
      <c r="H551" s="13" t="n">
        <v>1042</v>
      </c>
      <c r="I551" s="13" t="n">
        <v>28</v>
      </c>
      <c r="J551" s="13" t="n">
        <v>1013</v>
      </c>
      <c r="K551" s="13" t="n">
        <v>0</v>
      </c>
      <c r="L551" s="17" t="n">
        <v>0.671767666666667</v>
      </c>
      <c r="M551" s="18" t="n">
        <f aca="false">IF(H551=0,"",I551/H551)</f>
        <v>0.0268714011516315</v>
      </c>
    </row>
    <row r="552" customFormat="false" ht="15" hidden="false" customHeight="false" outlineLevel="0" collapsed="false">
      <c r="A552" s="13" t="s">
        <v>49</v>
      </c>
      <c r="B552" s="13" t="s">
        <v>173</v>
      </c>
      <c r="C552" s="13" t="n">
        <v>0</v>
      </c>
      <c r="D552" s="13" t="n">
        <v>0</v>
      </c>
      <c r="E552" s="13" t="n">
        <v>0</v>
      </c>
      <c r="F552" s="13" t="n">
        <v>0</v>
      </c>
      <c r="G552" s="17" t="n">
        <v>0</v>
      </c>
      <c r="H552" s="13" t="n">
        <v>7</v>
      </c>
      <c r="I552" s="13" t="n">
        <v>2</v>
      </c>
      <c r="J552" s="13" t="n">
        <v>5</v>
      </c>
      <c r="K552" s="13" t="n">
        <v>0</v>
      </c>
      <c r="L552" s="17" t="n">
        <v>0.0332848</v>
      </c>
      <c r="M552" s="18" t="n">
        <f aca="false">IF(H552=0,"",I552/H552)</f>
        <v>0.285714285714286</v>
      </c>
    </row>
    <row r="553" customFormat="false" ht="15" hidden="false" customHeight="false" outlineLevel="0" collapsed="false">
      <c r="A553" s="13" t="s">
        <v>49</v>
      </c>
      <c r="B553" s="13" t="s">
        <v>175</v>
      </c>
      <c r="C553" s="13" t="n">
        <v>0</v>
      </c>
      <c r="D553" s="13" t="n">
        <v>0</v>
      </c>
      <c r="E553" s="13" t="n">
        <v>0</v>
      </c>
      <c r="F553" s="13" t="n">
        <v>0</v>
      </c>
      <c r="G553" s="17" t="n">
        <v>0</v>
      </c>
      <c r="H553" s="13" t="n">
        <v>11</v>
      </c>
      <c r="I553" s="13" t="n">
        <v>0</v>
      </c>
      <c r="J553" s="13" t="n">
        <v>0</v>
      </c>
      <c r="K553" s="13" t="n">
        <v>39</v>
      </c>
      <c r="L553" s="17" t="n">
        <v>0</v>
      </c>
      <c r="M553" s="18" t="n">
        <f aca="false">IF(H553=0,"",I553/H553)</f>
        <v>0</v>
      </c>
    </row>
    <row r="554" customFormat="false" ht="15" hidden="false" customHeight="false" outlineLevel="0" collapsed="false">
      <c r="A554" s="13" t="s">
        <v>49</v>
      </c>
      <c r="B554" s="13" t="s">
        <v>176</v>
      </c>
      <c r="C554" s="13" t="n">
        <v>0</v>
      </c>
      <c r="D554" s="13" t="n">
        <v>0</v>
      </c>
      <c r="E554" s="13" t="n">
        <v>0</v>
      </c>
      <c r="F554" s="13" t="n">
        <v>0</v>
      </c>
      <c r="G554" s="17" t="n">
        <v>0</v>
      </c>
      <c r="H554" s="13" t="n">
        <v>430</v>
      </c>
      <c r="I554" s="13" t="n">
        <v>0</v>
      </c>
      <c r="J554" s="13" t="n">
        <v>0</v>
      </c>
      <c r="K554" s="13" t="n">
        <v>0</v>
      </c>
      <c r="L554" s="17" t="n">
        <v>0</v>
      </c>
      <c r="M554" s="18" t="n">
        <f aca="false">IF(H554=0,"",I554/H554)</f>
        <v>0</v>
      </c>
    </row>
    <row r="555" customFormat="false" ht="15" hidden="false" customHeight="false" outlineLevel="0" collapsed="false">
      <c r="A555" s="13" t="s">
        <v>63</v>
      </c>
      <c r="B555" s="13" t="s">
        <v>170</v>
      </c>
      <c r="C555" s="13" t="n">
        <v>0</v>
      </c>
      <c r="D555" s="13" t="n">
        <v>0</v>
      </c>
      <c r="E555" s="13" t="n">
        <v>0</v>
      </c>
      <c r="F555" s="13" t="n">
        <v>0</v>
      </c>
      <c r="G555" s="17" t="n">
        <v>0</v>
      </c>
      <c r="H555" s="13" t="n">
        <v>129</v>
      </c>
      <c r="I555" s="13" t="n">
        <v>21</v>
      </c>
      <c r="J555" s="13" t="n">
        <v>1</v>
      </c>
      <c r="K555" s="13" t="n">
        <v>131</v>
      </c>
      <c r="L555" s="17" t="n">
        <v>0</v>
      </c>
      <c r="M555" s="18" t="n">
        <f aca="false">IF(H555=0,"",I555/H555)</f>
        <v>0.162790697674419</v>
      </c>
    </row>
    <row r="556" customFormat="false" ht="15" hidden="false" customHeight="false" outlineLevel="0" collapsed="false">
      <c r="A556" s="13" t="s">
        <v>63</v>
      </c>
      <c r="B556" s="13" t="s">
        <v>171</v>
      </c>
      <c r="C556" s="13" t="n">
        <v>0</v>
      </c>
      <c r="D556" s="13" t="n">
        <v>0</v>
      </c>
      <c r="E556" s="13" t="n">
        <v>0</v>
      </c>
      <c r="F556" s="13" t="n">
        <v>0</v>
      </c>
      <c r="G556" s="17" t="n">
        <v>0</v>
      </c>
      <c r="H556" s="13" t="n">
        <v>146</v>
      </c>
      <c r="I556" s="13" t="n">
        <v>0</v>
      </c>
      <c r="J556" s="13" t="n">
        <v>38</v>
      </c>
      <c r="K556" s="13" t="n">
        <v>0</v>
      </c>
      <c r="L556" s="17" t="n">
        <v>0.02105676</v>
      </c>
      <c r="M556" s="18" t="n">
        <f aca="false">IF(H556=0,"",I556/H556)</f>
        <v>0</v>
      </c>
    </row>
    <row r="557" customFormat="false" ht="15" hidden="false" customHeight="false" outlineLevel="0" collapsed="false">
      <c r="A557" s="13" t="s">
        <v>63</v>
      </c>
      <c r="B557" s="13" t="s">
        <v>172</v>
      </c>
      <c r="C557" s="13" t="n">
        <v>0</v>
      </c>
      <c r="D557" s="13" t="n">
        <v>0</v>
      </c>
      <c r="E557" s="13" t="n">
        <v>0</v>
      </c>
      <c r="F557" s="13" t="n">
        <v>0</v>
      </c>
      <c r="G557" s="17" t="n">
        <v>0</v>
      </c>
      <c r="H557" s="13" t="n">
        <v>747</v>
      </c>
      <c r="I557" s="13" t="n">
        <v>5</v>
      </c>
      <c r="J557" s="13" t="n">
        <v>740</v>
      </c>
      <c r="K557" s="13" t="n">
        <v>0</v>
      </c>
      <c r="L557" s="17" t="n">
        <v>0.317271733333333</v>
      </c>
      <c r="M557" s="18" t="n">
        <f aca="false">IF(H557=0,"",I557/H557)</f>
        <v>0.00669344042838019</v>
      </c>
    </row>
    <row r="558" customFormat="false" ht="15" hidden="false" customHeight="false" outlineLevel="0" collapsed="false">
      <c r="A558" s="13" t="s">
        <v>63</v>
      </c>
      <c r="B558" s="13" t="s">
        <v>173</v>
      </c>
      <c r="C558" s="13" t="n">
        <v>0</v>
      </c>
      <c r="D558" s="13" t="n">
        <v>0</v>
      </c>
      <c r="E558" s="13" t="n">
        <v>0</v>
      </c>
      <c r="F558" s="13" t="n">
        <v>0</v>
      </c>
      <c r="G558" s="17" t="n">
        <v>0</v>
      </c>
      <c r="H558" s="13" t="n">
        <v>26</v>
      </c>
      <c r="I558" s="13" t="n">
        <v>1</v>
      </c>
      <c r="J558" s="13" t="n">
        <v>25</v>
      </c>
      <c r="K558" s="13" t="n">
        <v>0</v>
      </c>
      <c r="L558" s="17" t="n">
        <v>0.0017796</v>
      </c>
      <c r="M558" s="18" t="n">
        <f aca="false">IF(H558=0,"",I558/H558)</f>
        <v>0.0384615384615385</v>
      </c>
    </row>
    <row r="559" customFormat="false" ht="15" hidden="false" customHeight="false" outlineLevel="0" collapsed="false">
      <c r="A559" s="13" t="s">
        <v>63</v>
      </c>
      <c r="B559" s="13" t="s">
        <v>175</v>
      </c>
      <c r="C559" s="13" t="n">
        <v>0</v>
      </c>
      <c r="D559" s="13" t="n">
        <v>0</v>
      </c>
      <c r="E559" s="13" t="n">
        <v>0</v>
      </c>
      <c r="F559" s="13" t="n">
        <v>0</v>
      </c>
      <c r="G559" s="17" t="n">
        <v>0</v>
      </c>
      <c r="H559" s="13" t="n">
        <v>41</v>
      </c>
      <c r="I559" s="13" t="n">
        <v>0</v>
      </c>
      <c r="J559" s="13" t="n">
        <v>0</v>
      </c>
      <c r="K559" s="13" t="n">
        <v>169</v>
      </c>
      <c r="L559" s="17" t="n">
        <v>0</v>
      </c>
      <c r="M559" s="18" t="n">
        <f aca="false">IF(H559=0,"",I559/H559)</f>
        <v>0</v>
      </c>
    </row>
    <row r="560" customFormat="false" ht="15" hidden="false" customHeight="false" outlineLevel="0" collapsed="false">
      <c r="A560" s="13" t="s">
        <v>63</v>
      </c>
      <c r="B560" s="13" t="s">
        <v>176</v>
      </c>
      <c r="C560" s="13" t="n">
        <v>0</v>
      </c>
      <c r="D560" s="13" t="n">
        <v>0</v>
      </c>
      <c r="E560" s="13" t="n">
        <v>0</v>
      </c>
      <c r="F560" s="13" t="n">
        <v>0</v>
      </c>
      <c r="G560" s="17" t="n">
        <v>0</v>
      </c>
      <c r="H560" s="13" t="n">
        <v>438</v>
      </c>
      <c r="I560" s="13" t="n">
        <v>0</v>
      </c>
      <c r="J560" s="13" t="n">
        <v>0</v>
      </c>
      <c r="K560" s="13" t="n">
        <v>0</v>
      </c>
      <c r="L560" s="17" t="n">
        <v>0</v>
      </c>
      <c r="M560" s="18" t="n">
        <f aca="false">IF(H560=0,"",I560/H560)</f>
        <v>0</v>
      </c>
    </row>
    <row r="561" customFormat="false" ht="15" hidden="false" customHeight="false" outlineLevel="0" collapsed="false">
      <c r="A561" s="13" t="s">
        <v>449</v>
      </c>
      <c r="B561" s="13" t="s">
        <v>176</v>
      </c>
      <c r="C561" s="13" t="n">
        <v>0</v>
      </c>
      <c r="D561" s="13" t="n">
        <v>0</v>
      </c>
      <c r="E561" s="13" t="n">
        <v>0</v>
      </c>
      <c r="F561" s="13" t="n">
        <v>0</v>
      </c>
      <c r="G561" s="17" t="n">
        <v>0</v>
      </c>
      <c r="H561" s="13" t="n">
        <v>1</v>
      </c>
      <c r="I561" s="13" t="n">
        <v>0</v>
      </c>
      <c r="J561" s="13" t="n">
        <v>0</v>
      </c>
      <c r="K561" s="13" t="n">
        <v>0</v>
      </c>
      <c r="L561" s="17" t="n">
        <v>0</v>
      </c>
      <c r="M561" s="18" t="n">
        <f aca="false">IF(H561=0,"",I561/H561)</f>
        <v>0</v>
      </c>
    </row>
    <row r="562" customFormat="false" ht="15" hidden="false" customHeight="false" outlineLevel="0" collapsed="false">
      <c r="A562" s="13" t="s">
        <v>450</v>
      </c>
      <c r="B562" s="13" t="s">
        <v>176</v>
      </c>
      <c r="C562" s="13" t="n">
        <v>0</v>
      </c>
      <c r="D562" s="13" t="n">
        <v>0</v>
      </c>
      <c r="E562" s="13" t="n">
        <v>0</v>
      </c>
      <c r="F562" s="13" t="n">
        <v>0</v>
      </c>
      <c r="G562" s="17" t="n">
        <v>0</v>
      </c>
      <c r="H562" s="13" t="n">
        <v>1</v>
      </c>
      <c r="I562" s="13" t="n">
        <v>0</v>
      </c>
      <c r="J562" s="13" t="n">
        <v>0</v>
      </c>
      <c r="K562" s="13" t="n">
        <v>0</v>
      </c>
      <c r="L562" s="17" t="n">
        <v>0</v>
      </c>
      <c r="M562" s="18" t="n">
        <f aca="false">IF(H562=0,"",I562/H562)</f>
        <v>0</v>
      </c>
    </row>
    <row r="563" customFormat="false" ht="15" hidden="false" customHeight="false" outlineLevel="0" collapsed="false">
      <c r="A563" s="13" t="s">
        <v>61</v>
      </c>
      <c r="B563" s="13" t="s">
        <v>169</v>
      </c>
      <c r="C563" s="13" t="n">
        <v>0</v>
      </c>
      <c r="D563" s="13" t="n">
        <v>0</v>
      </c>
      <c r="E563" s="13" t="n">
        <v>0</v>
      </c>
      <c r="F563" s="13" t="n">
        <v>0</v>
      </c>
      <c r="G563" s="17" t="n">
        <v>0</v>
      </c>
      <c r="H563" s="13" t="n">
        <v>35</v>
      </c>
      <c r="I563" s="13" t="n">
        <v>16</v>
      </c>
      <c r="J563" s="13" t="n">
        <v>19</v>
      </c>
      <c r="K563" s="13" t="n">
        <v>70</v>
      </c>
      <c r="L563" s="17" t="n">
        <v>0</v>
      </c>
      <c r="M563" s="18" t="n">
        <f aca="false">IF(H563=0,"",I563/H563)</f>
        <v>0.457142857142857</v>
      </c>
    </row>
    <row r="564" customFormat="false" ht="15" hidden="false" customHeight="false" outlineLevel="0" collapsed="false">
      <c r="A564" s="13" t="s">
        <v>61</v>
      </c>
      <c r="B564" s="13" t="s">
        <v>170</v>
      </c>
      <c r="C564" s="13" t="n">
        <v>0</v>
      </c>
      <c r="D564" s="13" t="n">
        <v>0</v>
      </c>
      <c r="E564" s="13" t="n">
        <v>0</v>
      </c>
      <c r="F564" s="13" t="n">
        <v>0</v>
      </c>
      <c r="G564" s="17" t="n">
        <v>0</v>
      </c>
      <c r="H564" s="13" t="n">
        <v>48</v>
      </c>
      <c r="I564" s="13" t="n">
        <v>29</v>
      </c>
      <c r="J564" s="13" t="n">
        <v>0</v>
      </c>
      <c r="K564" s="13" t="n">
        <v>0</v>
      </c>
      <c r="L564" s="17" t="n">
        <v>0</v>
      </c>
      <c r="M564" s="18" t="n">
        <f aca="false">IF(H564=0,"",I564/H564)</f>
        <v>0.604166666666667</v>
      </c>
    </row>
    <row r="565" customFormat="false" ht="15" hidden="false" customHeight="false" outlineLevel="0" collapsed="false">
      <c r="A565" s="13" t="s">
        <v>61</v>
      </c>
      <c r="B565" s="13" t="s">
        <v>171</v>
      </c>
      <c r="C565" s="13" t="n">
        <v>0</v>
      </c>
      <c r="D565" s="13" t="n">
        <v>0</v>
      </c>
      <c r="E565" s="13" t="n">
        <v>0</v>
      </c>
      <c r="F565" s="13" t="n">
        <v>0</v>
      </c>
      <c r="G565" s="17" t="n">
        <v>0</v>
      </c>
      <c r="H565" s="13" t="n">
        <v>19</v>
      </c>
      <c r="I565" s="13" t="n">
        <v>0</v>
      </c>
      <c r="J565" s="13" t="n">
        <v>19</v>
      </c>
      <c r="K565" s="13" t="n">
        <v>0</v>
      </c>
      <c r="L565" s="17" t="n">
        <v>0.00173418</v>
      </c>
      <c r="M565" s="18" t="n">
        <f aca="false">IF(H565=0,"",I565/H565)</f>
        <v>0</v>
      </c>
    </row>
    <row r="566" customFormat="false" ht="15" hidden="false" customHeight="false" outlineLevel="0" collapsed="false">
      <c r="A566" s="13" t="s">
        <v>61</v>
      </c>
      <c r="B566" s="13" t="s">
        <v>172</v>
      </c>
      <c r="C566" s="13" t="n">
        <v>0</v>
      </c>
      <c r="D566" s="13" t="n">
        <v>0</v>
      </c>
      <c r="E566" s="13" t="n">
        <v>0</v>
      </c>
      <c r="F566" s="13" t="n">
        <v>0</v>
      </c>
      <c r="G566" s="17" t="n">
        <v>0</v>
      </c>
      <c r="H566" s="13" t="n">
        <v>177</v>
      </c>
      <c r="I566" s="13" t="n">
        <v>50</v>
      </c>
      <c r="J566" s="13" t="n">
        <v>127</v>
      </c>
      <c r="K566" s="13" t="n">
        <v>0</v>
      </c>
      <c r="L566" s="17" t="n">
        <v>0.0976128666666667</v>
      </c>
      <c r="M566" s="18" t="n">
        <f aca="false">IF(H566=0,"",I566/H566)</f>
        <v>0.282485875706215</v>
      </c>
    </row>
    <row r="567" customFormat="false" ht="15" hidden="false" customHeight="false" outlineLevel="0" collapsed="false">
      <c r="A567" s="13" t="s">
        <v>61</v>
      </c>
      <c r="B567" s="13" t="s">
        <v>173</v>
      </c>
      <c r="C567" s="13" t="n">
        <v>0</v>
      </c>
      <c r="D567" s="13" t="n">
        <v>0</v>
      </c>
      <c r="E567" s="13" t="n">
        <v>0</v>
      </c>
      <c r="F567" s="13" t="n">
        <v>0</v>
      </c>
      <c r="G567" s="17" t="n">
        <v>0</v>
      </c>
      <c r="H567" s="13" t="n">
        <v>9</v>
      </c>
      <c r="I567" s="13" t="n">
        <v>0</v>
      </c>
      <c r="J567" s="13" t="n">
        <v>9</v>
      </c>
      <c r="K567" s="13" t="n">
        <v>0</v>
      </c>
      <c r="L567" s="17" t="n">
        <v>0.0144112</v>
      </c>
      <c r="M567" s="18" t="n">
        <f aca="false">IF(H567=0,"",I567/H567)</f>
        <v>0</v>
      </c>
    </row>
    <row r="568" customFormat="false" ht="15" hidden="false" customHeight="false" outlineLevel="0" collapsed="false">
      <c r="A568" s="13" t="s">
        <v>61</v>
      </c>
      <c r="B568" s="13" t="s">
        <v>175</v>
      </c>
      <c r="C568" s="13" t="n">
        <v>0</v>
      </c>
      <c r="D568" s="13" t="n">
        <v>0</v>
      </c>
      <c r="E568" s="13" t="n">
        <v>0</v>
      </c>
      <c r="F568" s="13" t="n">
        <v>0</v>
      </c>
      <c r="G568" s="17" t="n">
        <v>0</v>
      </c>
      <c r="H568" s="13" t="n">
        <v>9</v>
      </c>
      <c r="I568" s="13" t="n">
        <v>0</v>
      </c>
      <c r="J568" s="13" t="n">
        <v>0</v>
      </c>
      <c r="K568" s="13" t="n">
        <v>10</v>
      </c>
      <c r="L568" s="17" t="n">
        <v>0</v>
      </c>
      <c r="M568" s="18" t="n">
        <f aca="false">IF(H568=0,"",I568/H568)</f>
        <v>0</v>
      </c>
    </row>
    <row r="569" customFormat="false" ht="15" hidden="false" customHeight="false" outlineLevel="0" collapsed="false">
      <c r="A569" s="13" t="s">
        <v>61</v>
      </c>
      <c r="B569" s="13" t="s">
        <v>176</v>
      </c>
      <c r="C569" s="13" t="n">
        <v>0</v>
      </c>
      <c r="D569" s="13" t="n">
        <v>0</v>
      </c>
      <c r="E569" s="13" t="n">
        <v>0</v>
      </c>
      <c r="F569" s="13" t="n">
        <v>0</v>
      </c>
      <c r="G569" s="17" t="n">
        <v>0</v>
      </c>
      <c r="H569" s="13" t="n">
        <v>86</v>
      </c>
      <c r="I569" s="13" t="n">
        <v>0</v>
      </c>
      <c r="J569" s="13" t="n">
        <v>0</v>
      </c>
      <c r="K569" s="13" t="n">
        <v>0</v>
      </c>
      <c r="L569" s="17" t="n">
        <v>0</v>
      </c>
      <c r="M569" s="18" t="n">
        <f aca="false">IF(H569=0,"",I569/H569)</f>
        <v>0</v>
      </c>
    </row>
    <row r="570" customFormat="false" ht="15" hidden="false" customHeight="false" outlineLevel="0" collapsed="false">
      <c r="A570" s="13" t="s">
        <v>73</v>
      </c>
      <c r="B570" s="13" t="s">
        <v>169</v>
      </c>
      <c r="C570" s="13" t="n">
        <v>0</v>
      </c>
      <c r="D570" s="13" t="n">
        <v>0</v>
      </c>
      <c r="E570" s="13" t="n">
        <v>0</v>
      </c>
      <c r="F570" s="13" t="n">
        <v>0</v>
      </c>
      <c r="G570" s="17" t="n">
        <v>0</v>
      </c>
      <c r="H570" s="13" t="n">
        <v>4</v>
      </c>
      <c r="I570" s="13" t="n">
        <v>0</v>
      </c>
      <c r="J570" s="13" t="n">
        <v>3</v>
      </c>
      <c r="K570" s="13" t="n">
        <v>8</v>
      </c>
      <c r="L570" s="17" t="n">
        <v>0</v>
      </c>
      <c r="M570" s="18" t="n">
        <f aca="false">IF(H570=0,"",I570/H570)</f>
        <v>0</v>
      </c>
    </row>
    <row r="571" customFormat="false" ht="15" hidden="false" customHeight="false" outlineLevel="0" collapsed="false">
      <c r="A571" s="13" t="s">
        <v>73</v>
      </c>
      <c r="B571" s="13" t="s">
        <v>170</v>
      </c>
      <c r="C571" s="13" t="n">
        <v>0</v>
      </c>
      <c r="D571" s="13" t="n">
        <v>0</v>
      </c>
      <c r="E571" s="13" t="n">
        <v>0</v>
      </c>
      <c r="F571" s="13" t="n">
        <v>0</v>
      </c>
      <c r="G571" s="17" t="n">
        <v>0</v>
      </c>
      <c r="H571" s="13" t="n">
        <v>15</v>
      </c>
      <c r="I571" s="13" t="n">
        <v>3</v>
      </c>
      <c r="J571" s="13" t="n">
        <v>0</v>
      </c>
      <c r="K571" s="13" t="n">
        <v>13</v>
      </c>
      <c r="L571" s="17" t="n">
        <v>0</v>
      </c>
      <c r="M571" s="18" t="n">
        <f aca="false">IF(H571=0,"",I571/H571)</f>
        <v>0.2</v>
      </c>
    </row>
    <row r="572" customFormat="false" ht="15" hidden="false" customHeight="false" outlineLevel="0" collapsed="false">
      <c r="A572" s="13" t="s">
        <v>73</v>
      </c>
      <c r="B572" s="13" t="s">
        <v>171</v>
      </c>
      <c r="C572" s="13" t="n">
        <v>0</v>
      </c>
      <c r="D572" s="13" t="n">
        <v>0</v>
      </c>
      <c r="E572" s="13" t="n">
        <v>0</v>
      </c>
      <c r="F572" s="13" t="n">
        <v>0</v>
      </c>
      <c r="G572" s="17" t="n">
        <v>0</v>
      </c>
      <c r="H572" s="13" t="n">
        <v>60</v>
      </c>
      <c r="I572" s="13" t="n">
        <v>0</v>
      </c>
      <c r="J572" s="13" t="n">
        <v>49</v>
      </c>
      <c r="K572" s="13" t="n">
        <v>0</v>
      </c>
      <c r="L572" s="17" t="n">
        <v>0.00504057</v>
      </c>
      <c r="M572" s="18" t="n">
        <f aca="false">IF(H572=0,"",I572/H572)</f>
        <v>0</v>
      </c>
    </row>
    <row r="573" customFormat="false" ht="15" hidden="false" customHeight="false" outlineLevel="0" collapsed="false">
      <c r="A573" s="13" t="s">
        <v>73</v>
      </c>
      <c r="B573" s="13" t="s">
        <v>172</v>
      </c>
      <c r="C573" s="13" t="n">
        <v>0</v>
      </c>
      <c r="D573" s="13" t="n">
        <v>0</v>
      </c>
      <c r="E573" s="13" t="n">
        <v>0</v>
      </c>
      <c r="F573" s="13" t="n">
        <v>0</v>
      </c>
      <c r="G573" s="17" t="n">
        <v>0</v>
      </c>
      <c r="H573" s="13" t="n">
        <v>297</v>
      </c>
      <c r="I573" s="13" t="n">
        <v>1</v>
      </c>
      <c r="J573" s="13" t="n">
        <v>296</v>
      </c>
      <c r="K573" s="13" t="n">
        <v>0</v>
      </c>
      <c r="L573" s="17" t="n">
        <v>0.237403266666667</v>
      </c>
      <c r="M573" s="18" t="n">
        <f aca="false">IF(H573=0,"",I573/H573)</f>
        <v>0.00336700336700337</v>
      </c>
    </row>
    <row r="574" customFormat="false" ht="15" hidden="false" customHeight="false" outlineLevel="0" collapsed="false">
      <c r="A574" s="13" t="s">
        <v>73</v>
      </c>
      <c r="B574" s="13" t="s">
        <v>173</v>
      </c>
      <c r="C574" s="13" t="n">
        <v>0</v>
      </c>
      <c r="D574" s="13" t="n">
        <v>0</v>
      </c>
      <c r="E574" s="13" t="n">
        <v>0</v>
      </c>
      <c r="F574" s="13" t="n">
        <v>0</v>
      </c>
      <c r="G574" s="17" t="n">
        <v>0</v>
      </c>
      <c r="H574" s="13" t="n">
        <v>14</v>
      </c>
      <c r="I574" s="13" t="n">
        <v>2</v>
      </c>
      <c r="J574" s="13" t="n">
        <v>12</v>
      </c>
      <c r="K574" s="13" t="n">
        <v>0</v>
      </c>
      <c r="L574" s="17" t="n">
        <v>0.068126</v>
      </c>
      <c r="M574" s="18" t="n">
        <f aca="false">IF(H574=0,"",I574/H574)</f>
        <v>0.142857142857143</v>
      </c>
    </row>
    <row r="575" customFormat="false" ht="15" hidden="false" customHeight="false" outlineLevel="0" collapsed="false">
      <c r="A575" s="13" t="s">
        <v>73</v>
      </c>
      <c r="B575" s="13" t="s">
        <v>175</v>
      </c>
      <c r="C575" s="13" t="n">
        <v>0</v>
      </c>
      <c r="D575" s="13" t="n">
        <v>0</v>
      </c>
      <c r="E575" s="13" t="n">
        <v>0</v>
      </c>
      <c r="F575" s="13" t="n">
        <v>0</v>
      </c>
      <c r="G575" s="17" t="n">
        <v>0</v>
      </c>
      <c r="H575" s="13" t="n">
        <v>19</v>
      </c>
      <c r="I575" s="13" t="n">
        <v>0</v>
      </c>
      <c r="J575" s="13" t="n">
        <v>0</v>
      </c>
      <c r="K575" s="13" t="n">
        <v>31</v>
      </c>
      <c r="L575" s="17" t="n">
        <v>0</v>
      </c>
      <c r="M575" s="18" t="n">
        <f aca="false">IF(H575=0,"",I575/H575)</f>
        <v>0</v>
      </c>
    </row>
    <row r="576" customFormat="false" ht="15" hidden="false" customHeight="false" outlineLevel="0" collapsed="false">
      <c r="A576" s="13" t="s">
        <v>73</v>
      </c>
      <c r="B576" s="13" t="s">
        <v>176</v>
      </c>
      <c r="C576" s="13" t="n">
        <v>0</v>
      </c>
      <c r="D576" s="13" t="n">
        <v>0</v>
      </c>
      <c r="E576" s="13" t="n">
        <v>0</v>
      </c>
      <c r="F576" s="13" t="n">
        <v>0</v>
      </c>
      <c r="G576" s="17" t="n">
        <v>0</v>
      </c>
      <c r="H576" s="13" t="n">
        <v>146</v>
      </c>
      <c r="I576" s="13" t="n">
        <v>0</v>
      </c>
      <c r="J576" s="13" t="n">
        <v>0</v>
      </c>
      <c r="K576" s="13" t="n">
        <v>0</v>
      </c>
      <c r="L576" s="17" t="n">
        <v>0</v>
      </c>
      <c r="M576" s="18" t="n">
        <f aca="false">IF(H576=0,"",I576/H576)</f>
        <v>0</v>
      </c>
    </row>
    <row r="577" customFormat="false" ht="15" hidden="false" customHeight="false" outlineLevel="0" collapsed="false">
      <c r="A577" s="13" t="s">
        <v>79</v>
      </c>
      <c r="B577" s="13" t="s">
        <v>169</v>
      </c>
      <c r="C577" s="13" t="n">
        <v>0</v>
      </c>
      <c r="D577" s="13" t="n">
        <v>0</v>
      </c>
      <c r="E577" s="13" t="n">
        <v>0</v>
      </c>
      <c r="F577" s="13" t="n">
        <v>0</v>
      </c>
      <c r="G577" s="17" t="n">
        <v>0</v>
      </c>
      <c r="H577" s="13" t="n">
        <v>29</v>
      </c>
      <c r="I577" s="13" t="n">
        <v>0</v>
      </c>
      <c r="J577" s="13" t="n">
        <v>29</v>
      </c>
      <c r="K577" s="13" t="n">
        <v>58</v>
      </c>
      <c r="L577" s="17" t="n">
        <v>0</v>
      </c>
      <c r="M577" s="18" t="n">
        <f aca="false">IF(H577=0,"",I577/H577)</f>
        <v>0</v>
      </c>
    </row>
    <row r="578" customFormat="false" ht="15" hidden="false" customHeight="false" outlineLevel="0" collapsed="false">
      <c r="A578" s="13" t="s">
        <v>79</v>
      </c>
      <c r="B578" s="13" t="s">
        <v>170</v>
      </c>
      <c r="C578" s="13" t="n">
        <v>0</v>
      </c>
      <c r="D578" s="13" t="n">
        <v>0</v>
      </c>
      <c r="E578" s="13" t="n">
        <v>0</v>
      </c>
      <c r="F578" s="13" t="n">
        <v>0</v>
      </c>
      <c r="G578" s="17" t="n">
        <v>0</v>
      </c>
      <c r="H578" s="13" t="n">
        <v>47</v>
      </c>
      <c r="I578" s="13" t="n">
        <v>4</v>
      </c>
      <c r="J578" s="13" t="n">
        <v>0</v>
      </c>
      <c r="K578" s="13" t="n">
        <v>16</v>
      </c>
      <c r="L578" s="17" t="n">
        <v>0</v>
      </c>
      <c r="M578" s="18" t="n">
        <f aca="false">IF(H578=0,"",I578/H578)</f>
        <v>0.0851063829787234</v>
      </c>
    </row>
    <row r="579" customFormat="false" ht="15" hidden="false" customHeight="false" outlineLevel="0" collapsed="false">
      <c r="A579" s="13" t="s">
        <v>79</v>
      </c>
      <c r="B579" s="13" t="s">
        <v>171</v>
      </c>
      <c r="C579" s="13" t="n">
        <v>0</v>
      </c>
      <c r="D579" s="13" t="n">
        <v>0</v>
      </c>
      <c r="E579" s="13" t="n">
        <v>0</v>
      </c>
      <c r="F579" s="13" t="n">
        <v>0</v>
      </c>
      <c r="G579" s="17" t="n">
        <v>0</v>
      </c>
      <c r="H579" s="13" t="n">
        <v>29</v>
      </c>
      <c r="I579" s="13" t="n">
        <v>0</v>
      </c>
      <c r="J579" s="13" t="n">
        <v>13</v>
      </c>
      <c r="K579" s="13" t="n">
        <v>0</v>
      </c>
      <c r="L579" s="17" t="n">
        <v>0.00332964</v>
      </c>
      <c r="M579" s="18" t="n">
        <f aca="false">IF(H579=0,"",I579/H579)</f>
        <v>0</v>
      </c>
    </row>
    <row r="580" customFormat="false" ht="15" hidden="false" customHeight="false" outlineLevel="0" collapsed="false">
      <c r="A580" s="13" t="s">
        <v>79</v>
      </c>
      <c r="B580" s="13" t="s">
        <v>172</v>
      </c>
      <c r="C580" s="13" t="n">
        <v>0</v>
      </c>
      <c r="D580" s="13" t="n">
        <v>0</v>
      </c>
      <c r="E580" s="13" t="n">
        <v>0</v>
      </c>
      <c r="F580" s="13" t="n">
        <v>0</v>
      </c>
      <c r="G580" s="17" t="n">
        <v>0</v>
      </c>
      <c r="H580" s="13" t="n">
        <v>213</v>
      </c>
      <c r="I580" s="13" t="n">
        <v>36</v>
      </c>
      <c r="J580" s="13" t="n">
        <v>177</v>
      </c>
      <c r="K580" s="13" t="n">
        <v>0</v>
      </c>
      <c r="L580" s="17" t="n">
        <v>0.0872457333333333</v>
      </c>
      <c r="M580" s="18" t="n">
        <f aca="false">IF(H580=0,"",I580/H580)</f>
        <v>0.169014084507042</v>
      </c>
    </row>
    <row r="581" customFormat="false" ht="15" hidden="false" customHeight="false" outlineLevel="0" collapsed="false">
      <c r="A581" s="13" t="s">
        <v>79</v>
      </c>
      <c r="B581" s="13" t="s">
        <v>173</v>
      </c>
      <c r="C581" s="13" t="n">
        <v>0</v>
      </c>
      <c r="D581" s="13" t="n">
        <v>0</v>
      </c>
      <c r="E581" s="13" t="n">
        <v>0</v>
      </c>
      <c r="F581" s="13" t="n">
        <v>0</v>
      </c>
      <c r="G581" s="17" t="n">
        <v>0</v>
      </c>
      <c r="H581" s="13" t="n">
        <v>7</v>
      </c>
      <c r="I581" s="13" t="n">
        <v>0</v>
      </c>
      <c r="J581" s="13" t="n">
        <v>7</v>
      </c>
      <c r="K581" s="13" t="n">
        <v>0</v>
      </c>
      <c r="L581" s="17" t="n">
        <v>0</v>
      </c>
      <c r="M581" s="18" t="n">
        <f aca="false">IF(H581=0,"",I581/H581)</f>
        <v>0</v>
      </c>
    </row>
    <row r="582" customFormat="false" ht="15" hidden="false" customHeight="false" outlineLevel="0" collapsed="false">
      <c r="A582" s="13" t="s">
        <v>79</v>
      </c>
      <c r="B582" s="13" t="s">
        <v>174</v>
      </c>
      <c r="C582" s="13" t="n">
        <v>0</v>
      </c>
      <c r="D582" s="13" t="n">
        <v>0</v>
      </c>
      <c r="E582" s="13" t="n">
        <v>0</v>
      </c>
      <c r="F582" s="13" t="n">
        <v>0</v>
      </c>
      <c r="G582" s="17" t="n">
        <v>0</v>
      </c>
      <c r="H582" s="13" t="n">
        <v>2</v>
      </c>
      <c r="I582" s="13" t="n">
        <v>1</v>
      </c>
      <c r="J582" s="13" t="n">
        <v>0</v>
      </c>
      <c r="K582" s="13" t="n">
        <v>0</v>
      </c>
      <c r="L582" s="17" t="n">
        <v>0.00109453</v>
      </c>
      <c r="M582" s="18" t="n">
        <f aca="false">IF(H582=0,"",I582/H582)</f>
        <v>0.5</v>
      </c>
    </row>
    <row r="583" customFormat="false" ht="15" hidden="false" customHeight="false" outlineLevel="0" collapsed="false">
      <c r="A583" s="13" t="s">
        <v>79</v>
      </c>
      <c r="B583" s="13" t="s">
        <v>175</v>
      </c>
      <c r="C583" s="13" t="n">
        <v>0</v>
      </c>
      <c r="D583" s="13" t="n">
        <v>0</v>
      </c>
      <c r="E583" s="13" t="n">
        <v>0</v>
      </c>
      <c r="F583" s="13" t="n">
        <v>0</v>
      </c>
      <c r="G583" s="17" t="n">
        <v>0</v>
      </c>
      <c r="H583" s="13" t="n">
        <v>7</v>
      </c>
      <c r="I583" s="13" t="n">
        <v>0</v>
      </c>
      <c r="J583" s="13" t="n">
        <v>0</v>
      </c>
      <c r="K583" s="13" t="n">
        <v>7</v>
      </c>
      <c r="L583" s="17" t="n">
        <v>0</v>
      </c>
      <c r="M583" s="18" t="n">
        <f aca="false">IF(H583=0,"",I583/H583)</f>
        <v>0</v>
      </c>
    </row>
    <row r="584" customFormat="false" ht="15" hidden="false" customHeight="false" outlineLevel="0" collapsed="false">
      <c r="A584" s="13" t="s">
        <v>79</v>
      </c>
      <c r="B584" s="13" t="s">
        <v>176</v>
      </c>
      <c r="C584" s="13" t="n">
        <v>0</v>
      </c>
      <c r="D584" s="13" t="n">
        <v>0</v>
      </c>
      <c r="E584" s="13" t="n">
        <v>0</v>
      </c>
      <c r="F584" s="13" t="n">
        <v>0</v>
      </c>
      <c r="G584" s="17" t="n">
        <v>0</v>
      </c>
      <c r="H584" s="13" t="n">
        <v>84</v>
      </c>
      <c r="I584" s="13" t="n">
        <v>0</v>
      </c>
      <c r="J584" s="13" t="n">
        <v>0</v>
      </c>
      <c r="K584" s="13" t="n">
        <v>0</v>
      </c>
      <c r="L584" s="17" t="n">
        <v>0</v>
      </c>
      <c r="M584" s="18" t="n">
        <f aca="false">IF(H584=0,"",I584/H584)</f>
        <v>0</v>
      </c>
    </row>
    <row r="585" customFormat="false" ht="15" hidden="false" customHeight="false" outlineLevel="0" collapsed="false">
      <c r="A585" s="13" t="s">
        <v>451</v>
      </c>
      <c r="B585" s="13" t="s">
        <v>176</v>
      </c>
      <c r="C585" s="13" t="n">
        <v>0</v>
      </c>
      <c r="D585" s="13" t="n">
        <v>0</v>
      </c>
      <c r="E585" s="13" t="n">
        <v>0</v>
      </c>
      <c r="F585" s="13" t="n">
        <v>0</v>
      </c>
      <c r="G585" s="17" t="n">
        <v>0</v>
      </c>
      <c r="H585" s="13" t="n">
        <v>1</v>
      </c>
      <c r="I585" s="13" t="n">
        <v>0</v>
      </c>
      <c r="J585" s="13" t="n">
        <v>0</v>
      </c>
      <c r="K585" s="13" t="n">
        <v>0</v>
      </c>
      <c r="L585" s="17" t="n">
        <v>0</v>
      </c>
      <c r="M585" s="18" t="n">
        <f aca="false">IF(H585=0,"",I585/H585)</f>
        <v>0</v>
      </c>
    </row>
    <row r="586" customFormat="false" ht="15" hidden="false" customHeight="false" outlineLevel="0" collapsed="false">
      <c r="A586" s="13" t="s">
        <v>452</v>
      </c>
      <c r="B586" s="13" t="s">
        <v>176</v>
      </c>
      <c r="C586" s="13" t="n">
        <v>0</v>
      </c>
      <c r="D586" s="13" t="n">
        <v>0</v>
      </c>
      <c r="E586" s="13" t="n">
        <v>0</v>
      </c>
      <c r="F586" s="13" t="n">
        <v>0</v>
      </c>
      <c r="G586" s="17" t="n">
        <v>0</v>
      </c>
      <c r="H586" s="13" t="n">
        <v>1</v>
      </c>
      <c r="I586" s="13" t="n">
        <v>0</v>
      </c>
      <c r="J586" s="13" t="n">
        <v>0</v>
      </c>
      <c r="K586" s="13" t="n">
        <v>0</v>
      </c>
      <c r="L586" s="17" t="n">
        <v>0</v>
      </c>
      <c r="M586" s="18" t="n">
        <f aca="false">IF(H586=0,"",I586/H586)</f>
        <v>0</v>
      </c>
    </row>
    <row r="587" customFormat="false" ht="15" hidden="false" customHeight="false" outlineLevel="0" collapsed="false">
      <c r="A587" s="13" t="s">
        <v>97</v>
      </c>
      <c r="B587" s="13" t="s">
        <v>169</v>
      </c>
      <c r="C587" s="13" t="n">
        <v>0</v>
      </c>
      <c r="D587" s="13" t="n">
        <v>0</v>
      </c>
      <c r="E587" s="13" t="n">
        <v>0</v>
      </c>
      <c r="F587" s="13" t="n">
        <v>0</v>
      </c>
      <c r="G587" s="17" t="n">
        <v>0</v>
      </c>
      <c r="H587" s="13" t="n">
        <v>5</v>
      </c>
      <c r="I587" s="13" t="n">
        <v>0</v>
      </c>
      <c r="J587" s="13" t="n">
        <v>5</v>
      </c>
      <c r="K587" s="13" t="n">
        <v>10</v>
      </c>
      <c r="L587" s="17" t="n">
        <v>0</v>
      </c>
      <c r="M587" s="18" t="n">
        <f aca="false">IF(H587=0,"",I587/H587)</f>
        <v>0</v>
      </c>
    </row>
    <row r="588" customFormat="false" ht="15" hidden="false" customHeight="false" outlineLevel="0" collapsed="false">
      <c r="A588" s="13" t="s">
        <v>97</v>
      </c>
      <c r="B588" s="13" t="s">
        <v>170</v>
      </c>
      <c r="C588" s="13" t="n">
        <v>0</v>
      </c>
      <c r="D588" s="13" t="n">
        <v>0</v>
      </c>
      <c r="E588" s="13" t="n">
        <v>0</v>
      </c>
      <c r="F588" s="13" t="n">
        <v>0</v>
      </c>
      <c r="G588" s="17" t="n">
        <v>0</v>
      </c>
      <c r="H588" s="13" t="n">
        <v>8</v>
      </c>
      <c r="I588" s="13" t="n">
        <v>0</v>
      </c>
      <c r="J588" s="13" t="n">
        <v>0</v>
      </c>
      <c r="K588" s="13" t="n">
        <v>3</v>
      </c>
      <c r="L588" s="17" t="n">
        <v>0</v>
      </c>
      <c r="M588" s="18" t="n">
        <f aca="false">IF(H588=0,"",I588/H588)</f>
        <v>0</v>
      </c>
    </row>
    <row r="589" customFormat="false" ht="15" hidden="false" customHeight="false" outlineLevel="0" collapsed="false">
      <c r="A589" s="13" t="s">
        <v>97</v>
      </c>
      <c r="B589" s="13" t="s">
        <v>171</v>
      </c>
      <c r="C589" s="13" t="n">
        <v>0</v>
      </c>
      <c r="D589" s="13" t="n">
        <v>0</v>
      </c>
      <c r="E589" s="13" t="n">
        <v>0</v>
      </c>
      <c r="F589" s="13" t="n">
        <v>0</v>
      </c>
      <c r="G589" s="17" t="n">
        <v>0</v>
      </c>
      <c r="H589" s="13" t="n">
        <v>5</v>
      </c>
      <c r="I589" s="13" t="n">
        <v>0</v>
      </c>
      <c r="J589" s="13" t="n">
        <v>2</v>
      </c>
      <c r="K589" s="13" t="n">
        <v>0</v>
      </c>
      <c r="L589" s="17" t="n">
        <v>0.00063483</v>
      </c>
      <c r="M589" s="18" t="n">
        <f aca="false">IF(H589=0,"",I589/H589)</f>
        <v>0</v>
      </c>
    </row>
    <row r="590" customFormat="false" ht="15" hidden="false" customHeight="false" outlineLevel="0" collapsed="false">
      <c r="A590" s="13" t="s">
        <v>97</v>
      </c>
      <c r="B590" s="13" t="s">
        <v>172</v>
      </c>
      <c r="C590" s="13" t="n">
        <v>0</v>
      </c>
      <c r="D590" s="13" t="n">
        <v>0</v>
      </c>
      <c r="E590" s="13" t="n">
        <v>0</v>
      </c>
      <c r="F590" s="13" t="n">
        <v>0</v>
      </c>
      <c r="G590" s="17" t="n">
        <v>0</v>
      </c>
      <c r="H590" s="13" t="n">
        <v>39</v>
      </c>
      <c r="I590" s="13" t="n">
        <v>0</v>
      </c>
      <c r="J590" s="13" t="n">
        <v>37</v>
      </c>
      <c r="K590" s="13" t="n">
        <v>0</v>
      </c>
      <c r="L590" s="17" t="n">
        <v>0.0241671333333333</v>
      </c>
      <c r="M590" s="18" t="n">
        <f aca="false">IF(H590=0,"",I590/H590)</f>
        <v>0</v>
      </c>
    </row>
    <row r="591" customFormat="false" ht="15" hidden="false" customHeight="false" outlineLevel="0" collapsed="false">
      <c r="A591" s="13" t="s">
        <v>97</v>
      </c>
      <c r="B591" s="13" t="s">
        <v>173</v>
      </c>
      <c r="C591" s="13" t="n">
        <v>0</v>
      </c>
      <c r="D591" s="13" t="n">
        <v>0</v>
      </c>
      <c r="E591" s="13" t="n">
        <v>0</v>
      </c>
      <c r="F591" s="13" t="n">
        <v>0</v>
      </c>
      <c r="G591" s="17" t="n">
        <v>0</v>
      </c>
      <c r="H591" s="13" t="n">
        <v>5</v>
      </c>
      <c r="I591" s="13" t="n">
        <v>2</v>
      </c>
      <c r="J591" s="13" t="n">
        <v>3</v>
      </c>
      <c r="K591" s="13" t="n">
        <v>0</v>
      </c>
      <c r="L591" s="17" t="n">
        <v>0.005894</v>
      </c>
      <c r="M591" s="18" t="n">
        <f aca="false">IF(H591=0,"",I591/H591)</f>
        <v>0.4</v>
      </c>
    </row>
    <row r="592" customFormat="false" ht="15" hidden="false" customHeight="false" outlineLevel="0" collapsed="false">
      <c r="A592" s="13" t="s">
        <v>97</v>
      </c>
      <c r="B592" s="13" t="s">
        <v>174</v>
      </c>
      <c r="C592" s="13" t="n">
        <v>0</v>
      </c>
      <c r="D592" s="13" t="n">
        <v>0</v>
      </c>
      <c r="E592" s="13" t="n">
        <v>0</v>
      </c>
      <c r="F592" s="13" t="n">
        <v>0</v>
      </c>
      <c r="G592" s="17" t="n">
        <v>0</v>
      </c>
      <c r="H592" s="13" t="n">
        <v>103</v>
      </c>
      <c r="I592" s="13" t="n">
        <v>93</v>
      </c>
      <c r="J592" s="13" t="n">
        <v>1</v>
      </c>
      <c r="K592" s="13" t="n">
        <v>0</v>
      </c>
      <c r="L592" s="17" t="n">
        <v>0.03071964</v>
      </c>
      <c r="M592" s="18" t="n">
        <f aca="false">IF(H592=0,"",I592/H592)</f>
        <v>0.902912621359223</v>
      </c>
    </row>
    <row r="593" customFormat="false" ht="15" hidden="false" customHeight="false" outlineLevel="0" collapsed="false">
      <c r="A593" s="13" t="s">
        <v>97</v>
      </c>
      <c r="B593" s="13" t="s">
        <v>175</v>
      </c>
      <c r="C593" s="13" t="n">
        <v>0</v>
      </c>
      <c r="D593" s="13" t="n">
        <v>0</v>
      </c>
      <c r="E593" s="13" t="n">
        <v>0</v>
      </c>
      <c r="F593" s="13" t="n">
        <v>0</v>
      </c>
      <c r="G593" s="17" t="n">
        <v>0</v>
      </c>
      <c r="H593" s="13" t="n">
        <v>103</v>
      </c>
      <c r="I593" s="13" t="n">
        <v>0</v>
      </c>
      <c r="J593" s="13" t="n">
        <v>0</v>
      </c>
      <c r="K593" s="13" t="n">
        <v>103</v>
      </c>
      <c r="L593" s="17" t="n">
        <v>0</v>
      </c>
      <c r="M593" s="18" t="n">
        <f aca="false">IF(H593=0,"",I593/H593)</f>
        <v>0</v>
      </c>
    </row>
    <row r="594" customFormat="false" ht="15" hidden="false" customHeight="false" outlineLevel="0" collapsed="false">
      <c r="A594" s="13" t="s">
        <v>97</v>
      </c>
      <c r="B594" s="13" t="s">
        <v>176</v>
      </c>
      <c r="C594" s="13" t="n">
        <v>0</v>
      </c>
      <c r="D594" s="13" t="n">
        <v>0</v>
      </c>
      <c r="E594" s="13" t="n">
        <v>0</v>
      </c>
      <c r="F594" s="13" t="n">
        <v>0</v>
      </c>
      <c r="G594" s="17" t="n">
        <v>0</v>
      </c>
      <c r="H594" s="13" t="n">
        <v>8</v>
      </c>
      <c r="I594" s="13" t="n">
        <v>0</v>
      </c>
      <c r="J594" s="13" t="n">
        <v>0</v>
      </c>
      <c r="K594" s="13" t="n">
        <v>0</v>
      </c>
      <c r="L594" s="17" t="n">
        <v>0</v>
      </c>
      <c r="M594" s="18" t="n">
        <f aca="false">IF(H594=0,"",I594/H594)</f>
        <v>0</v>
      </c>
    </row>
    <row r="595" customFormat="false" ht="15" hidden="false" customHeight="false" outlineLevel="0" collapsed="false">
      <c r="A595" s="13" t="s">
        <v>453</v>
      </c>
      <c r="B595" s="13" t="s">
        <v>176</v>
      </c>
      <c r="C595" s="13" t="n">
        <v>0</v>
      </c>
      <c r="D595" s="13" t="n">
        <v>0</v>
      </c>
      <c r="E595" s="13" t="n">
        <v>0</v>
      </c>
      <c r="F595" s="13" t="n">
        <v>0</v>
      </c>
      <c r="G595" s="17" t="n">
        <v>0</v>
      </c>
      <c r="H595" s="13" t="n">
        <v>1</v>
      </c>
      <c r="I595" s="13" t="n">
        <v>0</v>
      </c>
      <c r="J595" s="13" t="n">
        <v>0</v>
      </c>
      <c r="K595" s="13" t="n">
        <v>0</v>
      </c>
      <c r="L595" s="17" t="n">
        <v>0</v>
      </c>
      <c r="M595" s="18" t="n">
        <f aca="false">IF(H595=0,"",I595/H595)</f>
        <v>0</v>
      </c>
    </row>
    <row r="596" customFormat="false" ht="15" hidden="false" customHeight="false" outlineLevel="0" collapsed="false">
      <c r="A596" s="13" t="s">
        <v>57</v>
      </c>
      <c r="B596" s="13" t="s">
        <v>169</v>
      </c>
      <c r="C596" s="13" t="n">
        <v>0</v>
      </c>
      <c r="D596" s="13" t="n">
        <v>0</v>
      </c>
      <c r="E596" s="13" t="n">
        <v>0</v>
      </c>
      <c r="F596" s="13" t="n">
        <v>0</v>
      </c>
      <c r="G596" s="17" t="n">
        <v>0</v>
      </c>
      <c r="H596" s="13" t="n">
        <v>0</v>
      </c>
      <c r="I596" s="13" t="n">
        <v>0</v>
      </c>
      <c r="J596" s="13" t="n">
        <v>6</v>
      </c>
      <c r="K596" s="13" t="n">
        <v>0</v>
      </c>
      <c r="L596" s="17" t="n">
        <v>0</v>
      </c>
      <c r="M596" s="18" t="str">
        <f aca="false">IF(H596=0,"",I596/H596)</f>
        <v/>
      </c>
    </row>
    <row r="597" customFormat="false" ht="15" hidden="false" customHeight="false" outlineLevel="0" collapsed="false">
      <c r="A597" s="13" t="s">
        <v>57</v>
      </c>
      <c r="B597" s="13" t="s">
        <v>170</v>
      </c>
      <c r="C597" s="13" t="n">
        <v>0</v>
      </c>
      <c r="D597" s="13" t="n">
        <v>0</v>
      </c>
      <c r="E597" s="13" t="n">
        <v>0</v>
      </c>
      <c r="F597" s="13" t="n">
        <v>0</v>
      </c>
      <c r="G597" s="17" t="n">
        <v>0</v>
      </c>
      <c r="H597" s="13" t="n">
        <v>43</v>
      </c>
      <c r="I597" s="13" t="n">
        <v>38</v>
      </c>
      <c r="J597" s="13" t="n">
        <v>0</v>
      </c>
      <c r="K597" s="13" t="n">
        <v>1</v>
      </c>
      <c r="L597" s="17" t="n">
        <v>0</v>
      </c>
      <c r="M597" s="18" t="n">
        <f aca="false">IF(H597=0,"",I597/H597)</f>
        <v>0.883720930232558</v>
      </c>
    </row>
    <row r="598" customFormat="false" ht="15" hidden="false" customHeight="false" outlineLevel="0" collapsed="false">
      <c r="A598" s="13" t="s">
        <v>57</v>
      </c>
      <c r="B598" s="13" t="s">
        <v>172</v>
      </c>
      <c r="C598" s="13" t="n">
        <v>0</v>
      </c>
      <c r="D598" s="13" t="n">
        <v>0</v>
      </c>
      <c r="E598" s="13" t="n">
        <v>0</v>
      </c>
      <c r="F598" s="13" t="n">
        <v>0</v>
      </c>
      <c r="G598" s="17" t="n">
        <v>0</v>
      </c>
      <c r="H598" s="13" t="n">
        <v>333</v>
      </c>
      <c r="I598" s="13" t="n">
        <v>1</v>
      </c>
      <c r="J598" s="13" t="n">
        <v>329</v>
      </c>
      <c r="K598" s="13" t="n">
        <v>0</v>
      </c>
      <c r="L598" s="17" t="n">
        <v>0.130371466666667</v>
      </c>
      <c r="M598" s="18" t="n">
        <f aca="false">IF(H598=0,"",I598/H598)</f>
        <v>0.003003003003003</v>
      </c>
    </row>
    <row r="599" customFormat="false" ht="15" hidden="false" customHeight="false" outlineLevel="0" collapsed="false">
      <c r="A599" s="13" t="s">
        <v>57</v>
      </c>
      <c r="B599" s="13" t="s">
        <v>173</v>
      </c>
      <c r="C599" s="13" t="n">
        <v>0</v>
      </c>
      <c r="D599" s="13" t="n">
        <v>0</v>
      </c>
      <c r="E599" s="13" t="n">
        <v>0</v>
      </c>
      <c r="F599" s="13" t="n">
        <v>0</v>
      </c>
      <c r="G599" s="17" t="n">
        <v>0</v>
      </c>
      <c r="H599" s="13" t="n">
        <v>45</v>
      </c>
      <c r="I599" s="13" t="n">
        <v>3</v>
      </c>
      <c r="J599" s="13" t="n">
        <v>42</v>
      </c>
      <c r="K599" s="13" t="n">
        <v>0</v>
      </c>
      <c r="L599" s="17" t="n">
        <v>0.0308392</v>
      </c>
      <c r="M599" s="18" t="n">
        <f aca="false">IF(H599=0,"",I599/H599)</f>
        <v>0.0666666666666667</v>
      </c>
    </row>
    <row r="600" customFormat="false" ht="15" hidden="false" customHeight="false" outlineLevel="0" collapsed="false">
      <c r="A600" s="13" t="s">
        <v>57</v>
      </c>
      <c r="B600" s="13" t="s">
        <v>175</v>
      </c>
      <c r="C600" s="13" t="n">
        <v>0</v>
      </c>
      <c r="D600" s="13" t="n">
        <v>0</v>
      </c>
      <c r="E600" s="13" t="n">
        <v>0</v>
      </c>
      <c r="F600" s="13" t="n">
        <v>0</v>
      </c>
      <c r="G600" s="17" t="n">
        <v>0</v>
      </c>
      <c r="H600" s="13" t="n">
        <v>10</v>
      </c>
      <c r="I600" s="13" t="n">
        <v>0</v>
      </c>
      <c r="J600" s="13" t="n">
        <v>0</v>
      </c>
      <c r="K600" s="13" t="n">
        <v>10</v>
      </c>
      <c r="L600" s="17" t="n">
        <v>0</v>
      </c>
      <c r="M600" s="18" t="n">
        <f aca="false">IF(H600=0,"",I600/H600)</f>
        <v>0</v>
      </c>
    </row>
    <row r="601" customFormat="false" ht="15" hidden="false" customHeight="false" outlineLevel="0" collapsed="false">
      <c r="A601" s="13" t="s">
        <v>57</v>
      </c>
      <c r="B601" s="13" t="s">
        <v>176</v>
      </c>
      <c r="C601" s="13" t="n">
        <v>0</v>
      </c>
      <c r="D601" s="13" t="n">
        <v>0</v>
      </c>
      <c r="E601" s="13" t="n">
        <v>0</v>
      </c>
      <c r="F601" s="13" t="n">
        <v>0</v>
      </c>
      <c r="G601" s="17" t="n">
        <v>0</v>
      </c>
      <c r="H601" s="13" t="n">
        <v>226</v>
      </c>
      <c r="I601" s="13" t="n">
        <v>0</v>
      </c>
      <c r="J601" s="13" t="n">
        <v>0</v>
      </c>
      <c r="K601" s="13" t="n">
        <v>0</v>
      </c>
      <c r="L601" s="17" t="n">
        <v>0</v>
      </c>
      <c r="M601" s="18" t="n">
        <f aca="false">IF(H601=0,"",I601/H601)</f>
        <v>0</v>
      </c>
    </row>
    <row r="602" customFormat="false" ht="15" hidden="false" customHeight="false" outlineLevel="0" collapsed="false">
      <c r="A602" s="13" t="s">
        <v>454</v>
      </c>
      <c r="B602" s="13" t="s">
        <v>176</v>
      </c>
      <c r="C602" s="13" t="n">
        <v>0</v>
      </c>
      <c r="D602" s="13" t="n">
        <v>0</v>
      </c>
      <c r="E602" s="13" t="n">
        <v>0</v>
      </c>
      <c r="F602" s="13" t="n">
        <v>0</v>
      </c>
      <c r="G602" s="17" t="n">
        <v>0</v>
      </c>
      <c r="H602" s="13" t="n">
        <v>1</v>
      </c>
      <c r="I602" s="13" t="n">
        <v>0</v>
      </c>
      <c r="J602" s="13" t="n">
        <v>0</v>
      </c>
      <c r="K602" s="13" t="n">
        <v>0</v>
      </c>
      <c r="L602" s="17" t="n">
        <v>0</v>
      </c>
      <c r="M602" s="18" t="n">
        <f aca="false">IF(H602=0,"",I602/H602)</f>
        <v>0</v>
      </c>
    </row>
    <row r="603" customFormat="false" ht="15" hidden="false" customHeight="false" outlineLevel="0" collapsed="false">
      <c r="A603" s="13" t="s">
        <v>455</v>
      </c>
      <c r="B603" s="13" t="s">
        <v>176</v>
      </c>
      <c r="C603" s="13" t="n">
        <v>0</v>
      </c>
      <c r="D603" s="13" t="n">
        <v>0</v>
      </c>
      <c r="E603" s="13" t="n">
        <v>0</v>
      </c>
      <c r="F603" s="13" t="n">
        <v>0</v>
      </c>
      <c r="G603" s="17" t="n">
        <v>0</v>
      </c>
      <c r="H603" s="13" t="n">
        <v>1</v>
      </c>
      <c r="I603" s="13" t="n">
        <v>0</v>
      </c>
      <c r="J603" s="13" t="n">
        <v>0</v>
      </c>
      <c r="K603" s="13" t="n">
        <v>0</v>
      </c>
      <c r="L603" s="17" t="n">
        <v>0</v>
      </c>
      <c r="M603" s="18" t="n">
        <f aca="false">IF(H603=0,"",I603/H603)</f>
        <v>0</v>
      </c>
    </row>
    <row r="604" customFormat="false" ht="15" hidden="false" customHeight="false" outlineLevel="0" collapsed="false">
      <c r="A604" s="13" t="s">
        <v>456</v>
      </c>
      <c r="B604" s="13" t="s">
        <v>176</v>
      </c>
      <c r="C604" s="13" t="n">
        <v>0</v>
      </c>
      <c r="D604" s="13" t="n">
        <v>0</v>
      </c>
      <c r="E604" s="13" t="n">
        <v>0</v>
      </c>
      <c r="F604" s="13" t="n">
        <v>0</v>
      </c>
      <c r="G604" s="17" t="n">
        <v>0</v>
      </c>
      <c r="H604" s="13" t="n">
        <v>1</v>
      </c>
      <c r="I604" s="13" t="n">
        <v>0</v>
      </c>
      <c r="J604" s="13" t="n">
        <v>0</v>
      </c>
      <c r="K604" s="13" t="n">
        <v>0</v>
      </c>
      <c r="L604" s="17" t="n">
        <v>0</v>
      </c>
      <c r="M604" s="18" t="n">
        <f aca="false">IF(H604=0,"",I604/H604)</f>
        <v>0</v>
      </c>
    </row>
    <row r="605" customFormat="false" ht="15" hidden="false" customHeight="false" outlineLevel="0" collapsed="false">
      <c r="A605" s="13" t="s">
        <v>457</v>
      </c>
      <c r="B605" s="13" t="s">
        <v>176</v>
      </c>
      <c r="C605" s="13" t="n">
        <v>0</v>
      </c>
      <c r="D605" s="13" t="n">
        <v>0</v>
      </c>
      <c r="E605" s="13" t="n">
        <v>0</v>
      </c>
      <c r="F605" s="13" t="n">
        <v>0</v>
      </c>
      <c r="G605" s="17" t="n">
        <v>0</v>
      </c>
      <c r="H605" s="13" t="n">
        <v>1</v>
      </c>
      <c r="I605" s="13" t="n">
        <v>0</v>
      </c>
      <c r="J605" s="13" t="n">
        <v>0</v>
      </c>
      <c r="K605" s="13" t="n">
        <v>0</v>
      </c>
      <c r="L605" s="17" t="n">
        <v>0</v>
      </c>
      <c r="M605" s="18" t="n">
        <f aca="false">IF(H605=0,"",I605/H605)</f>
        <v>0</v>
      </c>
    </row>
    <row r="606" customFormat="false" ht="15" hidden="false" customHeight="false" outlineLevel="0" collapsed="false">
      <c r="A606" s="13" t="s">
        <v>458</v>
      </c>
      <c r="B606" s="13" t="s">
        <v>170</v>
      </c>
      <c r="C606" s="13" t="n">
        <v>0</v>
      </c>
      <c r="D606" s="13" t="n">
        <v>0</v>
      </c>
      <c r="E606" s="13" t="n">
        <v>0</v>
      </c>
      <c r="F606" s="13" t="n">
        <v>0</v>
      </c>
      <c r="G606" s="17" t="n">
        <v>0</v>
      </c>
      <c r="H606" s="13" t="n">
        <v>569</v>
      </c>
      <c r="I606" s="13" t="n">
        <v>569</v>
      </c>
      <c r="J606" s="13" t="n">
        <v>0</v>
      </c>
      <c r="K606" s="13" t="n">
        <v>0</v>
      </c>
      <c r="L606" s="17" t="n">
        <v>0</v>
      </c>
      <c r="M606" s="18" t="n">
        <f aca="false">IF(H606=0,"",I606/H606)</f>
        <v>1</v>
      </c>
    </row>
    <row r="607" customFormat="false" ht="15" hidden="false" customHeight="false" outlineLevel="0" collapsed="false">
      <c r="A607" s="13" t="s">
        <v>458</v>
      </c>
      <c r="B607" s="13" t="s">
        <v>172</v>
      </c>
      <c r="C607" s="13" t="n">
        <v>0</v>
      </c>
      <c r="D607" s="13" t="n">
        <v>0</v>
      </c>
      <c r="E607" s="13" t="n">
        <v>0</v>
      </c>
      <c r="F607" s="13" t="n">
        <v>0</v>
      </c>
      <c r="G607" s="17" t="n">
        <v>0</v>
      </c>
      <c r="H607" s="13" t="n">
        <v>2279</v>
      </c>
      <c r="I607" s="13" t="n">
        <v>1508</v>
      </c>
      <c r="J607" s="13" t="n">
        <v>761</v>
      </c>
      <c r="K607" s="13" t="n">
        <v>0</v>
      </c>
      <c r="L607" s="17" t="n">
        <v>1.3529208</v>
      </c>
      <c r="M607" s="18" t="n">
        <f aca="false">IF(H607=0,"",I607/H607)</f>
        <v>0.661693725318122</v>
      </c>
    </row>
    <row r="608" customFormat="false" ht="15" hidden="false" customHeight="false" outlineLevel="0" collapsed="false">
      <c r="A608" s="13" t="s">
        <v>458</v>
      </c>
      <c r="B608" s="13" t="s">
        <v>173</v>
      </c>
      <c r="C608" s="13" t="n">
        <v>0</v>
      </c>
      <c r="D608" s="13" t="n">
        <v>0</v>
      </c>
      <c r="E608" s="13" t="n">
        <v>0</v>
      </c>
      <c r="F608" s="13" t="n">
        <v>0</v>
      </c>
      <c r="G608" s="17" t="n">
        <v>0</v>
      </c>
      <c r="H608" s="13" t="n">
        <v>500</v>
      </c>
      <c r="I608" s="13" t="n">
        <v>4</v>
      </c>
      <c r="J608" s="13" t="n">
        <v>496</v>
      </c>
      <c r="K608" s="13" t="n">
        <v>0</v>
      </c>
      <c r="L608" s="17" t="n">
        <v>0.0223992</v>
      </c>
      <c r="M608" s="18" t="n">
        <f aca="false">IF(H608=0,"",I608/H608)</f>
        <v>0.008</v>
      </c>
    </row>
    <row r="609" customFormat="false" ht="15" hidden="false" customHeight="false" outlineLevel="0" collapsed="false">
      <c r="A609" s="13" t="s">
        <v>458</v>
      </c>
      <c r="B609" s="13" t="s">
        <v>175</v>
      </c>
      <c r="C609" s="13" t="n">
        <v>0</v>
      </c>
      <c r="D609" s="13" t="n">
        <v>0</v>
      </c>
      <c r="E609" s="13" t="n">
        <v>0</v>
      </c>
      <c r="F609" s="13" t="n">
        <v>0</v>
      </c>
      <c r="G609" s="17" t="n">
        <v>0</v>
      </c>
      <c r="H609" s="13" t="n">
        <v>15</v>
      </c>
      <c r="I609" s="13" t="n">
        <v>0</v>
      </c>
      <c r="J609" s="13" t="n">
        <v>0</v>
      </c>
      <c r="K609" s="13" t="n">
        <v>15</v>
      </c>
      <c r="L609" s="17" t="n">
        <v>0</v>
      </c>
      <c r="M609" s="18" t="n">
        <f aca="false">IF(H609=0,"",I609/H609)</f>
        <v>0</v>
      </c>
    </row>
    <row r="610" customFormat="false" ht="15" hidden="false" customHeight="false" outlineLevel="0" collapsed="false">
      <c r="A610" s="13" t="s">
        <v>458</v>
      </c>
      <c r="B610" s="13" t="s">
        <v>176</v>
      </c>
      <c r="C610" s="13" t="n">
        <v>0</v>
      </c>
      <c r="D610" s="13" t="n">
        <v>0</v>
      </c>
      <c r="E610" s="13" t="n">
        <v>0</v>
      </c>
      <c r="F610" s="13" t="n">
        <v>0</v>
      </c>
      <c r="G610" s="17" t="n">
        <v>0</v>
      </c>
      <c r="H610" s="13" t="n">
        <v>761</v>
      </c>
      <c r="I610" s="13" t="n">
        <v>0</v>
      </c>
      <c r="J610" s="13" t="n">
        <v>0</v>
      </c>
      <c r="K610" s="13" t="n">
        <v>0</v>
      </c>
      <c r="L610" s="17" t="n">
        <v>0</v>
      </c>
      <c r="M610" s="18" t="n">
        <f aca="false">IF(H610=0,"",I610/H610)</f>
        <v>0</v>
      </c>
    </row>
    <row r="611" customFormat="false" ht="15" hidden="false" customHeight="false" outlineLevel="0" collapsed="false">
      <c r="A611" s="13" t="s">
        <v>459</v>
      </c>
      <c r="B611" s="13" t="s">
        <v>176</v>
      </c>
      <c r="C611" s="13" t="n">
        <v>0</v>
      </c>
      <c r="D611" s="13" t="n">
        <v>0</v>
      </c>
      <c r="E611" s="13" t="n">
        <v>0</v>
      </c>
      <c r="F611" s="13" t="n">
        <v>0</v>
      </c>
      <c r="G611" s="17" t="n">
        <v>0</v>
      </c>
      <c r="H611" s="13" t="n">
        <v>1</v>
      </c>
      <c r="I611" s="13" t="n">
        <v>0</v>
      </c>
      <c r="J611" s="13" t="n">
        <v>0</v>
      </c>
      <c r="K611" s="13" t="n">
        <v>0</v>
      </c>
      <c r="L611" s="17" t="n">
        <v>0</v>
      </c>
      <c r="M611" s="18" t="n">
        <f aca="false">IF(H611=0,"",I611/H611)</f>
        <v>0</v>
      </c>
    </row>
    <row r="612" customFormat="false" ht="15" hidden="false" customHeight="false" outlineLevel="0" collapsed="false">
      <c r="A612" s="13" t="s">
        <v>460</v>
      </c>
      <c r="B612" s="13" t="s">
        <v>176</v>
      </c>
      <c r="C612" s="13" t="n">
        <v>0</v>
      </c>
      <c r="D612" s="13" t="n">
        <v>0</v>
      </c>
      <c r="E612" s="13" t="n">
        <v>0</v>
      </c>
      <c r="F612" s="13" t="n">
        <v>0</v>
      </c>
      <c r="G612" s="17" t="n">
        <v>0</v>
      </c>
      <c r="H612" s="13" t="n">
        <v>1</v>
      </c>
      <c r="I612" s="13" t="n">
        <v>0</v>
      </c>
      <c r="J612" s="13" t="n">
        <v>0</v>
      </c>
      <c r="K612" s="13" t="n">
        <v>0</v>
      </c>
      <c r="L612" s="17" t="n">
        <v>0</v>
      </c>
      <c r="M612" s="18" t="n">
        <f aca="false">IF(H612=0,"",I612/H612)</f>
        <v>0</v>
      </c>
    </row>
    <row r="613" customFormat="false" ht="15" hidden="false" customHeight="false" outlineLevel="0" collapsed="false">
      <c r="A613" s="13" t="s">
        <v>461</v>
      </c>
      <c r="B613" s="13" t="s">
        <v>176</v>
      </c>
      <c r="C613" s="13" t="n">
        <v>0</v>
      </c>
      <c r="D613" s="13" t="n">
        <v>0</v>
      </c>
      <c r="E613" s="13" t="n">
        <v>0</v>
      </c>
      <c r="F613" s="13" t="n">
        <v>0</v>
      </c>
      <c r="G613" s="17" t="n">
        <v>0</v>
      </c>
      <c r="H613" s="13" t="n">
        <v>1</v>
      </c>
      <c r="I613" s="13" t="n">
        <v>0</v>
      </c>
      <c r="J613" s="13" t="n">
        <v>0</v>
      </c>
      <c r="K613" s="13" t="n">
        <v>0</v>
      </c>
      <c r="L613" s="17" t="n">
        <v>0</v>
      </c>
      <c r="M613" s="18" t="n">
        <f aca="false">IF(H613=0,"",I613/H613)</f>
        <v>0</v>
      </c>
    </row>
    <row r="614" customFormat="false" ht="15" hidden="false" customHeight="false" outlineLevel="0" collapsed="false">
      <c r="A614" s="13" t="s">
        <v>462</v>
      </c>
      <c r="B614" s="13" t="s">
        <v>176</v>
      </c>
      <c r="C614" s="13" t="n">
        <v>0</v>
      </c>
      <c r="D614" s="13" t="n">
        <v>0</v>
      </c>
      <c r="E614" s="13" t="n">
        <v>0</v>
      </c>
      <c r="F614" s="13" t="n">
        <v>0</v>
      </c>
      <c r="G614" s="17" t="n">
        <v>0</v>
      </c>
      <c r="H614" s="13" t="n">
        <v>1</v>
      </c>
      <c r="I614" s="13" t="n">
        <v>0</v>
      </c>
      <c r="J614" s="13" t="n">
        <v>0</v>
      </c>
      <c r="K614" s="13" t="n">
        <v>0</v>
      </c>
      <c r="L614" s="17" t="n">
        <v>0</v>
      </c>
      <c r="M614" s="18" t="n">
        <f aca="false">IF(H614=0,"",I614/H614)</f>
        <v>0</v>
      </c>
    </row>
    <row r="615" customFormat="false" ht="15" hidden="false" customHeight="false" outlineLevel="0" collapsed="false">
      <c r="A615" s="13" t="s">
        <v>463</v>
      </c>
      <c r="B615" s="13" t="s">
        <v>176</v>
      </c>
      <c r="C615" s="13" t="n">
        <v>0</v>
      </c>
      <c r="D615" s="13" t="n">
        <v>0</v>
      </c>
      <c r="E615" s="13" t="n">
        <v>0</v>
      </c>
      <c r="F615" s="13" t="n">
        <v>0</v>
      </c>
      <c r="G615" s="17" t="n">
        <v>0</v>
      </c>
      <c r="H615" s="13" t="n">
        <v>1</v>
      </c>
      <c r="I615" s="13" t="n">
        <v>0</v>
      </c>
      <c r="J615" s="13" t="n">
        <v>0</v>
      </c>
      <c r="K615" s="13" t="n">
        <v>0</v>
      </c>
      <c r="L615" s="17" t="n">
        <v>0</v>
      </c>
      <c r="M615" s="18" t="n">
        <f aca="false">IF(H615=0,"",I615/H615)</f>
        <v>0</v>
      </c>
    </row>
    <row r="616" customFormat="false" ht="15" hidden="false" customHeight="false" outlineLevel="0" collapsed="false">
      <c r="A616" s="13" t="s">
        <v>464</v>
      </c>
      <c r="B616" s="13" t="s">
        <v>176</v>
      </c>
      <c r="C616" s="13" t="n">
        <v>0</v>
      </c>
      <c r="D616" s="13" t="n">
        <v>0</v>
      </c>
      <c r="E616" s="13" t="n">
        <v>0</v>
      </c>
      <c r="F616" s="13" t="n">
        <v>0</v>
      </c>
      <c r="G616" s="17" t="n">
        <v>0</v>
      </c>
      <c r="H616" s="13" t="n">
        <v>1</v>
      </c>
      <c r="I616" s="13" t="n">
        <v>0</v>
      </c>
      <c r="J616" s="13" t="n">
        <v>0</v>
      </c>
      <c r="K616" s="13" t="n">
        <v>0</v>
      </c>
      <c r="L616" s="17" t="n">
        <v>0</v>
      </c>
      <c r="M616" s="18" t="n">
        <f aca="false">IF(H616=0,"",I616/H616)</f>
        <v>0</v>
      </c>
    </row>
    <row r="617" customFormat="false" ht="15" hidden="false" customHeight="false" outlineLevel="0" collapsed="false">
      <c r="A617" s="13" t="s">
        <v>465</v>
      </c>
      <c r="B617" s="13" t="s">
        <v>176</v>
      </c>
      <c r="C617" s="13" t="n">
        <v>0</v>
      </c>
      <c r="D617" s="13" t="n">
        <v>0</v>
      </c>
      <c r="E617" s="13" t="n">
        <v>0</v>
      </c>
      <c r="F617" s="13" t="n">
        <v>0</v>
      </c>
      <c r="G617" s="17" t="n">
        <v>0</v>
      </c>
      <c r="H617" s="13" t="n">
        <v>1</v>
      </c>
      <c r="I617" s="13" t="n">
        <v>0</v>
      </c>
      <c r="J617" s="13" t="n">
        <v>0</v>
      </c>
      <c r="K617" s="13" t="n">
        <v>0</v>
      </c>
      <c r="L617" s="17" t="n">
        <v>0</v>
      </c>
      <c r="M617" s="18" t="n">
        <f aca="false">IF(H617=0,"",I617/H617)</f>
        <v>0</v>
      </c>
    </row>
    <row r="618" customFormat="false" ht="15" hidden="false" customHeight="false" outlineLevel="0" collapsed="false">
      <c r="A618" s="13" t="s">
        <v>466</v>
      </c>
      <c r="B618" s="13" t="s">
        <v>176</v>
      </c>
      <c r="C618" s="13" t="n">
        <v>0</v>
      </c>
      <c r="D618" s="13" t="n">
        <v>0</v>
      </c>
      <c r="E618" s="13" t="n">
        <v>0</v>
      </c>
      <c r="F618" s="13" t="n">
        <v>0</v>
      </c>
      <c r="G618" s="17" t="n">
        <v>0</v>
      </c>
      <c r="H618" s="13" t="n">
        <v>1</v>
      </c>
      <c r="I618" s="13" t="n">
        <v>0</v>
      </c>
      <c r="J618" s="13" t="n">
        <v>0</v>
      </c>
      <c r="K618" s="13" t="n">
        <v>0</v>
      </c>
      <c r="L618" s="17" t="n">
        <v>0</v>
      </c>
      <c r="M618" s="18" t="n">
        <f aca="false">IF(H618=0,"",I618/H618)</f>
        <v>0</v>
      </c>
    </row>
    <row r="619" customFormat="false" ht="15" hidden="false" customHeight="false" outlineLevel="0" collapsed="false">
      <c r="A619" s="13" t="s">
        <v>467</v>
      </c>
      <c r="B619" s="13" t="s">
        <v>176</v>
      </c>
      <c r="C619" s="13" t="n">
        <v>0</v>
      </c>
      <c r="D619" s="13" t="n">
        <v>0</v>
      </c>
      <c r="E619" s="13" t="n">
        <v>0</v>
      </c>
      <c r="F619" s="13" t="n">
        <v>0</v>
      </c>
      <c r="G619" s="17" t="n">
        <v>0</v>
      </c>
      <c r="H619" s="13" t="n">
        <v>1</v>
      </c>
      <c r="I619" s="13" t="n">
        <v>0</v>
      </c>
      <c r="J619" s="13" t="n">
        <v>0</v>
      </c>
      <c r="K619" s="13" t="n">
        <v>0</v>
      </c>
      <c r="L619" s="17" t="n">
        <v>0</v>
      </c>
      <c r="M619" s="18" t="n">
        <f aca="false">IF(H619=0,"",I619/H619)</f>
        <v>0</v>
      </c>
    </row>
    <row r="620" customFormat="false" ht="15" hidden="false" customHeight="false" outlineLevel="0" collapsed="false">
      <c r="A620" s="13" t="s">
        <v>468</v>
      </c>
      <c r="B620" s="13" t="s">
        <v>176</v>
      </c>
      <c r="C620" s="13" t="n">
        <v>0</v>
      </c>
      <c r="D620" s="13" t="n">
        <v>0</v>
      </c>
      <c r="E620" s="13" t="n">
        <v>0</v>
      </c>
      <c r="F620" s="13" t="n">
        <v>0</v>
      </c>
      <c r="G620" s="17" t="n">
        <v>0</v>
      </c>
      <c r="H620" s="13" t="n">
        <v>1</v>
      </c>
      <c r="I620" s="13" t="n">
        <v>0</v>
      </c>
      <c r="J620" s="13" t="n">
        <v>0</v>
      </c>
      <c r="K620" s="13" t="n">
        <v>0</v>
      </c>
      <c r="L620" s="17" t="n">
        <v>0</v>
      </c>
      <c r="M620" s="18" t="n">
        <f aca="false">IF(H620=0,"",I620/H620)</f>
        <v>0</v>
      </c>
    </row>
    <row r="621" customFormat="false" ht="15" hidden="false" customHeight="false" outlineLevel="0" collapsed="false">
      <c r="A621" s="13" t="s">
        <v>469</v>
      </c>
      <c r="B621" s="13" t="s">
        <v>176</v>
      </c>
      <c r="C621" s="13" t="n">
        <v>0</v>
      </c>
      <c r="D621" s="13" t="n">
        <v>0</v>
      </c>
      <c r="E621" s="13" t="n">
        <v>0</v>
      </c>
      <c r="F621" s="13" t="n">
        <v>0</v>
      </c>
      <c r="G621" s="17" t="n">
        <v>0</v>
      </c>
      <c r="H621" s="13" t="n">
        <v>1</v>
      </c>
      <c r="I621" s="13" t="n">
        <v>0</v>
      </c>
      <c r="J621" s="13" t="n">
        <v>0</v>
      </c>
      <c r="K621" s="13" t="n">
        <v>0</v>
      </c>
      <c r="L621" s="17" t="n">
        <v>0</v>
      </c>
      <c r="M621" s="18" t="n">
        <f aca="false">IF(H621=0,"",I621/H621)</f>
        <v>0</v>
      </c>
    </row>
    <row r="622" customFormat="false" ht="15" hidden="false" customHeight="false" outlineLevel="0" collapsed="false">
      <c r="A622" s="13" t="s">
        <v>135</v>
      </c>
      <c r="B622" s="13" t="s">
        <v>169</v>
      </c>
      <c r="C622" s="13" t="n">
        <v>2</v>
      </c>
      <c r="D622" s="13" t="n">
        <v>0</v>
      </c>
      <c r="E622" s="13" t="n">
        <v>2</v>
      </c>
      <c r="F622" s="13" t="n">
        <v>4</v>
      </c>
      <c r="G622" s="17" t="n">
        <v>0</v>
      </c>
      <c r="H622" s="13" t="n">
        <v>2</v>
      </c>
      <c r="I622" s="13" t="n">
        <v>0</v>
      </c>
      <c r="J622" s="13" t="n">
        <v>2</v>
      </c>
      <c r="K622" s="13" t="n">
        <v>4</v>
      </c>
      <c r="L622" s="17" t="n">
        <v>0</v>
      </c>
      <c r="M622" s="18" t="n">
        <f aca="false">IF(H622=0,"",I622/H622)</f>
        <v>0</v>
      </c>
    </row>
    <row r="623" customFormat="false" ht="15" hidden="false" customHeight="false" outlineLevel="0" collapsed="false">
      <c r="A623" s="13" t="s">
        <v>135</v>
      </c>
      <c r="B623" s="13" t="s">
        <v>170</v>
      </c>
      <c r="C623" s="13" t="n">
        <v>2</v>
      </c>
      <c r="D623" s="13" t="n">
        <v>0</v>
      </c>
      <c r="E623" s="13" t="n">
        <v>0</v>
      </c>
      <c r="F623" s="13" t="n">
        <v>0</v>
      </c>
      <c r="G623" s="17" t="n">
        <v>0</v>
      </c>
      <c r="H623" s="13" t="n">
        <v>12</v>
      </c>
      <c r="I623" s="13" t="n">
        <v>7</v>
      </c>
      <c r="J623" s="13" t="n">
        <v>1</v>
      </c>
      <c r="K623" s="13" t="n">
        <v>2</v>
      </c>
      <c r="L623" s="17" t="n">
        <v>0</v>
      </c>
      <c r="M623" s="18" t="n">
        <f aca="false">IF(H623=0,"",I623/H623)</f>
        <v>0.583333333333333</v>
      </c>
    </row>
    <row r="624" customFormat="false" ht="15" hidden="false" customHeight="false" outlineLevel="0" collapsed="false">
      <c r="A624" s="13" t="s">
        <v>135</v>
      </c>
      <c r="B624" s="13" t="s">
        <v>171</v>
      </c>
      <c r="C624" s="13" t="n">
        <v>0</v>
      </c>
      <c r="D624" s="13" t="n">
        <v>0</v>
      </c>
      <c r="E624" s="13" t="n">
        <v>0</v>
      </c>
      <c r="F624" s="13" t="n">
        <v>0</v>
      </c>
      <c r="G624" s="17" t="n">
        <v>0</v>
      </c>
      <c r="H624" s="13" t="n">
        <v>2</v>
      </c>
      <c r="I624" s="13" t="n">
        <v>0</v>
      </c>
      <c r="J624" s="13" t="n">
        <v>0</v>
      </c>
      <c r="K624" s="13" t="n">
        <v>0</v>
      </c>
      <c r="L624" s="17" t="n">
        <v>0.00019314</v>
      </c>
      <c r="M624" s="18" t="n">
        <f aca="false">IF(H624=0,"",I624/H624)</f>
        <v>0</v>
      </c>
    </row>
    <row r="625" customFormat="false" ht="15" hidden="false" customHeight="false" outlineLevel="0" collapsed="false">
      <c r="A625" s="13" t="s">
        <v>135</v>
      </c>
      <c r="B625" s="13" t="s">
        <v>172</v>
      </c>
      <c r="C625" s="13" t="n">
        <v>8</v>
      </c>
      <c r="D625" s="13" t="n">
        <v>0</v>
      </c>
      <c r="E625" s="13" t="n">
        <v>8</v>
      </c>
      <c r="F625" s="13" t="n">
        <v>0</v>
      </c>
      <c r="G625" s="17" t="n">
        <v>0</v>
      </c>
      <c r="H625" s="13" t="n">
        <v>67</v>
      </c>
      <c r="I625" s="13" t="n">
        <v>25</v>
      </c>
      <c r="J625" s="13" t="n">
        <v>39</v>
      </c>
      <c r="K625" s="13" t="n">
        <v>0</v>
      </c>
      <c r="L625" s="17" t="n">
        <v>0.0337244</v>
      </c>
      <c r="M625" s="18" t="n">
        <f aca="false">IF(H625=0,"",I625/H625)</f>
        <v>0.373134328358209</v>
      </c>
    </row>
    <row r="626" customFormat="false" ht="15" hidden="false" customHeight="false" outlineLevel="0" collapsed="false">
      <c r="A626" s="13" t="s">
        <v>135</v>
      </c>
      <c r="B626" s="13" t="s">
        <v>173</v>
      </c>
      <c r="C626" s="13" t="n">
        <v>0</v>
      </c>
      <c r="D626" s="13" t="n">
        <v>0</v>
      </c>
      <c r="E626" s="13" t="n">
        <v>0</v>
      </c>
      <c r="F626" s="13" t="n">
        <v>0</v>
      </c>
      <c r="G626" s="17" t="n">
        <v>0</v>
      </c>
      <c r="H626" s="13" t="n">
        <v>9</v>
      </c>
      <c r="I626" s="13" t="n">
        <v>2</v>
      </c>
      <c r="J626" s="13" t="n">
        <v>7</v>
      </c>
      <c r="K626" s="13" t="n">
        <v>0</v>
      </c>
      <c r="L626" s="17" t="n">
        <v>0.0034256</v>
      </c>
      <c r="M626" s="18" t="n">
        <f aca="false">IF(H626=0,"",I626/H626)</f>
        <v>0.222222222222222</v>
      </c>
    </row>
    <row r="627" customFormat="false" ht="15" hidden="false" customHeight="false" outlineLevel="0" collapsed="false">
      <c r="A627" s="13" t="s">
        <v>135</v>
      </c>
      <c r="B627" s="13" t="s">
        <v>174</v>
      </c>
      <c r="C627" s="13" t="n">
        <v>0</v>
      </c>
      <c r="D627" s="13" t="n">
        <v>0</v>
      </c>
      <c r="E627" s="13" t="n">
        <v>0</v>
      </c>
      <c r="F627" s="13" t="n">
        <v>0</v>
      </c>
      <c r="G627" s="17" t="n">
        <v>0</v>
      </c>
      <c r="H627" s="13" t="n">
        <v>7</v>
      </c>
      <c r="I627" s="13" t="n">
        <v>5</v>
      </c>
      <c r="J627" s="13" t="n">
        <v>0</v>
      </c>
      <c r="K627" s="13" t="n">
        <v>0</v>
      </c>
      <c r="L627" s="17" t="n">
        <v>0.00332357</v>
      </c>
      <c r="M627" s="18" t="n">
        <f aca="false">IF(H627=0,"",I627/H627)</f>
        <v>0.714285714285714</v>
      </c>
    </row>
    <row r="628" customFormat="false" ht="15" hidden="false" customHeight="false" outlineLevel="0" collapsed="false">
      <c r="A628" s="13" t="s">
        <v>135</v>
      </c>
      <c r="B628" s="13" t="s">
        <v>175</v>
      </c>
      <c r="C628" s="13" t="n">
        <v>0</v>
      </c>
      <c r="D628" s="13" t="n">
        <v>0</v>
      </c>
      <c r="E628" s="13" t="n">
        <v>0</v>
      </c>
      <c r="F628" s="13" t="n">
        <v>0</v>
      </c>
      <c r="G628" s="17" t="n">
        <v>0</v>
      </c>
      <c r="H628" s="13" t="n">
        <v>10</v>
      </c>
      <c r="I628" s="13" t="n">
        <v>0</v>
      </c>
      <c r="J628" s="13" t="n">
        <v>0</v>
      </c>
      <c r="K628" s="13" t="n">
        <v>10</v>
      </c>
      <c r="L628" s="17" t="n">
        <v>0</v>
      </c>
      <c r="M628" s="18" t="n">
        <f aca="false">IF(H628=0,"",I628/H628)</f>
        <v>0</v>
      </c>
    </row>
    <row r="629" customFormat="false" ht="15" hidden="false" customHeight="false" outlineLevel="0" collapsed="false">
      <c r="A629" s="13" t="s">
        <v>135</v>
      </c>
      <c r="B629" s="13" t="s">
        <v>176</v>
      </c>
      <c r="C629" s="13" t="n">
        <v>0</v>
      </c>
      <c r="D629" s="13" t="n">
        <v>0</v>
      </c>
      <c r="E629" s="13" t="n">
        <v>0</v>
      </c>
      <c r="F629" s="13" t="n">
        <v>0</v>
      </c>
      <c r="G629" s="17" t="n">
        <v>0</v>
      </c>
      <c r="H629" s="13" t="n">
        <v>13</v>
      </c>
      <c r="I629" s="13" t="n">
        <v>0</v>
      </c>
      <c r="J629" s="13" t="n">
        <v>0</v>
      </c>
      <c r="K629" s="13" t="n">
        <v>0</v>
      </c>
      <c r="L629" s="17" t="n">
        <v>0</v>
      </c>
      <c r="M629" s="18" t="n">
        <f aca="false">IF(H629=0,"",I629/H629)</f>
        <v>0</v>
      </c>
    </row>
    <row r="630" customFormat="false" ht="15" hidden="false" customHeight="false" outlineLevel="0" collapsed="false">
      <c r="A630" s="13" t="s">
        <v>99</v>
      </c>
      <c r="B630" s="13" t="s">
        <v>169</v>
      </c>
      <c r="C630" s="13" t="n">
        <v>0</v>
      </c>
      <c r="D630" s="13" t="n">
        <v>0</v>
      </c>
      <c r="E630" s="13" t="n">
        <v>0</v>
      </c>
      <c r="F630" s="13" t="n">
        <v>0</v>
      </c>
      <c r="G630" s="17" t="n">
        <v>0</v>
      </c>
      <c r="H630" s="13" t="n">
        <v>12</v>
      </c>
      <c r="I630" s="13" t="n">
        <v>0</v>
      </c>
      <c r="J630" s="13" t="n">
        <v>12</v>
      </c>
      <c r="K630" s="13" t="n">
        <v>24</v>
      </c>
      <c r="L630" s="17" t="n">
        <v>0</v>
      </c>
      <c r="M630" s="18" t="n">
        <f aca="false">IF(H630=0,"",I630/H630)</f>
        <v>0</v>
      </c>
    </row>
    <row r="631" customFormat="false" ht="15" hidden="false" customHeight="false" outlineLevel="0" collapsed="false">
      <c r="A631" s="13" t="s">
        <v>99</v>
      </c>
      <c r="B631" s="13" t="s">
        <v>170</v>
      </c>
      <c r="C631" s="13" t="n">
        <v>0</v>
      </c>
      <c r="D631" s="13" t="n">
        <v>0</v>
      </c>
      <c r="E631" s="13" t="n">
        <v>0</v>
      </c>
      <c r="F631" s="13" t="n">
        <v>0</v>
      </c>
      <c r="G631" s="17" t="n">
        <v>0</v>
      </c>
      <c r="H631" s="13" t="n">
        <v>13</v>
      </c>
      <c r="I631" s="13" t="n">
        <v>1</v>
      </c>
      <c r="J631" s="13" t="n">
        <v>0</v>
      </c>
      <c r="K631" s="13" t="n">
        <v>0</v>
      </c>
      <c r="L631" s="17" t="n">
        <v>0</v>
      </c>
      <c r="M631" s="18" t="n">
        <f aca="false">IF(H631=0,"",I631/H631)</f>
        <v>0.0769230769230769</v>
      </c>
    </row>
    <row r="632" customFormat="false" ht="15" hidden="false" customHeight="false" outlineLevel="0" collapsed="false">
      <c r="A632" s="13" t="s">
        <v>99</v>
      </c>
      <c r="B632" s="13" t="s">
        <v>171</v>
      </c>
      <c r="C632" s="13" t="n">
        <v>0</v>
      </c>
      <c r="D632" s="13" t="n">
        <v>0</v>
      </c>
      <c r="E632" s="13" t="n">
        <v>0</v>
      </c>
      <c r="F632" s="13" t="n">
        <v>0</v>
      </c>
      <c r="G632" s="17" t="n">
        <v>0</v>
      </c>
      <c r="H632" s="13" t="n">
        <v>12</v>
      </c>
      <c r="I632" s="13" t="n">
        <v>0</v>
      </c>
      <c r="J632" s="13" t="n">
        <v>12</v>
      </c>
      <c r="K632" s="13" t="n">
        <v>0</v>
      </c>
      <c r="L632" s="17" t="n">
        <v>0.00098448</v>
      </c>
      <c r="M632" s="18" t="n">
        <f aca="false">IF(H632=0,"",I632/H632)</f>
        <v>0</v>
      </c>
    </row>
    <row r="633" customFormat="false" ht="15" hidden="false" customHeight="false" outlineLevel="0" collapsed="false">
      <c r="A633" s="13" t="s">
        <v>99</v>
      </c>
      <c r="B633" s="13" t="s">
        <v>172</v>
      </c>
      <c r="C633" s="13" t="n">
        <v>0</v>
      </c>
      <c r="D633" s="13" t="n">
        <v>0</v>
      </c>
      <c r="E633" s="13" t="n">
        <v>0</v>
      </c>
      <c r="F633" s="13" t="n">
        <v>0</v>
      </c>
      <c r="G633" s="17" t="n">
        <v>0</v>
      </c>
      <c r="H633" s="13" t="n">
        <v>64</v>
      </c>
      <c r="I633" s="13" t="n">
        <v>11</v>
      </c>
      <c r="J633" s="13" t="n">
        <v>53</v>
      </c>
      <c r="K633" s="13" t="n">
        <v>0</v>
      </c>
      <c r="L633" s="17" t="n">
        <v>0.0511474666666667</v>
      </c>
      <c r="M633" s="18" t="n">
        <f aca="false">IF(H633=0,"",I633/H633)</f>
        <v>0.171875</v>
      </c>
    </row>
    <row r="634" customFormat="false" ht="15" hidden="false" customHeight="false" outlineLevel="0" collapsed="false">
      <c r="A634" s="13" t="s">
        <v>99</v>
      </c>
      <c r="B634" s="13" t="s">
        <v>173</v>
      </c>
      <c r="C634" s="13" t="n">
        <v>0</v>
      </c>
      <c r="D634" s="13" t="n">
        <v>0</v>
      </c>
      <c r="E634" s="13" t="n">
        <v>0</v>
      </c>
      <c r="F634" s="13" t="n">
        <v>0</v>
      </c>
      <c r="G634" s="17" t="n">
        <v>0</v>
      </c>
      <c r="H634" s="13" t="n">
        <v>3</v>
      </c>
      <c r="I634" s="13" t="n">
        <v>2</v>
      </c>
      <c r="J634" s="13" t="n">
        <v>1</v>
      </c>
      <c r="K634" s="13" t="n">
        <v>0</v>
      </c>
      <c r="L634" s="17" t="n">
        <v>0.0070948</v>
      </c>
      <c r="M634" s="18" t="n">
        <f aca="false">IF(H634=0,"",I634/H634)</f>
        <v>0.666666666666667</v>
      </c>
    </row>
    <row r="635" customFormat="false" ht="15" hidden="false" customHeight="false" outlineLevel="0" collapsed="false">
      <c r="A635" s="13" t="s">
        <v>99</v>
      </c>
      <c r="B635" s="13" t="s">
        <v>174</v>
      </c>
      <c r="C635" s="13" t="n">
        <v>0</v>
      </c>
      <c r="D635" s="13" t="n">
        <v>0</v>
      </c>
      <c r="E635" s="13" t="n">
        <v>0</v>
      </c>
      <c r="F635" s="13" t="n">
        <v>0</v>
      </c>
      <c r="G635" s="17" t="n">
        <v>0</v>
      </c>
      <c r="H635" s="13" t="n">
        <v>43</v>
      </c>
      <c r="I635" s="13" t="n">
        <v>35</v>
      </c>
      <c r="J635" s="13" t="n">
        <v>0</v>
      </c>
      <c r="K635" s="13" t="n">
        <v>0</v>
      </c>
      <c r="L635" s="17" t="n">
        <v>0.01975069</v>
      </c>
      <c r="M635" s="18" t="n">
        <f aca="false">IF(H635=0,"",I635/H635)</f>
        <v>0.813953488372093</v>
      </c>
    </row>
    <row r="636" customFormat="false" ht="15" hidden="false" customHeight="false" outlineLevel="0" collapsed="false">
      <c r="A636" s="13" t="s">
        <v>99</v>
      </c>
      <c r="B636" s="13" t="s">
        <v>175</v>
      </c>
      <c r="C636" s="13" t="n">
        <v>0</v>
      </c>
      <c r="D636" s="13" t="n">
        <v>0</v>
      </c>
      <c r="E636" s="13" t="n">
        <v>0</v>
      </c>
      <c r="F636" s="13" t="n">
        <v>0</v>
      </c>
      <c r="G636" s="17" t="n">
        <v>0</v>
      </c>
      <c r="H636" s="13" t="n">
        <v>42</v>
      </c>
      <c r="I636" s="13" t="n">
        <v>0</v>
      </c>
      <c r="J636" s="13" t="n">
        <v>0</v>
      </c>
      <c r="K636" s="13" t="n">
        <v>42</v>
      </c>
      <c r="L636" s="17" t="n">
        <v>0</v>
      </c>
      <c r="M636" s="18" t="n">
        <f aca="false">IF(H636=0,"",I636/H636)</f>
        <v>0</v>
      </c>
    </row>
    <row r="637" customFormat="false" ht="15" hidden="false" customHeight="false" outlineLevel="0" collapsed="false">
      <c r="A637" s="13" t="s">
        <v>99</v>
      </c>
      <c r="B637" s="13" t="s">
        <v>176</v>
      </c>
      <c r="C637" s="13" t="n">
        <v>0</v>
      </c>
      <c r="D637" s="13" t="n">
        <v>0</v>
      </c>
      <c r="E637" s="13" t="n">
        <v>0</v>
      </c>
      <c r="F637" s="13" t="n">
        <v>0</v>
      </c>
      <c r="G637" s="17" t="n">
        <v>0</v>
      </c>
      <c r="H637" s="13" t="n">
        <v>19</v>
      </c>
      <c r="I637" s="13" t="n">
        <v>0</v>
      </c>
      <c r="J637" s="13" t="n">
        <v>0</v>
      </c>
      <c r="K637" s="13" t="n">
        <v>0</v>
      </c>
      <c r="L637" s="17" t="n">
        <v>0</v>
      </c>
      <c r="M637" s="18" t="n">
        <f aca="false">IF(H637=0,"",I637/H637)</f>
        <v>0</v>
      </c>
    </row>
    <row r="638" customFormat="false" ht="15" hidden="false" customHeight="false" outlineLevel="0" collapsed="false">
      <c r="A638" s="13" t="s">
        <v>470</v>
      </c>
      <c r="B638" s="13" t="s">
        <v>176</v>
      </c>
      <c r="C638" s="13" t="n">
        <v>0</v>
      </c>
      <c r="D638" s="13" t="n">
        <v>0</v>
      </c>
      <c r="E638" s="13" t="n">
        <v>0</v>
      </c>
      <c r="F638" s="13" t="n">
        <v>0</v>
      </c>
      <c r="G638" s="17" t="n">
        <v>0</v>
      </c>
      <c r="H638" s="13" t="n">
        <v>1</v>
      </c>
      <c r="I638" s="13" t="n">
        <v>0</v>
      </c>
      <c r="J638" s="13" t="n">
        <v>0</v>
      </c>
      <c r="K638" s="13" t="n">
        <v>0</v>
      </c>
      <c r="L638" s="17" t="n">
        <v>0</v>
      </c>
      <c r="M638" s="18" t="n">
        <f aca="false">IF(H638=0,"",I638/H638)</f>
        <v>0</v>
      </c>
    </row>
    <row r="639" customFormat="false" ht="15" hidden="false" customHeight="false" outlineLevel="0" collapsed="false">
      <c r="A639" s="13" t="s">
        <v>471</v>
      </c>
      <c r="B639" s="13" t="s">
        <v>176</v>
      </c>
      <c r="C639" s="13" t="n">
        <v>0</v>
      </c>
      <c r="D639" s="13" t="n">
        <v>0</v>
      </c>
      <c r="E639" s="13" t="n">
        <v>0</v>
      </c>
      <c r="F639" s="13" t="n">
        <v>0</v>
      </c>
      <c r="G639" s="17" t="n">
        <v>0</v>
      </c>
      <c r="H639" s="13" t="n">
        <v>1</v>
      </c>
      <c r="I639" s="13" t="n">
        <v>0</v>
      </c>
      <c r="J639" s="13" t="n">
        <v>0</v>
      </c>
      <c r="K639" s="13" t="n">
        <v>0</v>
      </c>
      <c r="L639" s="17" t="n">
        <v>0</v>
      </c>
      <c r="M639" s="18" t="n">
        <f aca="false">IF(H639=0,"",I639/H639)</f>
        <v>0</v>
      </c>
    </row>
    <row r="640" customFormat="false" ht="15" hidden="false" customHeight="false" outlineLevel="0" collapsed="false">
      <c r="A640" s="13" t="s">
        <v>472</v>
      </c>
      <c r="B640" s="13" t="s">
        <v>176</v>
      </c>
      <c r="C640" s="13" t="n">
        <v>0</v>
      </c>
      <c r="D640" s="13" t="n">
        <v>0</v>
      </c>
      <c r="E640" s="13" t="n">
        <v>0</v>
      </c>
      <c r="F640" s="13" t="n">
        <v>0</v>
      </c>
      <c r="G640" s="17" t="n">
        <v>0</v>
      </c>
      <c r="H640" s="13" t="n">
        <v>1</v>
      </c>
      <c r="I640" s="13" t="n">
        <v>0</v>
      </c>
      <c r="J640" s="13" t="n">
        <v>0</v>
      </c>
      <c r="K640" s="13" t="n">
        <v>0</v>
      </c>
      <c r="L640" s="17" t="n">
        <v>0</v>
      </c>
      <c r="M640" s="18" t="n">
        <f aca="false">IF(H640=0,"",I640/H640)</f>
        <v>0</v>
      </c>
    </row>
    <row r="641" customFormat="false" ht="15" hidden="false" customHeight="false" outlineLevel="0" collapsed="false">
      <c r="A641" s="13" t="s">
        <v>473</v>
      </c>
      <c r="B641" s="13" t="s">
        <v>176</v>
      </c>
      <c r="C641" s="13" t="n">
        <v>0</v>
      </c>
      <c r="D641" s="13" t="n">
        <v>0</v>
      </c>
      <c r="E641" s="13" t="n">
        <v>0</v>
      </c>
      <c r="F641" s="13" t="n">
        <v>0</v>
      </c>
      <c r="G641" s="17" t="n">
        <v>0</v>
      </c>
      <c r="H641" s="13" t="n">
        <v>1</v>
      </c>
      <c r="I641" s="13" t="n">
        <v>0</v>
      </c>
      <c r="J641" s="13" t="n">
        <v>0</v>
      </c>
      <c r="K641" s="13" t="n">
        <v>0</v>
      </c>
      <c r="L641" s="17" t="n">
        <v>0</v>
      </c>
      <c r="M641" s="18" t="n">
        <f aca="false">IF(H641=0,"",I641/H641)</f>
        <v>0</v>
      </c>
    </row>
    <row r="642" customFormat="false" ht="15" hidden="false" customHeight="false" outlineLevel="0" collapsed="false">
      <c r="A642" s="13" t="s">
        <v>474</v>
      </c>
      <c r="B642" s="13" t="s">
        <v>176</v>
      </c>
      <c r="C642" s="13" t="n">
        <v>0</v>
      </c>
      <c r="D642" s="13" t="n">
        <v>0</v>
      </c>
      <c r="E642" s="13" t="n">
        <v>0</v>
      </c>
      <c r="F642" s="13" t="n">
        <v>0</v>
      </c>
      <c r="G642" s="17" t="n">
        <v>0</v>
      </c>
      <c r="H642" s="13" t="n">
        <v>1</v>
      </c>
      <c r="I642" s="13" t="n">
        <v>0</v>
      </c>
      <c r="J642" s="13" t="n">
        <v>0</v>
      </c>
      <c r="K642" s="13" t="n">
        <v>0</v>
      </c>
      <c r="L642" s="17" t="n">
        <v>0</v>
      </c>
      <c r="M642" s="18" t="n">
        <f aca="false">IF(H642=0,"",I642/H642)</f>
        <v>0</v>
      </c>
    </row>
    <row r="643" customFormat="false" ht="15" hidden="false" customHeight="false" outlineLevel="0" collapsed="false">
      <c r="A643" s="13" t="s">
        <v>475</v>
      </c>
      <c r="B643" s="13" t="s">
        <v>176</v>
      </c>
      <c r="C643" s="13" t="n">
        <v>0</v>
      </c>
      <c r="D643" s="13" t="n">
        <v>0</v>
      </c>
      <c r="E643" s="13" t="n">
        <v>0</v>
      </c>
      <c r="F643" s="13" t="n">
        <v>0</v>
      </c>
      <c r="G643" s="17" t="n">
        <v>0</v>
      </c>
      <c r="H643" s="13" t="n">
        <v>1</v>
      </c>
      <c r="I643" s="13" t="n">
        <v>0</v>
      </c>
      <c r="J643" s="13" t="n">
        <v>0</v>
      </c>
      <c r="K643" s="13" t="n">
        <v>0</v>
      </c>
      <c r="L643" s="17" t="n">
        <v>0</v>
      </c>
      <c r="M643" s="18" t="n">
        <f aca="false">IF(H643=0,"",I643/H643)</f>
        <v>0</v>
      </c>
    </row>
    <row r="644" customFormat="false" ht="15" hidden="false" customHeight="false" outlineLevel="0" collapsed="false">
      <c r="A644" s="13" t="s">
        <v>476</v>
      </c>
      <c r="B644" s="13" t="s">
        <v>176</v>
      </c>
      <c r="C644" s="13" t="n">
        <v>0</v>
      </c>
      <c r="D644" s="13" t="n">
        <v>0</v>
      </c>
      <c r="E644" s="13" t="n">
        <v>0</v>
      </c>
      <c r="F644" s="13" t="n">
        <v>0</v>
      </c>
      <c r="G644" s="17" t="n">
        <v>0</v>
      </c>
      <c r="H644" s="13" t="n">
        <v>1</v>
      </c>
      <c r="I644" s="13" t="n">
        <v>0</v>
      </c>
      <c r="J644" s="13" t="n">
        <v>0</v>
      </c>
      <c r="K644" s="13" t="n">
        <v>0</v>
      </c>
      <c r="L644" s="17" t="n">
        <v>0</v>
      </c>
      <c r="M644" s="18" t="n">
        <f aca="false">IF(H644=0,"",I644/H644)</f>
        <v>0</v>
      </c>
    </row>
    <row r="645" customFormat="false" ht="15" hidden="false" customHeight="false" outlineLevel="0" collapsed="false">
      <c r="A645" s="13" t="s">
        <v>477</v>
      </c>
      <c r="B645" s="13" t="s">
        <v>176</v>
      </c>
      <c r="C645" s="13" t="n">
        <v>0</v>
      </c>
      <c r="D645" s="13" t="n">
        <v>0</v>
      </c>
      <c r="E645" s="13" t="n">
        <v>0</v>
      </c>
      <c r="F645" s="13" t="n">
        <v>0</v>
      </c>
      <c r="G645" s="17" t="n">
        <v>0</v>
      </c>
      <c r="H645" s="13" t="n">
        <v>1</v>
      </c>
      <c r="I645" s="13" t="n">
        <v>0</v>
      </c>
      <c r="J645" s="13" t="n">
        <v>0</v>
      </c>
      <c r="K645" s="13" t="n">
        <v>0</v>
      </c>
      <c r="L645" s="17" t="n">
        <v>0</v>
      </c>
      <c r="M645" s="18" t="n">
        <f aca="false">IF(H645=0,"",I645/H645)</f>
        <v>0</v>
      </c>
    </row>
    <row r="646" customFormat="false" ht="15" hidden="false" customHeight="false" outlineLevel="0" collapsed="false">
      <c r="A646" s="13" t="s">
        <v>478</v>
      </c>
      <c r="B646" s="13" t="s">
        <v>176</v>
      </c>
      <c r="C646" s="13" t="n">
        <v>0</v>
      </c>
      <c r="D646" s="13" t="n">
        <v>0</v>
      </c>
      <c r="E646" s="13" t="n">
        <v>0</v>
      </c>
      <c r="F646" s="13" t="n">
        <v>0</v>
      </c>
      <c r="G646" s="17" t="n">
        <v>0</v>
      </c>
      <c r="H646" s="13" t="n">
        <v>1</v>
      </c>
      <c r="I646" s="13" t="n">
        <v>0</v>
      </c>
      <c r="J646" s="13" t="n">
        <v>0</v>
      </c>
      <c r="K646" s="13" t="n">
        <v>0</v>
      </c>
      <c r="L646" s="17" t="n">
        <v>0</v>
      </c>
      <c r="M646" s="18" t="n">
        <f aca="false">IF(H646=0,"",I646/H646)</f>
        <v>0</v>
      </c>
    </row>
    <row r="647" customFormat="false" ht="15" hidden="false" customHeight="false" outlineLevel="0" collapsed="false">
      <c r="A647" s="13" t="s">
        <v>479</v>
      </c>
      <c r="B647" s="13" t="s">
        <v>176</v>
      </c>
      <c r="C647" s="13" t="n">
        <v>0</v>
      </c>
      <c r="D647" s="13" t="n">
        <v>0</v>
      </c>
      <c r="E647" s="13" t="n">
        <v>0</v>
      </c>
      <c r="F647" s="13" t="n">
        <v>0</v>
      </c>
      <c r="G647" s="17" t="n">
        <v>0</v>
      </c>
      <c r="H647" s="13" t="n">
        <v>1</v>
      </c>
      <c r="I647" s="13" t="n">
        <v>0</v>
      </c>
      <c r="J647" s="13" t="n">
        <v>0</v>
      </c>
      <c r="K647" s="13" t="n">
        <v>0</v>
      </c>
      <c r="L647" s="17" t="n">
        <v>0</v>
      </c>
      <c r="M647" s="18" t="n">
        <f aca="false">IF(H647=0,"",I647/H647)</f>
        <v>0</v>
      </c>
    </row>
    <row r="648" customFormat="false" ht="15" hidden="false" customHeight="false" outlineLevel="0" collapsed="false">
      <c r="A648" s="13" t="s">
        <v>480</v>
      </c>
      <c r="B648" s="13" t="s">
        <v>176</v>
      </c>
      <c r="C648" s="13" t="n">
        <v>0</v>
      </c>
      <c r="D648" s="13" t="n">
        <v>0</v>
      </c>
      <c r="E648" s="13" t="n">
        <v>0</v>
      </c>
      <c r="F648" s="13" t="n">
        <v>0</v>
      </c>
      <c r="G648" s="17" t="n">
        <v>0</v>
      </c>
      <c r="H648" s="13" t="n">
        <v>1</v>
      </c>
      <c r="I648" s="13" t="n">
        <v>0</v>
      </c>
      <c r="J648" s="13" t="n">
        <v>0</v>
      </c>
      <c r="K648" s="13" t="n">
        <v>0</v>
      </c>
      <c r="L648" s="17" t="n">
        <v>0</v>
      </c>
      <c r="M648" s="18" t="n">
        <f aca="false">IF(H648=0,"",I648/H648)</f>
        <v>0</v>
      </c>
    </row>
    <row r="649" customFormat="false" ht="15" hidden="false" customHeight="false" outlineLevel="0" collapsed="false">
      <c r="A649" s="13" t="s">
        <v>481</v>
      </c>
      <c r="B649" s="13" t="s">
        <v>176</v>
      </c>
      <c r="C649" s="13" t="n">
        <v>0</v>
      </c>
      <c r="D649" s="13" t="n">
        <v>0</v>
      </c>
      <c r="E649" s="13" t="n">
        <v>0</v>
      </c>
      <c r="F649" s="13" t="n">
        <v>0</v>
      </c>
      <c r="G649" s="17" t="n">
        <v>0</v>
      </c>
      <c r="H649" s="13" t="n">
        <v>1</v>
      </c>
      <c r="I649" s="13" t="n">
        <v>0</v>
      </c>
      <c r="J649" s="13" t="n">
        <v>0</v>
      </c>
      <c r="K649" s="13" t="n">
        <v>0</v>
      </c>
      <c r="L649" s="17" t="n">
        <v>0</v>
      </c>
      <c r="M649" s="18" t="n">
        <f aca="false">IF(H649=0,"",I649/H649)</f>
        <v>0</v>
      </c>
    </row>
    <row r="650" customFormat="false" ht="15" hidden="false" customHeight="false" outlineLevel="0" collapsed="false">
      <c r="A650" s="13" t="s">
        <v>482</v>
      </c>
      <c r="B650" s="13" t="s">
        <v>176</v>
      </c>
      <c r="C650" s="13" t="n">
        <v>0</v>
      </c>
      <c r="D650" s="13" t="n">
        <v>0</v>
      </c>
      <c r="E650" s="13" t="n">
        <v>0</v>
      </c>
      <c r="F650" s="13" t="n">
        <v>0</v>
      </c>
      <c r="G650" s="17" t="n">
        <v>0</v>
      </c>
      <c r="H650" s="13" t="n">
        <v>1</v>
      </c>
      <c r="I650" s="13" t="n">
        <v>0</v>
      </c>
      <c r="J650" s="13" t="n">
        <v>0</v>
      </c>
      <c r="K650" s="13" t="n">
        <v>0</v>
      </c>
      <c r="L650" s="17" t="n">
        <v>0</v>
      </c>
      <c r="M650" s="18" t="n">
        <f aca="false">IF(H650=0,"",I650/H650)</f>
        <v>0</v>
      </c>
    </row>
    <row r="651" customFormat="false" ht="15" hidden="false" customHeight="false" outlineLevel="0" collapsed="false">
      <c r="A651" s="13" t="s">
        <v>147</v>
      </c>
      <c r="B651" s="13" t="s">
        <v>169</v>
      </c>
      <c r="C651" s="13" t="n">
        <v>0</v>
      </c>
      <c r="D651" s="13" t="n">
        <v>0</v>
      </c>
      <c r="E651" s="13" t="n">
        <v>0</v>
      </c>
      <c r="F651" s="13" t="n">
        <v>0</v>
      </c>
      <c r="G651" s="17" t="n">
        <v>0</v>
      </c>
      <c r="H651" s="13" t="n">
        <v>2</v>
      </c>
      <c r="I651" s="13" t="n">
        <v>0</v>
      </c>
      <c r="J651" s="13" t="n">
        <v>0</v>
      </c>
      <c r="K651" s="13" t="n">
        <v>4</v>
      </c>
      <c r="L651" s="17" t="n">
        <v>0</v>
      </c>
      <c r="M651" s="18" t="n">
        <f aca="false">IF(H651=0,"",I651/H651)</f>
        <v>0</v>
      </c>
    </row>
    <row r="652" customFormat="false" ht="15" hidden="false" customHeight="false" outlineLevel="0" collapsed="false">
      <c r="A652" s="13" t="s">
        <v>147</v>
      </c>
      <c r="B652" s="13" t="s">
        <v>170</v>
      </c>
      <c r="C652" s="13" t="n">
        <v>0</v>
      </c>
      <c r="D652" s="13" t="n">
        <v>0</v>
      </c>
      <c r="E652" s="13" t="n">
        <v>0</v>
      </c>
      <c r="F652" s="13" t="n">
        <v>0</v>
      </c>
      <c r="G652" s="17" t="n">
        <v>0</v>
      </c>
      <c r="H652" s="13" t="n">
        <v>54</v>
      </c>
      <c r="I652" s="13" t="n">
        <v>52</v>
      </c>
      <c r="J652" s="13" t="n">
        <v>2</v>
      </c>
      <c r="K652" s="13" t="n">
        <v>0</v>
      </c>
      <c r="L652" s="17" t="n">
        <v>0</v>
      </c>
      <c r="M652" s="18" t="n">
        <f aca="false">IF(H652=0,"",I652/H652)</f>
        <v>0.962962962962963</v>
      </c>
    </row>
    <row r="653" customFormat="false" ht="15" hidden="false" customHeight="false" outlineLevel="0" collapsed="false">
      <c r="A653" s="13" t="s">
        <v>147</v>
      </c>
      <c r="B653" s="13" t="s">
        <v>172</v>
      </c>
      <c r="C653" s="13" t="n">
        <v>0</v>
      </c>
      <c r="D653" s="13" t="n">
        <v>0</v>
      </c>
      <c r="E653" s="13" t="n">
        <v>0</v>
      </c>
      <c r="F653" s="13" t="n">
        <v>0</v>
      </c>
      <c r="G653" s="17" t="n">
        <v>0</v>
      </c>
      <c r="H653" s="13" t="n">
        <v>34</v>
      </c>
      <c r="I653" s="13" t="n">
        <v>10</v>
      </c>
      <c r="J653" s="13" t="n">
        <v>19</v>
      </c>
      <c r="K653" s="13" t="n">
        <v>0</v>
      </c>
      <c r="L653" s="17" t="n">
        <v>0.0325565333333333</v>
      </c>
      <c r="M653" s="18" t="n">
        <f aca="false">IF(H653=0,"",I653/H653)</f>
        <v>0.294117647058824</v>
      </c>
    </row>
    <row r="654" customFormat="false" ht="15" hidden="false" customHeight="false" outlineLevel="0" collapsed="false">
      <c r="A654" s="13" t="s">
        <v>147</v>
      </c>
      <c r="B654" s="13" t="s">
        <v>173</v>
      </c>
      <c r="C654" s="13" t="n">
        <v>0</v>
      </c>
      <c r="D654" s="13" t="n">
        <v>0</v>
      </c>
      <c r="E654" s="13" t="n">
        <v>0</v>
      </c>
      <c r="F654" s="13" t="n">
        <v>0</v>
      </c>
      <c r="G654" s="17" t="n">
        <v>0</v>
      </c>
      <c r="H654" s="13" t="n">
        <v>54</v>
      </c>
      <c r="I654" s="13" t="n">
        <v>9</v>
      </c>
      <c r="J654" s="13" t="n">
        <v>45</v>
      </c>
      <c r="K654" s="13" t="n">
        <v>0</v>
      </c>
      <c r="L654" s="17" t="n">
        <v>0.0157708</v>
      </c>
      <c r="M654" s="18" t="n">
        <f aca="false">IF(H654=0,"",I654/H654)</f>
        <v>0.166666666666667</v>
      </c>
    </row>
    <row r="655" customFormat="false" ht="15" hidden="false" customHeight="false" outlineLevel="0" collapsed="false">
      <c r="A655" s="13" t="s">
        <v>147</v>
      </c>
      <c r="B655" s="13" t="s">
        <v>175</v>
      </c>
      <c r="C655" s="13" t="n">
        <v>0</v>
      </c>
      <c r="D655" s="13" t="n">
        <v>0</v>
      </c>
      <c r="E655" s="13" t="n">
        <v>0</v>
      </c>
      <c r="F655" s="13" t="n">
        <v>0</v>
      </c>
      <c r="G655" s="17" t="n">
        <v>0</v>
      </c>
      <c r="H655" s="13" t="n">
        <v>18</v>
      </c>
      <c r="I655" s="13" t="n">
        <v>0</v>
      </c>
      <c r="J655" s="13" t="n">
        <v>0</v>
      </c>
      <c r="K655" s="13" t="n">
        <v>23</v>
      </c>
      <c r="L655" s="17" t="n">
        <v>0</v>
      </c>
      <c r="M655" s="18" t="n">
        <f aca="false">IF(H655=0,"",I655/H655)</f>
        <v>0</v>
      </c>
    </row>
    <row r="656" customFormat="false" ht="15" hidden="false" customHeight="false" outlineLevel="0" collapsed="false">
      <c r="A656" s="13" t="s">
        <v>147</v>
      </c>
      <c r="B656" s="13" t="s">
        <v>176</v>
      </c>
      <c r="C656" s="13" t="n">
        <v>0</v>
      </c>
      <c r="D656" s="13" t="n">
        <v>0</v>
      </c>
      <c r="E656" s="13" t="n">
        <v>0</v>
      </c>
      <c r="F656" s="13" t="n">
        <v>0</v>
      </c>
      <c r="G656" s="17" t="n">
        <v>0</v>
      </c>
      <c r="H656" s="13" t="n">
        <v>7</v>
      </c>
      <c r="I656" s="13" t="n">
        <v>0</v>
      </c>
      <c r="J656" s="13" t="n">
        <v>0</v>
      </c>
      <c r="K656" s="13" t="n">
        <v>0</v>
      </c>
      <c r="L656" s="17" t="n">
        <v>0</v>
      </c>
      <c r="M656" s="18" t="n">
        <f aca="false">IF(H656=0,"",I656/H656)</f>
        <v>0</v>
      </c>
    </row>
    <row r="657" customFormat="false" ht="15" hidden="false" customHeight="false" outlineLevel="0" collapsed="false">
      <c r="A657" s="13" t="s">
        <v>483</v>
      </c>
      <c r="B657" s="13" t="s">
        <v>176</v>
      </c>
      <c r="C657" s="13" t="n">
        <v>0</v>
      </c>
      <c r="D657" s="13" t="n">
        <v>0</v>
      </c>
      <c r="E657" s="13" t="n">
        <v>0</v>
      </c>
      <c r="F657" s="13" t="n">
        <v>0</v>
      </c>
      <c r="G657" s="17" t="n">
        <v>0</v>
      </c>
      <c r="H657" s="13" t="n">
        <v>1</v>
      </c>
      <c r="I657" s="13" t="n">
        <v>0</v>
      </c>
      <c r="J657" s="13" t="n">
        <v>0</v>
      </c>
      <c r="K657" s="13" t="n">
        <v>0</v>
      </c>
      <c r="L657" s="17" t="n">
        <v>0</v>
      </c>
      <c r="M657" s="18" t="n">
        <f aca="false">IF(H657=0,"",I657/H657)</f>
        <v>0</v>
      </c>
    </row>
    <row r="658" customFormat="false" ht="15" hidden="false" customHeight="false" outlineLevel="0" collapsed="false">
      <c r="A658" s="13" t="s">
        <v>484</v>
      </c>
      <c r="B658" s="13" t="s">
        <v>176</v>
      </c>
      <c r="C658" s="13" t="n">
        <v>0</v>
      </c>
      <c r="D658" s="13" t="n">
        <v>0</v>
      </c>
      <c r="E658" s="13" t="n">
        <v>0</v>
      </c>
      <c r="F658" s="13" t="n">
        <v>0</v>
      </c>
      <c r="G658" s="17" t="n">
        <v>0</v>
      </c>
      <c r="H658" s="13" t="n">
        <v>1</v>
      </c>
      <c r="I658" s="13" t="n">
        <v>0</v>
      </c>
      <c r="J658" s="13" t="n">
        <v>0</v>
      </c>
      <c r="K658" s="13" t="n">
        <v>0</v>
      </c>
      <c r="L658" s="17" t="n">
        <v>0</v>
      </c>
      <c r="M658" s="18" t="n">
        <f aca="false">IF(H658=0,"",I658/H658)</f>
        <v>0</v>
      </c>
    </row>
    <row r="659" customFormat="false" ht="15" hidden="false" customHeight="false" outlineLevel="0" collapsed="false">
      <c r="A659" s="13" t="s">
        <v>485</v>
      </c>
      <c r="B659" s="13" t="s">
        <v>176</v>
      </c>
      <c r="C659" s="13" t="n">
        <v>0</v>
      </c>
      <c r="D659" s="13" t="n">
        <v>0</v>
      </c>
      <c r="E659" s="13" t="n">
        <v>0</v>
      </c>
      <c r="F659" s="13" t="n">
        <v>0</v>
      </c>
      <c r="G659" s="17" t="n">
        <v>0</v>
      </c>
      <c r="H659" s="13" t="n">
        <v>1</v>
      </c>
      <c r="I659" s="13" t="n">
        <v>0</v>
      </c>
      <c r="J659" s="13" t="n">
        <v>0</v>
      </c>
      <c r="K659" s="13" t="n">
        <v>0</v>
      </c>
      <c r="L659" s="17" t="n">
        <v>0</v>
      </c>
      <c r="M659" s="18" t="n">
        <f aca="false">IF(H659=0,"",I659/H659)</f>
        <v>0</v>
      </c>
    </row>
    <row r="660" customFormat="false" ht="15" hidden="false" customHeight="false" outlineLevel="0" collapsed="false">
      <c r="A660" s="13" t="s">
        <v>486</v>
      </c>
      <c r="B660" s="13" t="s">
        <v>176</v>
      </c>
      <c r="C660" s="13" t="n">
        <v>0</v>
      </c>
      <c r="D660" s="13" t="n">
        <v>0</v>
      </c>
      <c r="E660" s="13" t="n">
        <v>0</v>
      </c>
      <c r="F660" s="13" t="n">
        <v>0</v>
      </c>
      <c r="G660" s="17" t="n">
        <v>0</v>
      </c>
      <c r="H660" s="13" t="n">
        <v>1</v>
      </c>
      <c r="I660" s="13" t="n">
        <v>0</v>
      </c>
      <c r="J660" s="13" t="n">
        <v>0</v>
      </c>
      <c r="K660" s="13" t="n">
        <v>0</v>
      </c>
      <c r="L660" s="17" t="n">
        <v>0</v>
      </c>
      <c r="M660" s="18" t="n">
        <f aca="false">IF(H660=0,"",I660/H660)</f>
        <v>0</v>
      </c>
    </row>
    <row r="661" customFormat="false" ht="15" hidden="false" customHeight="false" outlineLevel="0" collapsed="false">
      <c r="A661" s="13" t="s">
        <v>487</v>
      </c>
      <c r="B661" s="13" t="s">
        <v>176</v>
      </c>
      <c r="C661" s="13" t="n">
        <v>0</v>
      </c>
      <c r="D661" s="13" t="n">
        <v>0</v>
      </c>
      <c r="E661" s="13" t="n">
        <v>0</v>
      </c>
      <c r="F661" s="13" t="n">
        <v>0</v>
      </c>
      <c r="G661" s="17" t="n">
        <v>0</v>
      </c>
      <c r="H661" s="13" t="n">
        <v>1</v>
      </c>
      <c r="I661" s="13" t="n">
        <v>0</v>
      </c>
      <c r="J661" s="13" t="n">
        <v>0</v>
      </c>
      <c r="K661" s="13" t="n">
        <v>0</v>
      </c>
      <c r="L661" s="17" t="n">
        <v>0</v>
      </c>
      <c r="M661" s="18" t="n">
        <f aca="false">IF(H661=0,"",I661/H661)</f>
        <v>0</v>
      </c>
    </row>
    <row r="662" customFormat="false" ht="15" hidden="false" customHeight="false" outlineLevel="0" collapsed="false">
      <c r="A662" s="13" t="s">
        <v>488</v>
      </c>
      <c r="B662" s="13" t="s">
        <v>176</v>
      </c>
      <c r="C662" s="13" t="n">
        <v>0</v>
      </c>
      <c r="D662" s="13" t="n">
        <v>0</v>
      </c>
      <c r="E662" s="13" t="n">
        <v>0</v>
      </c>
      <c r="F662" s="13" t="n">
        <v>0</v>
      </c>
      <c r="G662" s="17" t="n">
        <v>0</v>
      </c>
      <c r="H662" s="13" t="n">
        <v>1</v>
      </c>
      <c r="I662" s="13" t="n">
        <v>0</v>
      </c>
      <c r="J662" s="13" t="n">
        <v>0</v>
      </c>
      <c r="K662" s="13" t="n">
        <v>0</v>
      </c>
      <c r="L662" s="17" t="n">
        <v>0</v>
      </c>
      <c r="M662" s="18" t="n">
        <f aca="false">IF(H662=0,"",I662/H662)</f>
        <v>0</v>
      </c>
    </row>
    <row r="663" customFormat="false" ht="15" hidden="false" customHeight="false" outlineLevel="0" collapsed="false">
      <c r="A663" s="13" t="s">
        <v>489</v>
      </c>
      <c r="B663" s="13" t="s">
        <v>176</v>
      </c>
      <c r="C663" s="13" t="n">
        <v>0</v>
      </c>
      <c r="D663" s="13" t="n">
        <v>0</v>
      </c>
      <c r="E663" s="13" t="n">
        <v>0</v>
      </c>
      <c r="F663" s="13" t="n">
        <v>0</v>
      </c>
      <c r="G663" s="17" t="n">
        <v>0</v>
      </c>
      <c r="H663" s="13" t="n">
        <v>1</v>
      </c>
      <c r="I663" s="13" t="n">
        <v>0</v>
      </c>
      <c r="J663" s="13" t="n">
        <v>0</v>
      </c>
      <c r="K663" s="13" t="n">
        <v>0</v>
      </c>
      <c r="L663" s="17" t="n">
        <v>0</v>
      </c>
      <c r="M663" s="18" t="n">
        <f aca="false">IF(H663=0,"",I663/H663)</f>
        <v>0</v>
      </c>
    </row>
    <row r="664" customFormat="false" ht="15" hidden="false" customHeight="false" outlineLevel="0" collapsed="false">
      <c r="A664" s="13" t="s">
        <v>490</v>
      </c>
      <c r="B664" s="13" t="s">
        <v>176</v>
      </c>
      <c r="C664" s="13" t="n">
        <v>0</v>
      </c>
      <c r="D664" s="13" t="n">
        <v>0</v>
      </c>
      <c r="E664" s="13" t="n">
        <v>0</v>
      </c>
      <c r="F664" s="13" t="n">
        <v>0</v>
      </c>
      <c r="G664" s="17" t="n">
        <v>0</v>
      </c>
      <c r="H664" s="13" t="n">
        <v>1</v>
      </c>
      <c r="I664" s="13" t="n">
        <v>0</v>
      </c>
      <c r="J664" s="13" t="n">
        <v>0</v>
      </c>
      <c r="K664" s="13" t="n">
        <v>0</v>
      </c>
      <c r="L664" s="17" t="n">
        <v>0</v>
      </c>
      <c r="M664" s="18" t="n">
        <f aca="false">IF(H664=0,"",I664/H664)</f>
        <v>0</v>
      </c>
    </row>
  </sheetData>
  <autoFilter ref="A14:M6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2026-10-28T20:18:46Z</dcterms:created>
  <dc:creator>openpyxl</dc:creator>
  <dc:description/>
  <dc:language>en-US</dc:language>
  <cp:lastModifiedBy/>
  <dcterms:modified xsi:type="dcterms:W3CDTF">2026-10-28T20:18:47Z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