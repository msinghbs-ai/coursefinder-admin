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use'!$A$14:$M$315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<sst xmlns="http://schemas.openxmlformats.org/spreadsheetml/2006/main" count="7130" uniqueCount="180">
  <si>
    <t xml:space="preserve">Canada course data by provider: 2026-10-30</t>
  </si>
  <si>
    <t xml:space="preserve">Start: values held on 2026-10-21, the first day recorded for Canada.</t>
  </si>
  <si>
    <t xml:space="preserve">Previous: the day before (2026-10-29). Today: 2026-10-30.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</si>
  <si>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</si>
  <si>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</si>
  <si>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</si>
  <si>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</si>
  <si>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</si>
  <si>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</si>
  <si>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</si>
  <si>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</si>
  <si>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</si>
  <si>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</si>
  <si>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</si>
  <si>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</si>
  <si>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</si>
  <si>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</si>
  <si>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</si>
  <si>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</si>
  <si>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</si>
  <si>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</si>
  <si>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</si>
  <si>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</si>
  <si>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</si>
  <si>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</si>
  <si>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</si>
  <si>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</si>
  <si>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</si>
  <si>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</si>
  <si>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</si>
  <si>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</si>
  <si>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</si>
  <si>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</si>
  <si>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</si>
  <si>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</si>
  <si>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</si>
  <si>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</si>
  <si>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</si>
  <si>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</si>
  <si>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</si>
  <si>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</si>
  <si>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</si>
  <si>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</si>
  <si>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</si>
  <si>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</si>
  <si>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</si>
  <si>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</si>
  <si>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</si>
  <si>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</si>
  <si>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</si>
  <si>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</si>
  <si>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</si>
  <si>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</si>
  <si>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</si>
  <si>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</si>
  <si>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</si>
  <si>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</si>
  <si>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</si>
  <si>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</si>
  <si>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</si>
  <si>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</si>
  <si>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</si>
  <si>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</si>
  <si>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</si>
  <si>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</si>
  <si>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</si>
  <si>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</si>
  <si>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</si>
  <si>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</si>
  <si>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</si>
  <si>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</si>
  <si>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</si>
  <si>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</si>
  <si>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</si>
  <si>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</si>
  <si>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</si>
  <si>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</si>
  <si>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</si>
  <si>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</si>
  <si>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</si>
  <si>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</si>
  <si>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</si>
  <si>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</si>
  <si>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</si>
  <si>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</si>
  <si>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</si>
  <si>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</si>
  <si>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</si>
  <si>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</si>
  <si>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</si>
  <si>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</si>
  <si>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</si>
  <si>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</si>
  <si>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</si>
  <si>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</si>
  <si>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</si>
  <si>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</si>
  <si>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</si>
  <si>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</si>
  <si>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</si>
  <si>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</si>
  <si>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</si>
  <si>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</si>
  <si>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</si>
  <si>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</si>
  <si>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</si>
  <si>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</si>
  <si>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</si>
  <si>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</si>
  <si>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</si>
  <si>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</si>
  <si>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</si>
  <si>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</si>
  <si>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</si>
  <si>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</si>
  <si>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</si>
  <si>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</si>
  <si>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</si>
  <si>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</si>
  <si>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</si>
  <si>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</si>
  <si>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</si>
  <si>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</si>
  <si>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</si>
  <si>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</si>
  <si>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</si>
  <si>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</si>
  <si>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</si>
  <si>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</si>
  <si>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</si>
  <si>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</si>
  <si>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</si>
  <si>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</si>
  <si>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</si>
  <si>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</si>
  <si>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</si>
  <si>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</si>
  <si>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</si>
  <si>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</si>
  <si>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</si>
  <si>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</si>
  <si>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</si>
  <si>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</si>
  <si>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</si>
  <si>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</si>
  <si>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</si>
  <si>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</si>
  <si>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</si>
  <si>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</si>
  <si>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</si>
  <si>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</si>
  <si>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</si>
  <si>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</si>
  <si>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</si>
  <si>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</si>
  <si>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</si>
  <si>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2026-10-29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</si>
  <si>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</si>
  <si>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</si>
  <si>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</si>
  <si>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</si>
  <si>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</si>
  <si>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</si>
  <si>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</si>
  <si>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</si>
  <si>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</si>
  <si>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</si>
  <si>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</si>
  <si>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</si>
  <si>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</si>
  <si>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</si>
  <si>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</si>
  <si>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</si>
  <si>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</si>
  <si>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</si>
  <si>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</si>
  <si>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</si>
  <si>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Centre de formation professionnelle Samuel-De Champlain</t>
  </si>
  <si>
    <t xml:space="preserve">Edmonton Flying Club</t>
  </si>
  <si>
    <t xml:space="preserve">Université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</si>
</sst>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2664</v>
      </c>
      <c r="F2" s="6" t="n">
        <f aca="false">SUM('Per provider'!F3:F54)</f>
        <v>2665</v>
      </c>
      <c r="G2" s="7" t="n">
        <f aca="false">F2-E2</f>
        <v>1</v>
      </c>
      <c r="H2" s="7" t="n">
        <f aca="false">F2-D2</f>
        <v>-40</v>
      </c>
      <c r="I2" s="8" t="n">
        <f aca="false">IF(C2=0,0,D2/C2)</f>
        <v>0.709229155742003</v>
      </c>
      <c r="J2" s="8" t="n">
        <f aca="false">IF(C2=0,0,F2/C2)</f>
        <v>0.698741478762454</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1324</v>
      </c>
      <c r="F5" s="6" t="n">
        <f aca="false">SUM('Per provider'!U3:U54)</f>
        <v>1324</v>
      </c>
      <c r="G5" s="7" t="n">
        <f aca="false">F5-E5</f>
        <v>0</v>
      </c>
      <c r="H5" s="7" t="n">
        <f aca="false">F5-D5</f>
        <v>-203</v>
      </c>
      <c r="I5" s="8" t="n">
        <f aca="false">IF(C5=0,0,D5/C5)</f>
        <v>0.400367068694284</v>
      </c>
      <c r="J5" s="8" t="n">
        <f aca="false">IF(C5=0,0,F5/C5)</f>
        <v>0.347142108023073</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2298</v>
      </c>
      <c r="F6" s="6" t="n">
        <f aca="false">SUM('Per provider'!Z3:Z54)</f>
        <v>2298</v>
      </c>
      <c r="G6" s="7" t="n">
        <f aca="false">F6-E6</f>
        <v>0</v>
      </c>
      <c r="H6" s="7" t="n">
        <f aca="false">F6-D6</f>
        <v>-641</v>
      </c>
      <c r="I6" s="8" t="n">
        <f aca="false">IF(C6=0,0,D6/C6)</f>
        <v>0.770582066072365</v>
      </c>
      <c r="J6" s="8" t="n">
        <f aca="false">IF(C6=0,0,F6/C6)</f>
        <v>0.602517042475092</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2088</v>
      </c>
      <c r="F7" s="6" t="n">
        <f aca="false">SUM('Per provider'!AE3:AE54)</f>
        <v>2088</v>
      </c>
      <c r="G7" s="7" t="n">
        <f aca="false">F7-E7</f>
        <v>0</v>
      </c>
      <c r="H7" s="7" t="n">
        <f aca="false">F7-D7</f>
        <v>-315</v>
      </c>
      <c r="I7" s="8" t="n">
        <f aca="false">IF(C7=0,0,D7/C7)</f>
        <v>0.630047194546408</v>
      </c>
      <c r="J7" s="8" t="n">
        <f aca="false">IF(C7=0,0,F7/C7)</f>
        <v>0.547456738332459</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1532</v>
      </c>
      <c r="F8" s="6" t="n">
        <f aca="false">SUM('Per provider'!AJ3:AJ54)</f>
        <v>1532</v>
      </c>
      <c r="G8" s="7" t="n">
        <f aca="false">F8-E8</f>
        <v>0</v>
      </c>
      <c r="H8" s="7" t="n">
        <f aca="false">F8-D8</f>
        <v>-342</v>
      </c>
      <c r="I8" s="8" t="n">
        <f aca="false">IF(C8=0,0,D8/C8)</f>
        <v>0.491347666491872</v>
      </c>
      <c r="J8" s="8" t="n">
        <f aca="false">IF(C8=0,0,F8/C8)</f>
        <v>0.401678028316728</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680</v>
      </c>
      <c r="F10" s="6" t="n">
        <f aca="false">SUM('Per provider'!AT3:AT54)</f>
        <v>680</v>
      </c>
      <c r="G10" s="7" t="n">
        <f aca="false">F10-E10</f>
        <v>0</v>
      </c>
      <c r="H10" s="7" t="n">
        <f aca="false">F10-D10</f>
        <v>261</v>
      </c>
      <c r="I10" s="8" t="n">
        <f aca="false">IF(C10=0,0,D10/C10)</f>
        <v>0.109858416360776</v>
      </c>
      <c r="J10" s="8" t="n">
        <f aca="false">IF(C10=0,0,F10/C10)</f>
        <v>0.178290508652334</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1613</v>
      </c>
      <c r="F11" s="6" t="n">
        <f aca="false">SUM('Per provider'!AY3:AY54)</f>
        <v>1613</v>
      </c>
      <c r="G11" s="7" t="n">
        <f aca="false">F11-E11</f>
        <v>0</v>
      </c>
      <c r="H11" s="7" t="n">
        <f aca="false">F11-D11</f>
        <v>564</v>
      </c>
      <c r="I11" s="8" t="n">
        <f aca="false">IF(C11=0,0,D11/C11)</f>
        <v>0.275039328788673</v>
      </c>
      <c r="J11" s="8" t="n">
        <f aca="false">IF(C11=0,0,F11/C11)</f>
        <v>0.422915574200315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2010</v>
      </c>
      <c r="F13" s="6" t="n">
        <f aca="false">SUM('Per provider'!BI3:BI54)</f>
        <v>2010</v>
      </c>
      <c r="G13" s="7" t="n">
        <f aca="false">F13-E13</f>
        <v>0</v>
      </c>
      <c r="H13" s="7" t="n">
        <f aca="false">F13-D13</f>
        <v>221</v>
      </c>
      <c r="I13" s="8" t="n">
        <f aca="false">IF(C13=0,0,D13/C13)</f>
        <v>0.46906135291033</v>
      </c>
      <c r="J13" s="8" t="n">
        <f aca="false">IF(C13=0,0,F13/C13)</f>
        <v>0.527005768222339</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140</v>
      </c>
      <c r="F6" s="11" t="n">
        <v>141</v>
      </c>
      <c r="G6" s="12" t="n">
        <f aca="false">F6-E6</f>
        <v>1</v>
      </c>
      <c r="H6" s="12" t="n">
        <f aca="false">F6-D6</f>
        <v>2</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35</v>
      </c>
      <c r="AT11" s="11" t="n">
        <v>35</v>
      </c>
      <c r="AU11" s="12" t="n">
        <f aca="false">AT11-AS11</f>
        <v>0</v>
      </c>
      <c r="AV11" s="12" t="n">
        <f aca="false">AT11-AR11</f>
        <v>35</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51</v>
      </c>
      <c r="AE16" s="11" t="n">
        <v>51</v>
      </c>
      <c r="AF16" s="12" t="n">
        <f aca="false">AE16-AD16</f>
        <v>0</v>
      </c>
      <c r="AG16" s="12" t="n">
        <f aca="false">AE16-AC16</f>
        <v>5</v>
      </c>
      <c r="AH16" s="10" t="n">
        <v>46</v>
      </c>
      <c r="AI16" s="10" t="n">
        <v>51</v>
      </c>
      <c r="AJ16" s="11" t="n">
        <v>51</v>
      </c>
      <c r="AK16" s="12" t="n">
        <f aca="false">AJ16-AI16</f>
        <v>0</v>
      </c>
      <c r="AL16" s="12" t="n">
        <f aca="false">AJ16-AH16</f>
        <v>5</v>
      </c>
      <c r="AM16" s="10" t="n">
        <v>76</v>
      </c>
      <c r="AN16" s="10" t="n">
        <v>76</v>
      </c>
      <c r="AO16" s="11" t="n">
        <v>76</v>
      </c>
      <c r="AP16" s="12" t="n">
        <f aca="false">AO16-AN16</f>
        <v>0</v>
      </c>
      <c r="AQ16" s="12" t="n">
        <f aca="false">AO16-AM16</f>
        <v>0</v>
      </c>
      <c r="AR16" s="10" t="n">
        <v>0</v>
      </c>
      <c r="AS16" s="10" t="n">
        <v>8</v>
      </c>
      <c r="AT16" s="11" t="n">
        <v>8</v>
      </c>
      <c r="AU16" s="12" t="n">
        <f aca="false">AT16-AS16</f>
        <v>0</v>
      </c>
      <c r="AV16" s="12" t="n">
        <f aca="false">AT16-AR16</f>
        <v>8</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24</v>
      </c>
      <c r="AE17" s="11" t="n">
        <v>24</v>
      </c>
      <c r="AF17" s="12" t="n">
        <f aca="false">AE17-AD17</f>
        <v>0</v>
      </c>
      <c r="AG17" s="12" t="n">
        <f aca="false">AE17-AC17</f>
        <v>3</v>
      </c>
      <c r="AH17" s="10" t="n">
        <v>21</v>
      </c>
      <c r="AI17" s="10" t="n">
        <v>24</v>
      </c>
      <c r="AJ17" s="11" t="n">
        <v>24</v>
      </c>
      <c r="AK17" s="12" t="n">
        <f aca="false">AJ17-AI17</f>
        <v>0</v>
      </c>
      <c r="AL17" s="12" t="n">
        <f aca="false">AJ17-AH17</f>
        <v>3</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55</v>
      </c>
      <c r="AT18" s="11" t="n">
        <v>55</v>
      </c>
      <c r="AU18" s="12" t="n">
        <f aca="false">AT18-AS18</f>
        <v>0</v>
      </c>
      <c r="AV18" s="12" t="n">
        <f aca="false">AT18-AR18</f>
        <v>55</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54</v>
      </c>
      <c r="F20" s="11" t="n">
        <v>54</v>
      </c>
      <c r="G20" s="12" t="n">
        <f aca="false">F20-E20</f>
        <v>0</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5</v>
      </c>
      <c r="AY20" s="11" t="n">
        <v>5</v>
      </c>
      <c r="AZ20" s="12" t="n">
        <f aca="false">AY20-AX20</f>
        <v>0</v>
      </c>
      <c r="BA20" s="12" t="n">
        <f aca="false">AY20-AW20</f>
        <v>5</v>
      </c>
      <c r="BB20" s="10" t="n">
        <v>0</v>
      </c>
      <c r="BC20" s="10" t="n">
        <v>0</v>
      </c>
      <c r="BD20" s="11" t="n">
        <v>0</v>
      </c>
      <c r="BE20" s="12" t="n">
        <f aca="false">BD20-BC20</f>
        <v>0</v>
      </c>
      <c r="BF20" s="12" t="n">
        <f aca="false">BD20-BB20</f>
        <v>0</v>
      </c>
      <c r="BG20" s="10" t="n">
        <v>27</v>
      </c>
      <c r="BH20" s="10" t="n">
        <v>48</v>
      </c>
      <c r="BI20" s="11" t="n">
        <v>48</v>
      </c>
      <c r="BJ20" s="12" t="n">
        <f aca="false">BI20-BH20</f>
        <v>0</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47</v>
      </c>
      <c r="F24" s="11" t="n">
        <v>47</v>
      </c>
      <c r="G24" s="12" t="n">
        <f aca="false">F24-E24</f>
        <v>0</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44</v>
      </c>
      <c r="U24" s="11" t="n">
        <v>44</v>
      </c>
      <c r="V24" s="12" t="n">
        <f aca="false">U24-T24</f>
        <v>0</v>
      </c>
      <c r="W24" s="12" t="n">
        <f aca="false">U24-S24</f>
        <v>-30</v>
      </c>
      <c r="X24" s="10" t="n">
        <v>119</v>
      </c>
      <c r="Y24" s="10" t="n">
        <v>48</v>
      </c>
      <c r="Z24" s="11" t="n">
        <v>48</v>
      </c>
      <c r="AA24" s="12" t="n">
        <f aca="false">Z24-Y24</f>
        <v>0</v>
      </c>
      <c r="AB24" s="12" t="n">
        <f aca="false">Z24-X24</f>
        <v>-71</v>
      </c>
      <c r="AC24" s="10" t="n">
        <v>69</v>
      </c>
      <c r="AD24" s="10" t="n">
        <v>44</v>
      </c>
      <c r="AE24" s="11" t="n">
        <v>44</v>
      </c>
      <c r="AF24" s="12" t="n">
        <f aca="false">AE24-AD24</f>
        <v>0</v>
      </c>
      <c r="AG24" s="12" t="n">
        <f aca="false">AE24-AC24</f>
        <v>-25</v>
      </c>
      <c r="AH24" s="10" t="n">
        <v>69</v>
      </c>
      <c r="AI24" s="10" t="n">
        <v>36</v>
      </c>
      <c r="AJ24" s="11" t="n">
        <v>36</v>
      </c>
      <c r="AK24" s="12" t="n">
        <f aca="false">AJ24-AI24</f>
        <v>0</v>
      </c>
      <c r="AL24" s="12" t="n">
        <f aca="false">AJ24-AH24</f>
        <v>-33</v>
      </c>
      <c r="AM24" s="10" t="n">
        <v>214</v>
      </c>
      <c r="AN24" s="10" t="n">
        <v>49</v>
      </c>
      <c r="AO24" s="11" t="n">
        <v>49</v>
      </c>
      <c r="AP24" s="12" t="n">
        <f aca="false">AO24-AN24</f>
        <v>0</v>
      </c>
      <c r="AQ24" s="12" t="n">
        <f aca="false">AO24-AM24</f>
        <v>-165</v>
      </c>
      <c r="AR24" s="10" t="n">
        <v>0</v>
      </c>
      <c r="AS24" s="10" t="n">
        <v>10</v>
      </c>
      <c r="AT24" s="11" t="n">
        <v>10</v>
      </c>
      <c r="AU24" s="12" t="n">
        <f aca="false">AT24-AS24</f>
        <v>0</v>
      </c>
      <c r="AV24" s="12" t="n">
        <f aca="false">AT24-AR24</f>
        <v>10</v>
      </c>
      <c r="AW24" s="10" t="n">
        <v>0</v>
      </c>
      <c r="AX24" s="10" t="n">
        <v>42</v>
      </c>
      <c r="AY24" s="11" t="n">
        <v>42</v>
      </c>
      <c r="AZ24" s="12" t="n">
        <f aca="false">AY24-AX24</f>
        <v>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33</v>
      </c>
      <c r="AE27" s="11" t="n">
        <v>33</v>
      </c>
      <c r="AF27" s="12" t="n">
        <f aca="false">AE27-AD27</f>
        <v>0</v>
      </c>
      <c r="AG27" s="12" t="n">
        <f aca="false">AE27-AC27</f>
        <v>-1</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26</v>
      </c>
      <c r="AT27" s="11" t="n">
        <v>26</v>
      </c>
      <c r="AU27" s="12" t="n">
        <f aca="false">AT27-AS27</f>
        <v>0</v>
      </c>
      <c r="AV27" s="12" t="n">
        <f aca="false">AT27-AR27</f>
        <v>1</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10</v>
      </c>
      <c r="AT29" s="11" t="n">
        <v>10</v>
      </c>
      <c r="AU29" s="12" t="n">
        <f aca="false">AT29-AS29</f>
        <v>0</v>
      </c>
      <c r="AV29" s="12" t="n">
        <f aca="false">AT29-AR29</f>
        <v>10</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18</v>
      </c>
      <c r="F33" s="11" t="n">
        <v>18</v>
      </c>
      <c r="G33" s="12" t="n">
        <f aca="false">F33-E33</f>
        <v>0</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4</v>
      </c>
      <c r="AT33" s="11" t="n">
        <v>4</v>
      </c>
      <c r="AU33" s="12" t="n">
        <f aca="false">AT33-AS33</f>
        <v>0</v>
      </c>
      <c r="AV33" s="12" t="n">
        <f aca="false">AT33-AR33</f>
        <v>4</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27</v>
      </c>
      <c r="AE36" s="11" t="n">
        <v>27</v>
      </c>
      <c r="AF36" s="12" t="n">
        <f aca="false">AE36-AD36</f>
        <v>0</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7</v>
      </c>
      <c r="AT41" s="11" t="n">
        <v>7</v>
      </c>
      <c r="AU41" s="12" t="n">
        <f aca="false">AT41-AS41</f>
        <v>0</v>
      </c>
      <c r="AV41" s="12" t="n">
        <f aca="false">AT41-AR41</f>
        <v>7</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7</v>
      </c>
      <c r="AE45" s="11" t="n">
        <v>7</v>
      </c>
      <c r="AF45" s="12" t="n">
        <f aca="false">AE45-AD45</f>
        <v>0</v>
      </c>
      <c r="AG45" s="12" t="n">
        <f aca="false">AE45-AC45</f>
        <v>5</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2</v>
      </c>
      <c r="AE49" s="11" t="n">
        <v>2</v>
      </c>
      <c r="AF49" s="12" t="n">
        <f aca="false">AE49-AD49</f>
        <v>0</v>
      </c>
      <c r="AG49" s="12" t="n">
        <f aca="false">AE49-AC49</f>
        <v>0</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2</v>
      </c>
      <c r="F50" s="11" t="n">
        <v>2</v>
      </c>
      <c r="G50" s="12" t="n">
        <f aca="false">F50-E50</f>
        <v>0</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1</v>
      </c>
      <c r="AF50" s="12" t="n">
        <f aca="false">AE50-AD50</f>
        <v>0</v>
      </c>
      <c r="AG50" s="12" t="n">
        <f aca="false">AE50-AC50</f>
        <v>-3</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1</v>
      </c>
      <c r="AT50" s="11" t="n">
        <v>1</v>
      </c>
      <c r="AU50" s="12" t="n">
        <f aca="false">AT50-AS50</f>
        <v>0</v>
      </c>
      <c r="AV50" s="12" t="n">
        <f aca="false">AT50-AR50</f>
        <v>1</v>
      </c>
      <c r="AW50" s="10" t="n">
        <v>0</v>
      </c>
      <c r="AX50" s="10" t="n">
        <v>2</v>
      </c>
      <c r="AY50" s="11" t="n">
        <v>2</v>
      </c>
      <c r="AZ50" s="12" t="n">
        <f aca="false">AY50-AX50</f>
        <v>0</v>
      </c>
      <c r="BA50" s="12" t="n">
        <f aca="false">AY50-AW50</f>
        <v>2</v>
      </c>
      <c r="BB50" s="10" t="n">
        <v>0</v>
      </c>
      <c r="BC50" s="10" t="n">
        <v>0</v>
      </c>
      <c r="BD50" s="11" t="n">
        <v>0</v>
      </c>
      <c r="BE50" s="12" t="n">
        <f aca="false">BD50-BC50</f>
        <v>0</v>
      </c>
      <c r="BF50" s="12" t="n">
        <f aca="false">BD50-BB50</f>
        <v>0</v>
      </c>
      <c r="BG50" s="10" t="n">
        <v>0</v>
      </c>
      <c r="BH50" s="10" t="n">
        <v>2</v>
      </c>
      <c r="BI50" s="11" t="n">
        <v>2</v>
      </c>
      <c r="BJ50" s="12" t="n">
        <f aca="false">BI50-BH50</f>
        <v>0</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1</v>
      </c>
      <c r="AE52" s="11" t="n">
        <v>1</v>
      </c>
      <c r="AF52" s="12" t="n">
        <f aca="false">AE52-AD52</f>
        <v>0</v>
      </c>
      <c r="AG52" s="12" t="n">
        <f aca="false">AE52-AC52</f>
        <v>1</v>
      </c>
      <c r="AH52" s="10" t="n">
        <v>0</v>
      </c>
      <c r="AI52" s="10" t="n">
        <v>1</v>
      </c>
      <c r="AJ52" s="11" t="n">
        <v>1</v>
      </c>
      <c r="AK52" s="12" t="n">
        <f aca="false">AJ52-AI52</f>
        <v>0</v>
      </c>
      <c r="AL52" s="12" t="n">
        <f aca="false">AJ52-AH52</f>
        <v>1</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51</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1</v>
      </c>
      <c r="AT54" s="11" t="n">
        <v>1</v>
      </c>
      <c r="AU54" s="12" t="n">
        <f aca="false">AT54-AS54</f>
        <v>0</v>
      </c>
      <c r="AV54" s="12" t="n">
        <f aca="false">AT54-AR54</f>
        <v>1</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189</v>
      </c>
      <c r="H5" s="13" t="n">
        <v>189</v>
      </c>
      <c r="I5" s="13" t="n">
        <f aca="false">H5-G5</f>
        <v>0</v>
      </c>
      <c r="J5" s="13" t="n">
        <f aca="false">H5-F5</f>
        <v>-81</v>
      </c>
    </row>
    <row r="6" customFormat="false" ht="15" hidden="false" customHeight="false" outlineLevel="0" collapsed="false">
      <c r="A6" s="13" t="s">
        <v>49</v>
      </c>
      <c r="B6" s="13" t="s">
        <v>50</v>
      </c>
      <c r="C6" s="13" t="n">
        <v>575</v>
      </c>
      <c r="D6" s="13" t="s">
        <v>23</v>
      </c>
      <c r="E6" s="13" t="s">
        <v>27</v>
      </c>
      <c r="F6" s="13" t="n">
        <v>441</v>
      </c>
      <c r="G6" s="13" t="n">
        <v>316</v>
      </c>
      <c r="H6" s="13" t="n">
        <v>316</v>
      </c>
      <c r="I6" s="13" t="n">
        <f aca="false">H6-G6</f>
        <v>0</v>
      </c>
      <c r="J6" s="13" t="n">
        <f aca="false">H6-F6</f>
        <v>-125</v>
      </c>
    </row>
    <row r="7" customFormat="false" ht="15" hidden="false" customHeight="false" outlineLevel="0" collapsed="false">
      <c r="A7" s="13" t="s">
        <v>49</v>
      </c>
      <c r="B7" s="13" t="s">
        <v>50</v>
      </c>
      <c r="C7" s="13" t="n">
        <v>575</v>
      </c>
      <c r="D7" s="13" t="s">
        <v>23</v>
      </c>
      <c r="E7" s="13" t="s">
        <v>28</v>
      </c>
      <c r="F7" s="13" t="n">
        <v>465</v>
      </c>
      <c r="G7" s="13" t="n">
        <v>314</v>
      </c>
      <c r="H7" s="13" t="n">
        <v>314</v>
      </c>
      <c r="I7" s="13" t="n">
        <f aca="false">H7-G7</f>
        <v>0</v>
      </c>
      <c r="J7" s="13" t="n">
        <f aca="false">H7-F7</f>
        <v>-151</v>
      </c>
    </row>
    <row r="8" customFormat="false" ht="15" hidden="false" customHeight="false" outlineLevel="0" collapsed="false">
      <c r="A8" s="13" t="s">
        <v>49</v>
      </c>
      <c r="B8" s="13" t="s">
        <v>50</v>
      </c>
      <c r="C8" s="13" t="n">
        <v>575</v>
      </c>
      <c r="D8" s="13" t="s">
        <v>23</v>
      </c>
      <c r="E8" s="13" t="s">
        <v>29</v>
      </c>
      <c r="F8" s="13" t="n">
        <v>465</v>
      </c>
      <c r="G8" s="13" t="n">
        <v>314</v>
      </c>
      <c r="H8" s="13" t="n">
        <v>314</v>
      </c>
      <c r="I8" s="13" t="n">
        <f aca="false">H8-G8</f>
        <v>0</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252</v>
      </c>
      <c r="H11" s="13" t="n">
        <v>252</v>
      </c>
      <c r="I11" s="13" t="n">
        <f aca="false">H11-G11</f>
        <v>0</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372</v>
      </c>
      <c r="H27" s="13" t="n">
        <v>372</v>
      </c>
      <c r="I27" s="13" t="n">
        <f aca="false">H27-G27</f>
        <v>0</v>
      </c>
      <c r="J27" s="13" t="n">
        <f aca="false">H27-F27</f>
        <v>1</v>
      </c>
    </row>
    <row r="28" customFormat="false" ht="15" hidden="false" customHeight="false" outlineLevel="0" collapsed="false">
      <c r="A28" s="13" t="s">
        <v>53</v>
      </c>
      <c r="B28" s="13" t="s">
        <v>54</v>
      </c>
      <c r="C28" s="13" t="n">
        <v>379</v>
      </c>
      <c r="D28" s="13" t="s">
        <v>23</v>
      </c>
      <c r="E28" s="13" t="s">
        <v>26</v>
      </c>
      <c r="F28" s="13" t="n">
        <v>17</v>
      </c>
      <c r="G28" s="13" t="n">
        <v>9</v>
      </c>
      <c r="H28" s="13" t="n">
        <v>9</v>
      </c>
      <c r="I28" s="13" t="n">
        <f aca="false">H28-G28</f>
        <v>0</v>
      </c>
      <c r="J28" s="13" t="n">
        <f aca="false">H28-F28</f>
        <v>-8</v>
      </c>
    </row>
    <row r="29" customFormat="false" ht="15" hidden="false" customHeight="false" outlineLevel="0" collapsed="false">
      <c r="A29" s="13" t="s">
        <v>53</v>
      </c>
      <c r="B29" s="13" t="s">
        <v>54</v>
      </c>
      <c r="C29" s="13" t="n">
        <v>379</v>
      </c>
      <c r="D29" s="13" t="s">
        <v>23</v>
      </c>
      <c r="E29" s="13" t="s">
        <v>27</v>
      </c>
      <c r="F29" s="13" t="n">
        <v>134</v>
      </c>
      <c r="G29" s="13" t="n">
        <v>91</v>
      </c>
      <c r="H29" s="13" t="n">
        <v>91</v>
      </c>
      <c r="I29" s="13" t="n">
        <f aca="false">H29-G29</f>
        <v>0</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130</v>
      </c>
      <c r="H30" s="13" t="n">
        <v>130</v>
      </c>
      <c r="I30" s="13" t="n">
        <f aca="false">H30-G30</f>
        <v>0</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130</v>
      </c>
      <c r="H31" s="13" t="n">
        <v>130</v>
      </c>
      <c r="I31" s="13" t="n">
        <f aca="false">H31-G31</f>
        <v>0</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270</v>
      </c>
      <c r="H50" s="13" t="n">
        <v>270</v>
      </c>
      <c r="I50" s="13" t="n">
        <f aca="false">H50-G50</f>
        <v>0</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186</v>
      </c>
      <c r="H51" s="13" t="n">
        <v>186</v>
      </c>
      <c r="I51" s="13" t="n">
        <f aca="false">H51-G51</f>
        <v>0</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262</v>
      </c>
      <c r="H52" s="13" t="n">
        <v>262</v>
      </c>
      <c r="I52" s="13" t="n">
        <f aca="false">H52-G52</f>
        <v>0</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124</v>
      </c>
      <c r="H53" s="13" t="n">
        <v>124</v>
      </c>
      <c r="I53" s="13" t="n">
        <f aca="false">H53-G53</f>
        <v>0</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124</v>
      </c>
      <c r="H54" s="13" t="n">
        <v>124</v>
      </c>
      <c r="I54" s="13" t="n">
        <f aca="false">H54-G54</f>
        <v>0</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16</v>
      </c>
      <c r="H56" s="13" t="n">
        <v>16</v>
      </c>
      <c r="I56" s="13" t="n">
        <f aca="false">H56-G56</f>
        <v>0</v>
      </c>
      <c r="J56" s="13" t="n">
        <f aca="false">H56-F56</f>
        <v>16</v>
      </c>
    </row>
    <row r="57" customFormat="false" ht="15" hidden="false" customHeight="false" outlineLevel="0" collapsed="false">
      <c r="A57" s="13" t="s">
        <v>55</v>
      </c>
      <c r="B57" s="13" t="s">
        <v>56</v>
      </c>
      <c r="C57" s="13" t="n">
        <v>270</v>
      </c>
      <c r="D57" s="13" t="s">
        <v>23</v>
      </c>
      <c r="E57" s="13" t="s">
        <v>32</v>
      </c>
      <c r="F57" s="13" t="n">
        <v>0</v>
      </c>
      <c r="G57" s="13" t="n">
        <v>132</v>
      </c>
      <c r="H57" s="13" t="n">
        <v>132</v>
      </c>
      <c r="I57" s="13" t="n">
        <f aca="false">H57-G57</f>
        <v>0</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140</v>
      </c>
      <c r="H71" s="13" t="n">
        <v>141</v>
      </c>
      <c r="I71" s="13" t="n">
        <f aca="false">H71-G71</f>
        <v>1</v>
      </c>
      <c r="J71" s="13" t="n">
        <f aca="false">H71-F71</f>
        <v>2</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101</v>
      </c>
      <c r="H74" s="13" t="n">
        <v>101</v>
      </c>
      <c r="I74" s="13" t="n">
        <f aca="false">H74-G74</f>
        <v>0</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116</v>
      </c>
      <c r="H75" s="13" t="n">
        <v>116</v>
      </c>
      <c r="I75" s="13" t="n">
        <f aca="false">H75-G75</f>
        <v>0</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98</v>
      </c>
      <c r="H76" s="13" t="n">
        <v>98</v>
      </c>
      <c r="I76" s="13" t="n">
        <f aca="false">H76-G76</f>
        <v>0</v>
      </c>
      <c r="J76" s="13" t="n">
        <f aca="false">H76-F76</f>
        <v>-7</v>
      </c>
    </row>
    <row r="77" customFormat="false" ht="15" hidden="false" customHeight="false" outlineLevel="0" collapsed="false">
      <c r="A77" s="13" t="s">
        <v>57</v>
      </c>
      <c r="B77" s="13" t="s">
        <v>58</v>
      </c>
      <c r="C77" s="13" t="n">
        <v>234</v>
      </c>
      <c r="D77" s="13" t="s">
        <v>23</v>
      </c>
      <c r="E77" s="13" t="s">
        <v>29</v>
      </c>
      <c r="F77" s="13" t="n">
        <v>105</v>
      </c>
      <c r="G77" s="13" t="n">
        <v>98</v>
      </c>
      <c r="H77" s="13" t="n">
        <v>98</v>
      </c>
      <c r="I77" s="13" t="n">
        <f aca="false">H77-G77</f>
        <v>0</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2</v>
      </c>
      <c r="H79" s="13" t="n">
        <v>2</v>
      </c>
      <c r="I79" s="13" t="n">
        <f aca="false">H79-G79</f>
        <v>0</v>
      </c>
      <c r="J79" s="13" t="n">
        <f aca="false">H79-F79</f>
        <v>1</v>
      </c>
    </row>
    <row r="80" customFormat="false" ht="15" hidden="false" customHeight="false" outlineLevel="0" collapsed="false">
      <c r="A80" s="13" t="s">
        <v>57</v>
      </c>
      <c r="B80" s="13" t="s">
        <v>58</v>
      </c>
      <c r="C80" s="13" t="n">
        <v>234</v>
      </c>
      <c r="D80" s="13" t="s">
        <v>23</v>
      </c>
      <c r="E80" s="13" t="s">
        <v>32</v>
      </c>
      <c r="F80" s="13" t="n">
        <v>95</v>
      </c>
      <c r="G80" s="13" t="n">
        <v>96</v>
      </c>
      <c r="H80" s="13" t="n">
        <v>96</v>
      </c>
      <c r="I80" s="13" t="n">
        <f aca="false">H80-G80</f>
        <v>0</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43</v>
      </c>
      <c r="H97" s="13" t="n">
        <v>43</v>
      </c>
      <c r="I97" s="13" t="n">
        <f aca="false">H97-G97</f>
        <v>0</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77</v>
      </c>
      <c r="H98" s="13" t="n">
        <v>77</v>
      </c>
      <c r="I98" s="13" t="n">
        <f aca="false">H98-G98</f>
        <v>0</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72</v>
      </c>
      <c r="H99" s="13" t="n">
        <v>72</v>
      </c>
      <c r="I99" s="13" t="n">
        <f aca="false">H99-G99</f>
        <v>0</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72</v>
      </c>
      <c r="H100" s="13" t="n">
        <v>72</v>
      </c>
      <c r="I100" s="13" t="n">
        <f aca="false">H100-G100</f>
        <v>0</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4</v>
      </c>
      <c r="H102" s="13" t="n">
        <v>4</v>
      </c>
      <c r="I102" s="13" t="n">
        <f aca="false">H102-G102</f>
        <v>0</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68</v>
      </c>
      <c r="H103" s="13" t="n">
        <v>68</v>
      </c>
      <c r="I103" s="13" t="n">
        <f aca="false">H103-G103</f>
        <v>0</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74</v>
      </c>
      <c r="H105" s="13" t="n">
        <v>74</v>
      </c>
      <c r="I105" s="13" t="n">
        <f aca="false">H105-G105</f>
        <v>0</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88</v>
      </c>
      <c r="H120" s="13" t="n">
        <v>88</v>
      </c>
      <c r="I120" s="13" t="n">
        <f aca="false">H120-G120</f>
        <v>0</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174</v>
      </c>
      <c r="H121" s="13" t="n">
        <v>174</v>
      </c>
      <c r="I121" s="13" t="n">
        <f aca="false">H121-G121</f>
        <v>0</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173</v>
      </c>
      <c r="H122" s="13" t="n">
        <v>173</v>
      </c>
      <c r="I122" s="13" t="n">
        <f aca="false">H122-G122</f>
        <v>0</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173</v>
      </c>
      <c r="H123" s="13" t="n">
        <v>173</v>
      </c>
      <c r="I123" s="13" t="n">
        <f aca="false">H123-G123</f>
        <v>0</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179</v>
      </c>
      <c r="H142" s="13" t="n">
        <v>179</v>
      </c>
      <c r="I142" s="13" t="n">
        <f aca="false">H142-G142</f>
        <v>0</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3</v>
      </c>
      <c r="H143" s="13" t="n">
        <v>3</v>
      </c>
      <c r="I143" s="13" t="n">
        <f aca="false">H143-G143</f>
        <v>0</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11</v>
      </c>
      <c r="H144" s="13" t="n">
        <v>11</v>
      </c>
      <c r="I144" s="13" t="n">
        <f aca="false">H144-G144</f>
        <v>0</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13</v>
      </c>
      <c r="H145" s="13" t="n">
        <v>13</v>
      </c>
      <c r="I145" s="13" t="n">
        <f aca="false">H145-G145</f>
        <v>0</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13</v>
      </c>
      <c r="H146" s="13" t="n">
        <v>13</v>
      </c>
      <c r="I146" s="13" t="n">
        <f aca="false">H146-G146</f>
        <v>0</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1</v>
      </c>
      <c r="H148" s="13" t="n">
        <v>1</v>
      </c>
      <c r="I148" s="13" t="n">
        <f aca="false">H148-G148</f>
        <v>0</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5</v>
      </c>
      <c r="H149" s="13" t="n">
        <v>5</v>
      </c>
      <c r="I149" s="13" t="n">
        <f aca="false">H149-G149</f>
        <v>0</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144</v>
      </c>
      <c r="H165" s="13" t="n">
        <v>144</v>
      </c>
      <c r="I165" s="13" t="n">
        <f aca="false">H165-G165</f>
        <v>0</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12</v>
      </c>
      <c r="H166" s="13" t="n">
        <v>12</v>
      </c>
      <c r="I166" s="13" t="n">
        <f aca="false">H166-G166</f>
        <v>0</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137</v>
      </c>
      <c r="H167" s="13" t="n">
        <v>137</v>
      </c>
      <c r="I167" s="13" t="n">
        <f aca="false">H167-G167</f>
        <v>0</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108</v>
      </c>
      <c r="H168" s="13" t="n">
        <v>108</v>
      </c>
      <c r="I168" s="13" t="n">
        <f aca="false">H168-G168</f>
        <v>0</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38</v>
      </c>
      <c r="H169" s="13" t="n">
        <v>38</v>
      </c>
      <c r="I169" s="13" t="n">
        <f aca="false">H169-G169</f>
        <v>0</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137</v>
      </c>
      <c r="H172" s="13" t="n">
        <v>137</v>
      </c>
      <c r="I172" s="13" t="n">
        <f aca="false">H172-G172</f>
        <v>0</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103</v>
      </c>
      <c r="H188" s="13" t="n">
        <v>103</v>
      </c>
      <c r="I188" s="13" t="n">
        <f aca="false">H188-G188</f>
        <v>0</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87</v>
      </c>
      <c r="H191" s="13" t="n">
        <v>87</v>
      </c>
      <c r="I191" s="13" t="n">
        <f aca="false">H191-G191</f>
        <v>0</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35</v>
      </c>
      <c r="H194" s="13" t="n">
        <v>35</v>
      </c>
      <c r="I194" s="13" t="n">
        <f aca="false">H194-G194</f>
        <v>0</v>
      </c>
      <c r="J194" s="13" t="n">
        <f aca="false">H194-F194</f>
        <v>35</v>
      </c>
    </row>
    <row r="195" customFormat="false" ht="15" hidden="false" customHeight="false" outlineLevel="0" collapsed="false">
      <c r="A195" s="13" t="s">
        <v>67</v>
      </c>
      <c r="B195" s="13" t="s">
        <v>68</v>
      </c>
      <c r="C195" s="13" t="n">
        <v>105</v>
      </c>
      <c r="D195" s="13" t="s">
        <v>23</v>
      </c>
      <c r="E195" s="13" t="s">
        <v>32</v>
      </c>
      <c r="F195" s="13" t="n">
        <v>0</v>
      </c>
      <c r="G195" s="13" t="n">
        <v>49</v>
      </c>
      <c r="H195" s="13" t="n">
        <v>49</v>
      </c>
      <c r="I195" s="13" t="n">
        <f aca="false">H195-G195</f>
        <v>0</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7</v>
      </c>
      <c r="I197" s="13" t="n">
        <f aca="false">H197-G197</f>
        <v>0</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1</v>
      </c>
      <c r="H202" s="13" t="n">
        <v>1</v>
      </c>
      <c r="I202" s="13" t="n">
        <f aca="false">H202-G202</f>
        <v>0</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105</v>
      </c>
      <c r="H211" s="13" t="n">
        <v>105</v>
      </c>
      <c r="I211" s="13" t="n">
        <f aca="false">H211-G211</f>
        <v>0</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64</v>
      </c>
      <c r="H212" s="13" t="n">
        <v>64</v>
      </c>
      <c r="I212" s="13" t="n">
        <f aca="false">H212-G212</f>
        <v>0</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76</v>
      </c>
      <c r="H213" s="13" t="n">
        <v>76</v>
      </c>
      <c r="I213" s="13" t="n">
        <f aca="false">H213-G213</f>
        <v>0</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73</v>
      </c>
      <c r="H214" s="13" t="n">
        <v>73</v>
      </c>
      <c r="I214" s="13" t="n">
        <f aca="false">H214-G214</f>
        <v>0</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73</v>
      </c>
      <c r="H215" s="13" t="n">
        <v>73</v>
      </c>
      <c r="I215" s="13" t="n">
        <f aca="false">H215-G215</f>
        <v>0</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4</v>
      </c>
      <c r="H217" s="13" t="n">
        <v>4</v>
      </c>
      <c r="I217" s="13" t="n">
        <f aca="false">H217-G217</f>
        <v>0</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72</v>
      </c>
      <c r="H218" s="13" t="n">
        <v>72</v>
      </c>
      <c r="I218" s="13" t="n">
        <f aca="false">H218-G218</f>
        <v>0</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90</v>
      </c>
      <c r="H234" s="13" t="n">
        <v>90</v>
      </c>
      <c r="I234" s="13" t="n">
        <f aca="false">H234-G234</f>
        <v>0</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90</v>
      </c>
      <c r="H236" s="13" t="n">
        <v>90</v>
      </c>
      <c r="I236" s="13" t="n">
        <f aca="false">H236-G236</f>
        <v>0</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86</v>
      </c>
      <c r="H237" s="13" t="n">
        <v>86</v>
      </c>
      <c r="I237" s="13" t="n">
        <f aca="false">H237-G237</f>
        <v>0</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15</v>
      </c>
      <c r="H238" s="13" t="n">
        <v>15</v>
      </c>
      <c r="I238" s="13" t="n">
        <f aca="false">H238-G238</f>
        <v>0</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76</v>
      </c>
      <c r="H241" s="13" t="n">
        <v>76</v>
      </c>
      <c r="I241" s="13" t="n">
        <f aca="false">H241-G241</f>
        <v>0</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0</v>
      </c>
      <c r="H258" s="13" t="n">
        <v>0</v>
      </c>
      <c r="I258" s="13" t="n">
        <f aca="false">H258-G258</f>
        <v>0</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0</v>
      </c>
      <c r="H259" s="13" t="n">
        <v>0</v>
      </c>
      <c r="I259" s="13" t="n">
        <f aca="false">H259-G259</f>
        <v>0</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0</v>
      </c>
      <c r="H260" s="13" t="n">
        <v>0</v>
      </c>
      <c r="I260" s="13" t="n">
        <f aca="false">H260-G260</f>
        <v>0</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26</v>
      </c>
      <c r="H266" s="13" t="n">
        <v>26</v>
      </c>
      <c r="I266" s="13" t="n">
        <f aca="false">H266-G266</f>
        <v>0</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80</v>
      </c>
      <c r="H278" s="13" t="n">
        <v>80</v>
      </c>
      <c r="I278" s="13" t="n">
        <f aca="false">H278-G278</f>
        <v>0</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80</v>
      </c>
      <c r="H279" s="13" t="n">
        <v>80</v>
      </c>
      <c r="I279" s="13" t="n">
        <f aca="false">H279-G279</f>
        <v>0</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80</v>
      </c>
      <c r="H280" s="13" t="n">
        <v>80</v>
      </c>
      <c r="I280" s="13" t="n">
        <f aca="false">H280-G280</f>
        <v>0</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78</v>
      </c>
      <c r="H281" s="13" t="n">
        <v>78</v>
      </c>
      <c r="I281" s="13" t="n">
        <f aca="false">H281-G281</f>
        <v>0</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80</v>
      </c>
      <c r="H282" s="13" t="n">
        <v>80</v>
      </c>
      <c r="I282" s="13" t="n">
        <f aca="false">H282-G282</f>
        <v>0</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73</v>
      </c>
      <c r="H283" s="13" t="n">
        <v>73</v>
      </c>
      <c r="I283" s="13" t="n">
        <f aca="false">H283-G283</f>
        <v>0</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80</v>
      </c>
      <c r="H285" s="13" t="n">
        <v>80</v>
      </c>
      <c r="I285" s="13" t="n">
        <f aca="false">H285-G285</f>
        <v>0</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29</v>
      </c>
      <c r="H286" s="13" t="n">
        <v>29</v>
      </c>
      <c r="I286" s="13" t="n">
        <f aca="false">H286-G286</f>
        <v>0</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47</v>
      </c>
      <c r="H287" s="13" t="n">
        <v>47</v>
      </c>
      <c r="I287" s="13" t="n">
        <f aca="false">H287-G287</f>
        <v>0</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5</v>
      </c>
      <c r="H289" s="13" t="n">
        <v>5</v>
      </c>
      <c r="I289" s="13" t="n">
        <f aca="false">H289-G289</f>
        <v>0</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2</v>
      </c>
      <c r="H304" s="13" t="n">
        <v>2</v>
      </c>
      <c r="I304" s="13" t="n">
        <f aca="false">H304-G304</f>
        <v>0</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26</v>
      </c>
      <c r="H305" s="13" t="n">
        <v>26</v>
      </c>
      <c r="I305" s="13" t="n">
        <f aca="false">H305-G305</f>
        <v>0</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51</v>
      </c>
      <c r="H306" s="13" t="n">
        <v>51</v>
      </c>
      <c r="I306" s="13" t="n">
        <f aca="false">H306-G306</f>
        <v>0</v>
      </c>
      <c r="J306" s="13" t="n">
        <f aca="false">H306-F306</f>
        <v>5</v>
      </c>
    </row>
    <row r="307" customFormat="false" ht="15" hidden="false" customHeight="false" outlineLevel="0" collapsed="false">
      <c r="A307" s="13" t="s">
        <v>77</v>
      </c>
      <c r="B307" s="13" t="s">
        <v>78</v>
      </c>
      <c r="C307" s="13" t="n">
        <v>76</v>
      </c>
      <c r="D307" s="13" t="s">
        <v>23</v>
      </c>
      <c r="E307" s="13" t="s">
        <v>29</v>
      </c>
      <c r="F307" s="13" t="n">
        <v>46</v>
      </c>
      <c r="G307" s="13" t="n">
        <v>51</v>
      </c>
      <c r="H307" s="13" t="n">
        <v>51</v>
      </c>
      <c r="I307" s="13" t="n">
        <f aca="false">H307-G307</f>
        <v>0</v>
      </c>
      <c r="J307" s="13" t="n">
        <f aca="false">H307-F307</f>
        <v>5</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8</v>
      </c>
      <c r="H309" s="13" t="n">
        <v>8</v>
      </c>
      <c r="I309" s="13" t="n">
        <f aca="false">H309-G309</f>
        <v>0</v>
      </c>
      <c r="J309" s="13" t="n">
        <f aca="false">H309-F309</f>
        <v>8</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2</v>
      </c>
      <c r="H312" s="13" t="n">
        <v>2</v>
      </c>
      <c r="I312" s="13" t="n">
        <f aca="false">H312-G312</f>
        <v>0</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75</v>
      </c>
      <c r="H326" s="13" t="n">
        <v>75</v>
      </c>
      <c r="I326" s="13" t="n">
        <f aca="false">H326-G326</f>
        <v>0</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5</v>
      </c>
      <c r="H327" s="13" t="n">
        <v>5</v>
      </c>
      <c r="I327" s="13" t="n">
        <f aca="false">H327-G327</f>
        <v>0</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10</v>
      </c>
      <c r="H328" s="13" t="n">
        <v>10</v>
      </c>
      <c r="I328" s="13" t="n">
        <f aca="false">H328-G328</f>
        <v>0</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24</v>
      </c>
      <c r="H329" s="13" t="n">
        <v>24</v>
      </c>
      <c r="I329" s="13" t="n">
        <f aca="false">H329-G329</f>
        <v>0</v>
      </c>
      <c r="J329" s="13" t="n">
        <f aca="false">H329-F329</f>
        <v>3</v>
      </c>
    </row>
    <row r="330" customFormat="false" ht="15" hidden="false" customHeight="false" outlineLevel="0" collapsed="false">
      <c r="A330" s="13" t="s">
        <v>79</v>
      </c>
      <c r="B330" s="13" t="s">
        <v>80</v>
      </c>
      <c r="C330" s="13" t="n">
        <v>76</v>
      </c>
      <c r="D330" s="13" t="s">
        <v>23</v>
      </c>
      <c r="E330" s="13" t="s">
        <v>29</v>
      </c>
      <c r="F330" s="13" t="n">
        <v>21</v>
      </c>
      <c r="G330" s="13" t="n">
        <v>24</v>
      </c>
      <c r="H330" s="13" t="n">
        <v>24</v>
      </c>
      <c r="I330" s="13" t="n">
        <f aca="false">H330-G330</f>
        <v>0</v>
      </c>
      <c r="J330" s="13" t="n">
        <f aca="false">H330-F330</f>
        <v>3</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21</v>
      </c>
      <c r="H333" s="13" t="n">
        <v>21</v>
      </c>
      <c r="I333" s="13" t="n">
        <f aca="false">H333-G333</f>
        <v>0</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70</v>
      </c>
      <c r="H351" s="13" t="n">
        <v>70</v>
      </c>
      <c r="I351" s="13" t="n">
        <f aca="false">H351-G351</f>
        <v>0</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55</v>
      </c>
      <c r="H355" s="13" t="n">
        <v>55</v>
      </c>
      <c r="I355" s="13" t="n">
        <f aca="false">H355-G355</f>
        <v>0</v>
      </c>
      <c r="J355" s="13" t="n">
        <f aca="false">H355-F355</f>
        <v>55</v>
      </c>
    </row>
    <row r="356" customFormat="false" ht="15" hidden="false" customHeight="false" outlineLevel="0" collapsed="false">
      <c r="A356" s="13" t="s">
        <v>81</v>
      </c>
      <c r="B356" s="13" t="s">
        <v>82</v>
      </c>
      <c r="C356" s="13" t="n">
        <v>72</v>
      </c>
      <c r="D356" s="13" t="s">
        <v>23</v>
      </c>
      <c r="E356" s="13" t="s">
        <v>32</v>
      </c>
      <c r="F356" s="13" t="n">
        <v>0</v>
      </c>
      <c r="G356" s="13" t="n">
        <v>72</v>
      </c>
      <c r="H356" s="13" t="n">
        <v>72</v>
      </c>
      <c r="I356" s="13" t="n">
        <f aca="false">H356-G356</f>
        <v>0</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18</v>
      </c>
      <c r="H358" s="13" t="n">
        <v>18</v>
      </c>
      <c r="I358" s="13" t="n">
        <f aca="false">H358-G358</f>
        <v>0</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57</v>
      </c>
      <c r="H374" s="13" t="n">
        <v>57</v>
      </c>
      <c r="I374" s="13" t="n">
        <f aca="false">H374-G374</f>
        <v>0</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57</v>
      </c>
      <c r="H375" s="13" t="n">
        <v>57</v>
      </c>
      <c r="I375" s="13" t="n">
        <f aca="false">H375-G375</f>
        <v>0</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57</v>
      </c>
      <c r="H376" s="13" t="n">
        <v>57</v>
      </c>
      <c r="I376" s="13" t="n">
        <f aca="false">H376-G376</f>
        <v>0</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55</v>
      </c>
      <c r="H378" s="13" t="n">
        <v>55</v>
      </c>
      <c r="I378" s="13" t="n">
        <f aca="false">H378-G378</f>
        <v>0</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54</v>
      </c>
      <c r="H393" s="13" t="n">
        <v>54</v>
      </c>
      <c r="I393" s="13" t="n">
        <f aca="false">H393-G393</f>
        <v>0</v>
      </c>
      <c r="J393" s="13" t="n">
        <f aca="false">H393-F393</f>
        <v>21</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8</v>
      </c>
      <c r="H396" s="13" t="n">
        <v>8</v>
      </c>
      <c r="I396" s="13" t="n">
        <f aca="false">H396-G396</f>
        <v>0</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57</v>
      </c>
      <c r="H397" s="13" t="n">
        <v>57</v>
      </c>
      <c r="I397" s="13" t="n">
        <f aca="false">H397-G397</f>
        <v>0</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49</v>
      </c>
      <c r="H398" s="13" t="n">
        <v>49</v>
      </c>
      <c r="I398" s="13" t="n">
        <f aca="false">H398-G398</f>
        <v>0</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49</v>
      </c>
      <c r="H399" s="13" t="n">
        <v>49</v>
      </c>
      <c r="I399" s="13" t="n">
        <f aca="false">H399-G399</f>
        <v>0</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5</v>
      </c>
      <c r="H402" s="13" t="n">
        <v>5</v>
      </c>
      <c r="I402" s="13" t="n">
        <f aca="false">H402-G402</f>
        <v>0</v>
      </c>
      <c r="J402" s="13" t="n">
        <f aca="false">H402-F402</f>
        <v>5</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48</v>
      </c>
      <c r="H404" s="13" t="n">
        <v>48</v>
      </c>
      <c r="I404" s="13" t="n">
        <f aca="false">H404-G404</f>
        <v>0</v>
      </c>
      <c r="J404" s="13" t="n">
        <f aca="false">H404-F404</f>
        <v>21</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57</v>
      </c>
      <c r="H418" s="13" t="n">
        <v>57</v>
      </c>
      <c r="I418" s="13" t="n">
        <f aca="false">H418-G418</f>
        <v>0</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54</v>
      </c>
      <c r="H420" s="13" t="n">
        <v>54</v>
      </c>
      <c r="I420" s="13" t="n">
        <f aca="false">H420-G420</f>
        <v>0</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51</v>
      </c>
      <c r="H421" s="13" t="n">
        <v>51</v>
      </c>
      <c r="I421" s="13" t="n">
        <f aca="false">H421-G421</f>
        <v>0</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16</v>
      </c>
      <c r="H424" s="13" t="n">
        <v>16</v>
      </c>
      <c r="I424" s="13" t="n">
        <f aca="false">H424-G424</f>
        <v>0</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50</v>
      </c>
      <c r="H442" s="13" t="n">
        <v>50</v>
      </c>
      <c r="I442" s="13" t="n">
        <f aca="false">H442-G442</f>
        <v>0</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50</v>
      </c>
      <c r="H443" s="13" t="n">
        <v>50</v>
      </c>
      <c r="I443" s="13" t="n">
        <f aca="false">H443-G443</f>
        <v>0</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48</v>
      </c>
      <c r="H444" s="13" t="n">
        <v>48</v>
      </c>
      <c r="I444" s="13" t="n">
        <f aca="false">H444-G444</f>
        <v>0</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48</v>
      </c>
      <c r="H445" s="13" t="n">
        <v>48</v>
      </c>
      <c r="I445" s="13" t="n">
        <f aca="false">H445-G445</f>
        <v>0</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17</v>
      </c>
      <c r="H447" s="13" t="n">
        <v>17</v>
      </c>
      <c r="I447" s="13" t="n">
        <f aca="false">H447-G447</f>
        <v>0</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9</v>
      </c>
      <c r="H448" s="13" t="n">
        <v>9</v>
      </c>
      <c r="I448" s="13" t="n">
        <f aca="false">H448-G448</f>
        <v>0</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1</v>
      </c>
      <c r="H450" s="13" t="n">
        <v>1</v>
      </c>
      <c r="I450" s="13" t="n">
        <f aca="false">H450-G450</f>
        <v>0</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47</v>
      </c>
      <c r="H485" s="13" t="n">
        <v>47</v>
      </c>
      <c r="I485" s="13" t="n">
        <f aca="false">H485-G485</f>
        <v>0</v>
      </c>
      <c r="J485" s="13" t="n">
        <f aca="false">H485-F485</f>
        <v>-40</v>
      </c>
    </row>
    <row r="486" customFormat="false" ht="15" hidden="false" customHeight="false" outlineLevel="0" collapsed="false">
      <c r="A486" s="13" t="s">
        <v>93</v>
      </c>
      <c r="B486" s="13" t="s">
        <v>94</v>
      </c>
      <c r="C486" s="13" t="n">
        <v>49</v>
      </c>
      <c r="D486" s="13" t="s">
        <v>23</v>
      </c>
      <c r="E486" s="13" t="s">
        <v>24</v>
      </c>
      <c r="F486" s="13" t="n">
        <v>16</v>
      </c>
      <c r="G486" s="13" t="n">
        <v>49</v>
      </c>
      <c r="H486" s="13" t="n">
        <v>49</v>
      </c>
      <c r="I486" s="13" t="n">
        <f aca="false">H486-G486</f>
        <v>0</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49</v>
      </c>
      <c r="H487" s="13" t="n">
        <v>49</v>
      </c>
      <c r="I487" s="13" t="n">
        <f aca="false">H487-G487</f>
        <v>0</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44</v>
      </c>
      <c r="H488" s="13" t="n">
        <v>44</v>
      </c>
      <c r="I488" s="13" t="n">
        <f aca="false">H488-G488</f>
        <v>0</v>
      </c>
      <c r="J488" s="13" t="n">
        <f aca="false">H488-F488</f>
        <v>-30</v>
      </c>
    </row>
    <row r="489" customFormat="false" ht="15" hidden="false" customHeight="false" outlineLevel="0" collapsed="false">
      <c r="A489" s="13" t="s">
        <v>93</v>
      </c>
      <c r="B489" s="13" t="s">
        <v>94</v>
      </c>
      <c r="C489" s="13" t="n">
        <v>49</v>
      </c>
      <c r="D489" s="13" t="s">
        <v>23</v>
      </c>
      <c r="E489" s="13" t="s">
        <v>27</v>
      </c>
      <c r="F489" s="13" t="n">
        <v>119</v>
      </c>
      <c r="G489" s="13" t="n">
        <v>48</v>
      </c>
      <c r="H489" s="13" t="n">
        <v>48</v>
      </c>
      <c r="I489" s="13" t="n">
        <f aca="false">H489-G489</f>
        <v>0</v>
      </c>
      <c r="J489" s="13" t="n">
        <f aca="false">H489-F489</f>
        <v>-71</v>
      </c>
    </row>
    <row r="490" customFormat="false" ht="15" hidden="false" customHeight="false" outlineLevel="0" collapsed="false">
      <c r="A490" s="13" t="s">
        <v>93</v>
      </c>
      <c r="B490" s="13" t="s">
        <v>94</v>
      </c>
      <c r="C490" s="13" t="n">
        <v>49</v>
      </c>
      <c r="D490" s="13" t="s">
        <v>23</v>
      </c>
      <c r="E490" s="13" t="s">
        <v>28</v>
      </c>
      <c r="F490" s="13" t="n">
        <v>69</v>
      </c>
      <c r="G490" s="13" t="n">
        <v>44</v>
      </c>
      <c r="H490" s="13" t="n">
        <v>44</v>
      </c>
      <c r="I490" s="13" t="n">
        <f aca="false">H490-G490</f>
        <v>0</v>
      </c>
      <c r="J490" s="13" t="n">
        <f aca="false">H490-F490</f>
        <v>-25</v>
      </c>
    </row>
    <row r="491" customFormat="false" ht="15" hidden="false" customHeight="false" outlineLevel="0" collapsed="false">
      <c r="A491" s="13" t="s">
        <v>93</v>
      </c>
      <c r="B491" s="13" t="s">
        <v>94</v>
      </c>
      <c r="C491" s="13" t="n">
        <v>49</v>
      </c>
      <c r="D491" s="13" t="s">
        <v>23</v>
      </c>
      <c r="E491" s="13" t="s">
        <v>29</v>
      </c>
      <c r="F491" s="13" t="n">
        <v>69</v>
      </c>
      <c r="G491" s="13" t="n">
        <v>36</v>
      </c>
      <c r="H491" s="13" t="n">
        <v>36</v>
      </c>
      <c r="I491" s="13" t="n">
        <f aca="false">H491-G491</f>
        <v>0</v>
      </c>
      <c r="J491" s="13" t="n">
        <f aca="false">H491-F491</f>
        <v>-33</v>
      </c>
    </row>
    <row r="492" customFormat="false" ht="15" hidden="false" customHeight="false" outlineLevel="0" collapsed="false">
      <c r="A492" s="13" t="s">
        <v>93</v>
      </c>
      <c r="B492" s="13" t="s">
        <v>94</v>
      </c>
      <c r="C492" s="13" t="n">
        <v>49</v>
      </c>
      <c r="D492" s="13" t="s">
        <v>23</v>
      </c>
      <c r="E492" s="13" t="s">
        <v>30</v>
      </c>
      <c r="F492" s="13" t="n">
        <v>214</v>
      </c>
      <c r="G492" s="13" t="n">
        <v>49</v>
      </c>
      <c r="H492" s="13" t="n">
        <v>49</v>
      </c>
      <c r="I492" s="13" t="n">
        <f aca="false">H492-G492</f>
        <v>0</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10</v>
      </c>
      <c r="H493" s="13" t="n">
        <v>10</v>
      </c>
      <c r="I493" s="13" t="n">
        <f aca="false">H493-G493</f>
        <v>0</v>
      </c>
      <c r="J493" s="13" t="n">
        <f aca="false">H493-F493</f>
        <v>10</v>
      </c>
    </row>
    <row r="494" customFormat="false" ht="15" hidden="false" customHeight="false" outlineLevel="0" collapsed="false">
      <c r="A494" s="13" t="s">
        <v>93</v>
      </c>
      <c r="B494" s="13" t="s">
        <v>94</v>
      </c>
      <c r="C494" s="13" t="n">
        <v>49</v>
      </c>
      <c r="D494" s="13" t="s">
        <v>23</v>
      </c>
      <c r="E494" s="13" t="s">
        <v>32</v>
      </c>
      <c r="F494" s="13" t="n">
        <v>0</v>
      </c>
      <c r="G494" s="13" t="n">
        <v>42</v>
      </c>
      <c r="H494" s="13" t="n">
        <v>42</v>
      </c>
      <c r="I494" s="13" t="n">
        <f aca="false">H494-G494</f>
        <v>0</v>
      </c>
      <c r="J494" s="13" t="n">
        <f aca="false">H494-F494</f>
        <v>42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3</v>
      </c>
      <c r="H496" s="13" t="n">
        <v>3</v>
      </c>
      <c r="I496" s="13" t="n">
        <f aca="false">H496-G496</f>
        <v>0</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32</v>
      </c>
      <c r="H534" s="13" t="n">
        <v>32</v>
      </c>
      <c r="I534" s="13" t="n">
        <f aca="false">H534-G534</f>
        <v>0</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36</v>
      </c>
      <c r="H535" s="13" t="n">
        <v>36</v>
      </c>
      <c r="I535" s="13" t="n">
        <f aca="false">H535-G535</f>
        <v>0</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36</v>
      </c>
      <c r="H536" s="13" t="n">
        <v>36</v>
      </c>
      <c r="I536" s="13" t="n">
        <f aca="false">H536-G536</f>
        <v>0</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31</v>
      </c>
      <c r="H557" s="13" t="n">
        <v>31</v>
      </c>
      <c r="I557" s="13" t="n">
        <f aca="false">H557-G557</f>
        <v>0</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32</v>
      </c>
      <c r="H558" s="13" t="n">
        <v>32</v>
      </c>
      <c r="I558" s="13" t="n">
        <f aca="false">H558-G558</f>
        <v>0</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33</v>
      </c>
      <c r="H559" s="13" t="n">
        <v>33</v>
      </c>
      <c r="I559" s="13" t="n">
        <f aca="false">H559-G559</f>
        <v>0</v>
      </c>
      <c r="J559" s="13" t="n">
        <f aca="false">H559-F559</f>
        <v>-1</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26</v>
      </c>
      <c r="H562" s="13" t="n">
        <v>26</v>
      </c>
      <c r="I562" s="13" t="n">
        <f aca="false">H562-G562</f>
        <v>0</v>
      </c>
      <c r="J562" s="13" t="n">
        <f aca="false">H562-F562</f>
        <v>1</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39</v>
      </c>
      <c r="H581" s="13" t="n">
        <v>39</v>
      </c>
      <c r="I581" s="13" t="n">
        <f aca="false">H581-G581</f>
        <v>0</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32</v>
      </c>
      <c r="H582" s="13" t="n">
        <v>32</v>
      </c>
      <c r="I582" s="13" t="n">
        <f aca="false">H582-G582</f>
        <v>0</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32</v>
      </c>
      <c r="H583" s="13" t="n">
        <v>32</v>
      </c>
      <c r="I583" s="13" t="n">
        <f aca="false">H583-G583</f>
        <v>0</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42</v>
      </c>
      <c r="H586" s="13" t="n">
        <v>42</v>
      </c>
      <c r="I586" s="13" t="n">
        <f aca="false">H586-G586</f>
        <v>0</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4</v>
      </c>
      <c r="H588" s="13" t="n">
        <v>4</v>
      </c>
      <c r="I588" s="13" t="n">
        <f aca="false">H588-G588</f>
        <v>0</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4</v>
      </c>
      <c r="H603" s="13" t="n">
        <v>4</v>
      </c>
      <c r="I603" s="13" t="n">
        <f aca="false">H603-G603</f>
        <v>0</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41</v>
      </c>
      <c r="H604" s="13" t="n">
        <v>41</v>
      </c>
      <c r="I604" s="13" t="n">
        <f aca="false">H604-G604</f>
        <v>0</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41</v>
      </c>
      <c r="H605" s="13" t="n">
        <v>41</v>
      </c>
      <c r="I605" s="13" t="n">
        <f aca="false">H605-G605</f>
        <v>0</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10</v>
      </c>
      <c r="H608" s="13" t="n">
        <v>10</v>
      </c>
      <c r="I608" s="13" t="n">
        <f aca="false">H608-G608</f>
        <v>0</v>
      </c>
      <c r="J608" s="13" t="n">
        <f aca="false">H608-F608</f>
        <v>10</v>
      </c>
    </row>
    <row r="609" customFormat="false" ht="15" hidden="false" customHeight="false" outlineLevel="0" collapsed="false">
      <c r="A609" s="13" t="s">
        <v>103</v>
      </c>
      <c r="B609" s="13" t="s">
        <v>104</v>
      </c>
      <c r="C609" s="13" t="n">
        <v>41</v>
      </c>
      <c r="D609" s="13" t="s">
        <v>23</v>
      </c>
      <c r="E609" s="13" t="s">
        <v>32</v>
      </c>
      <c r="F609" s="13" t="n">
        <v>3</v>
      </c>
      <c r="G609" s="13" t="n">
        <v>34</v>
      </c>
      <c r="H609" s="13" t="n">
        <v>34</v>
      </c>
      <c r="I609" s="13" t="n">
        <f aca="false">H609-G609</f>
        <v>0</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9</v>
      </c>
      <c r="H626" s="13" t="n">
        <v>9</v>
      </c>
      <c r="I626" s="13" t="n">
        <f aca="false">H626-G626</f>
        <v>0</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9</v>
      </c>
      <c r="H627" s="13" t="n">
        <v>9</v>
      </c>
      <c r="I627" s="13" t="n">
        <f aca="false">H627-G627</f>
        <v>0</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8</v>
      </c>
      <c r="H628" s="13" t="n">
        <v>8</v>
      </c>
      <c r="I628" s="13" t="n">
        <f aca="false">H628-G628</f>
        <v>0</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11</v>
      </c>
      <c r="H632" s="13" t="n">
        <v>11</v>
      </c>
      <c r="I632" s="13" t="n">
        <f aca="false">H632-G632</f>
        <v>0</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30</v>
      </c>
      <c r="H634" s="13" t="n">
        <v>30</v>
      </c>
      <c r="I634" s="13" t="n">
        <f aca="false">H634-G634</f>
        <v>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8</v>
      </c>
      <c r="H650" s="13" t="n">
        <v>8</v>
      </c>
      <c r="I650" s="13" t="n">
        <f aca="false">H650-G650</f>
        <v>0</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16</v>
      </c>
      <c r="H655" s="13" t="n">
        <v>16</v>
      </c>
      <c r="I655" s="13" t="n">
        <f aca="false">H655-G655</f>
        <v>0</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10</v>
      </c>
      <c r="H673" s="13" t="n">
        <v>10</v>
      </c>
      <c r="I673" s="13" t="n">
        <f aca="false">H673-G673</f>
        <v>0</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8</v>
      </c>
      <c r="H674" s="13" t="n">
        <v>8</v>
      </c>
      <c r="I674" s="13" t="n">
        <f aca="false">H674-G674</f>
        <v>0</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18</v>
      </c>
      <c r="H692" s="13" t="n">
        <v>18</v>
      </c>
      <c r="I692" s="13" t="n">
        <f aca="false">H692-G692</f>
        <v>0</v>
      </c>
      <c r="J692" s="13" t="n">
        <f aca="false">H692-F692</f>
        <v>1</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31</v>
      </c>
      <c r="H694" s="13" t="n">
        <v>31</v>
      </c>
      <c r="I694" s="13" t="n">
        <f aca="false">H694-G694</f>
        <v>0</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18</v>
      </c>
      <c r="H696" s="13" t="n">
        <v>18</v>
      </c>
      <c r="I696" s="13" t="n">
        <f aca="false">H696-G696</f>
        <v>0</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30</v>
      </c>
      <c r="H697" s="13" t="n">
        <v>30</v>
      </c>
      <c r="I697" s="13" t="n">
        <f aca="false">H697-G697</f>
        <v>0</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30</v>
      </c>
      <c r="H698" s="13" t="n">
        <v>30</v>
      </c>
      <c r="I698" s="13" t="n">
        <f aca="false">H698-G698</f>
        <v>0</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4</v>
      </c>
      <c r="H700" s="13" t="n">
        <v>4</v>
      </c>
      <c r="I700" s="13" t="n">
        <f aca="false">H700-G700</f>
        <v>0</v>
      </c>
      <c r="J700" s="13" t="n">
        <f aca="false">H700-F700</f>
        <v>4</v>
      </c>
    </row>
    <row r="701" customFormat="false" ht="15" hidden="false" customHeight="false" outlineLevel="0" collapsed="false">
      <c r="A701" s="13" t="s">
        <v>111</v>
      </c>
      <c r="B701" s="13" t="s">
        <v>112</v>
      </c>
      <c r="C701" s="13" t="n">
        <v>31</v>
      </c>
      <c r="D701" s="13" t="s">
        <v>23</v>
      </c>
      <c r="E701" s="13" t="s">
        <v>32</v>
      </c>
      <c r="F701" s="13" t="n">
        <v>14</v>
      </c>
      <c r="G701" s="13" t="n">
        <v>15</v>
      </c>
      <c r="H701" s="13" t="n">
        <v>15</v>
      </c>
      <c r="I701" s="13" t="n">
        <f aca="false">H701-G701</f>
        <v>0</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4</v>
      </c>
      <c r="H718" s="13" t="n">
        <v>4</v>
      </c>
      <c r="I718" s="13" t="n">
        <f aca="false">H718-G718</f>
        <v>0</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6</v>
      </c>
      <c r="H719" s="13" t="n">
        <v>6</v>
      </c>
      <c r="I719" s="13" t="n">
        <f aca="false">H719-G719</f>
        <v>0</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3</v>
      </c>
      <c r="H720" s="13" t="n">
        <v>3</v>
      </c>
      <c r="I720" s="13" t="n">
        <f aca="false">H720-G720</f>
        <v>0</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0</v>
      </c>
      <c r="I741" s="13" t="n">
        <f aca="false">H741-G741</f>
        <v>0</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28</v>
      </c>
      <c r="H749" s="13" t="n">
        <v>28</v>
      </c>
      <c r="I749" s="13" t="n">
        <f aca="false">H749-G749</f>
        <v>0</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0</v>
      </c>
      <c r="H765" s="13" t="n">
        <v>0</v>
      </c>
      <c r="I765" s="13" t="n">
        <f aca="false">H765-G765</f>
        <v>0</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27</v>
      </c>
      <c r="H766" s="13" t="n">
        <v>27</v>
      </c>
      <c r="I766" s="13" t="n">
        <f aca="false">H766-G766</f>
        <v>0</v>
      </c>
      <c r="J766" s="13" t="n">
        <f aca="false">H766-F766</f>
        <v>25</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27</v>
      </c>
      <c r="H772" s="13" t="n">
        <v>27</v>
      </c>
      <c r="I772" s="13" t="n">
        <f aca="false">H772-G772</f>
        <v>0</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20</v>
      </c>
      <c r="H786" s="13" t="n">
        <v>20</v>
      </c>
      <c r="I786" s="13" t="n">
        <f aca="false">H786-G786</f>
        <v>0</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18</v>
      </c>
      <c r="H789" s="13" t="n">
        <v>18</v>
      </c>
      <c r="I789" s="13" t="n">
        <f aca="false">H789-G789</f>
        <v>0</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4</v>
      </c>
      <c r="H810" s="13" t="n">
        <v>4</v>
      </c>
      <c r="I810" s="13" t="n">
        <f aca="false">H810-G810</f>
        <v>0</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14</v>
      </c>
      <c r="H811" s="13" t="n">
        <v>14</v>
      </c>
      <c r="I811" s="13" t="n">
        <f aca="false">H811-G811</f>
        <v>0</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4</v>
      </c>
      <c r="H812" s="13" t="n">
        <v>4</v>
      </c>
      <c r="I812" s="13" t="n">
        <f aca="false">H812-G812</f>
        <v>0</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19</v>
      </c>
      <c r="H832" s="13" t="n">
        <v>19</v>
      </c>
      <c r="I832" s="13" t="n">
        <f aca="false">H832-G832</f>
        <v>0</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16</v>
      </c>
      <c r="H833" s="13" t="n">
        <v>16</v>
      </c>
      <c r="I833" s="13" t="n">
        <f aca="false">H833-G833</f>
        <v>0</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12</v>
      </c>
      <c r="H838" s="13" t="n">
        <v>12</v>
      </c>
      <c r="I838" s="13" t="n">
        <f aca="false">H838-G838</f>
        <v>0</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1</v>
      </c>
      <c r="H839" s="13" t="n">
        <v>1</v>
      </c>
      <c r="I839" s="13" t="n">
        <f aca="false">H839-G839</f>
        <v>0</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10</v>
      </c>
      <c r="H881" s="13" t="n">
        <v>10</v>
      </c>
      <c r="I881" s="13" t="n">
        <f aca="false">H881-G881</f>
        <v>0</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10</v>
      </c>
      <c r="H882" s="13" t="n">
        <v>10</v>
      </c>
      <c r="I882" s="13" t="n">
        <f aca="false">H882-G882</f>
        <v>0</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7</v>
      </c>
      <c r="H884" s="13" t="n">
        <v>7</v>
      </c>
      <c r="I884" s="13" t="n">
        <f aca="false">H884-G884</f>
        <v>0</v>
      </c>
      <c r="J884" s="13" t="n">
        <f aca="false">H884-F884</f>
        <v>7</v>
      </c>
    </row>
    <row r="885" customFormat="false" ht="15" hidden="false" customHeight="false" outlineLevel="0" collapsed="false">
      <c r="A885" s="13" t="s">
        <v>127</v>
      </c>
      <c r="B885" s="13" t="s">
        <v>128</v>
      </c>
      <c r="C885" s="13" t="n">
        <v>14</v>
      </c>
      <c r="D885" s="13" t="s">
        <v>23</v>
      </c>
      <c r="E885" s="13" t="s">
        <v>32</v>
      </c>
      <c r="F885" s="13" t="n">
        <v>0</v>
      </c>
      <c r="G885" s="13" t="n">
        <v>1</v>
      </c>
      <c r="H885" s="13" t="n">
        <v>1</v>
      </c>
      <c r="I885" s="13" t="n">
        <f aca="false">H885-G885</f>
        <v>0</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9</v>
      </c>
      <c r="H903" s="13" t="n">
        <v>9</v>
      </c>
      <c r="I903" s="13" t="n">
        <f aca="false">H903-G903</f>
        <v>0</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9</v>
      </c>
      <c r="H904" s="13" t="n">
        <v>9</v>
      </c>
      <c r="I904" s="13" t="n">
        <f aca="false">H904-G904</f>
        <v>0</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9</v>
      </c>
      <c r="H954" s="13" t="n">
        <v>9</v>
      </c>
      <c r="I954" s="13" t="n">
        <f aca="false">H954-G954</f>
        <v>0</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6</v>
      </c>
      <c r="H972" s="13" t="n">
        <v>6</v>
      </c>
      <c r="I972" s="13" t="n">
        <f aca="false">H972-G972</f>
        <v>0</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7</v>
      </c>
      <c r="H973" s="13" t="n">
        <v>7</v>
      </c>
      <c r="I973" s="13" t="n">
        <f aca="false">H973-G973</f>
        <v>0</v>
      </c>
      <c r="J973" s="13" t="n">
        <f aca="false">H973-F973</f>
        <v>5</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0</v>
      </c>
      <c r="H995" s="13" t="n">
        <v>0</v>
      </c>
      <c r="I995" s="13" t="n">
        <f aca="false">H995-G995</f>
        <v>0</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0</v>
      </c>
      <c r="H1064" s="13" t="n">
        <v>0</v>
      </c>
      <c r="I1064" s="13" t="n">
        <f aca="false">H1064-G1064</f>
        <v>0</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2</v>
      </c>
      <c r="H1065" s="13" t="n">
        <v>2</v>
      </c>
      <c r="I1065" s="13" t="n">
        <f aca="false">H1065-G1065</f>
        <v>0</v>
      </c>
      <c r="J1065" s="13" t="n">
        <f aca="false">H1065-F1065</f>
        <v>0</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2</v>
      </c>
      <c r="H1071" s="13" t="n">
        <v>2</v>
      </c>
      <c r="I1071" s="13" t="n">
        <f aca="false">H1071-G1071</f>
        <v>0</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2</v>
      </c>
      <c r="H1083" s="13" t="n">
        <v>2</v>
      </c>
      <c r="I1083" s="13" t="n">
        <f aca="false">H1083-G1083</f>
        <v>0</v>
      </c>
      <c r="J1083" s="13" t="n">
        <f aca="false">H1083-F1083</f>
        <v>2</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1</v>
      </c>
      <c r="I1088" s="13" t="n">
        <f aca="false">H1088-G1088</f>
        <v>0</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1</v>
      </c>
      <c r="H1091" s="13" t="n">
        <v>1</v>
      </c>
      <c r="I1091" s="13" t="n">
        <f aca="false">H1091-G1091</f>
        <v>0</v>
      </c>
      <c r="J1091" s="13" t="n">
        <f aca="false">H1091-F1091</f>
        <v>1</v>
      </c>
    </row>
    <row r="1092" customFormat="false" ht="15" hidden="false" customHeight="false" outlineLevel="0" collapsed="false">
      <c r="A1092" s="13" t="s">
        <v>145</v>
      </c>
      <c r="B1092" s="13" t="s">
        <v>146</v>
      </c>
      <c r="C1092" s="13" t="n">
        <v>2</v>
      </c>
      <c r="D1092" s="13" t="s">
        <v>23</v>
      </c>
      <c r="E1092" s="13" t="s">
        <v>32</v>
      </c>
      <c r="F1092" s="13" t="n">
        <v>0</v>
      </c>
      <c r="G1092" s="13" t="n">
        <v>2</v>
      </c>
      <c r="H1092" s="13" t="n">
        <v>2</v>
      </c>
      <c r="I1092" s="13" t="n">
        <f aca="false">H1092-G1092</f>
        <v>0</v>
      </c>
      <c r="J1092" s="13" t="n">
        <f aca="false">H1092-F1092</f>
        <v>2</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2</v>
      </c>
      <c r="H1094" s="13" t="n">
        <v>2</v>
      </c>
      <c r="I1094" s="13" t="n">
        <f aca="false">H1094-G1094</f>
        <v>0</v>
      </c>
      <c r="J1094" s="13" t="n">
        <f aca="false">H1094-F1094</f>
        <v>2</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2</v>
      </c>
      <c r="H1110" s="13" t="n">
        <v>2</v>
      </c>
      <c r="I1110" s="13" t="n">
        <f aca="false">H1110-G1110</f>
        <v>0</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2</v>
      </c>
      <c r="H1111" s="13" t="n">
        <v>2</v>
      </c>
      <c r="I1111" s="13" t="n">
        <f aca="false">H1111-G1111</f>
        <v>0</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2</v>
      </c>
      <c r="H1112" s="13" t="n">
        <v>2</v>
      </c>
      <c r="I1112" s="13" t="n">
        <f aca="false">H1112-G1112</f>
        <v>0</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1</v>
      </c>
      <c r="H1134" s="13" t="n">
        <v>1</v>
      </c>
      <c r="I1134" s="13" t="n">
        <f aca="false">H1134-G1134</f>
        <v>0</v>
      </c>
      <c r="J1134" s="13" t="n">
        <f aca="false">H1134-F1134</f>
        <v>1</v>
      </c>
    </row>
    <row r="1135" customFormat="false" ht="15" hidden="false" customHeight="false" outlineLevel="0" collapsed="false">
      <c r="A1135" s="13" t="s">
        <v>149</v>
      </c>
      <c r="B1135" s="13" t="s">
        <v>150</v>
      </c>
      <c r="C1135" s="13" t="n">
        <v>1</v>
      </c>
      <c r="D1135" s="13" t="s">
        <v>23</v>
      </c>
      <c r="E1135" s="13" t="s">
        <v>29</v>
      </c>
      <c r="F1135" s="13" t="n">
        <v>0</v>
      </c>
      <c r="G1135" s="13" t="n">
        <v>1</v>
      </c>
      <c r="H1135" s="13" t="n">
        <v>1</v>
      </c>
      <c r="I1135" s="13" t="n">
        <f aca="false">H1135-G1135</f>
        <v>0</v>
      </c>
      <c r="J1135" s="13" t="n">
        <f aca="false">H1135-F1135</f>
        <v>1</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1</v>
      </c>
      <c r="H1145" s="13" t="n">
        <v>1</v>
      </c>
      <c r="I1145" s="13" t="n">
        <f aca="false">H1145-G1145</f>
        <v>0</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1</v>
      </c>
      <c r="H1183" s="13" t="n">
        <v>1</v>
      </c>
      <c r="I1183" s="13" t="n">
        <f aca="false">H1183-G1183</f>
        <v>0</v>
      </c>
      <c r="J1183" s="13" t="n">
        <f aca="false">H1183-F1183</f>
        <v>1</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SUMIF($B$15:$B$315,$A4,C$15:C$315)</f>
        <v>0</v>
      </c>
      <c r="C4" s="4" t="n">
        <f aca="false">SUMIF($B$15:$B$315,$A4,D$15:D$315)</f>
        <v>0</v>
      </c>
      <c r="D4" s="4" t="n">
        <f aca="false">SUMIF($B$15:$B$315,$A4,E$15:E$315)</f>
        <v>1</v>
      </c>
      <c r="E4" s="4" t="n">
        <f aca="false">SUMIF($B$15:$B$315,$A4,F$15:F$315)</f>
        <v>0</v>
      </c>
      <c r="F4" s="15" t="n">
        <f aca="false">SUMIF($B$15:$B$315,$A4,G$15:G$315)</f>
        <v>0</v>
      </c>
      <c r="G4" s="4" t="n">
        <f aca="false">SUMIF($B$15:$B$315,$A4,H$15:H$315)</f>
        <v>204</v>
      </c>
      <c r="H4" s="4" t="n">
        <f aca="false">SUMIF($B$15:$B$315,$A4,I$15:I$315)</f>
        <v>0</v>
      </c>
      <c r="I4" s="4" t="n">
        <f aca="false">SUMIF($B$15:$B$315,$A4,J$15:J$315)</f>
        <v>182</v>
      </c>
      <c r="J4" s="4" t="n">
        <f aca="false">SUMIF($B$15:$B$315,$A4,K$15:K$315)</f>
        <v>408</v>
      </c>
      <c r="K4" s="15" t="n">
        <f aca="false">SUMIF($B$15:$B$315,$A4,L$15:L$315)</f>
        <v>0</v>
      </c>
      <c r="L4" s="16" t="n">
        <f aca="false">IF(G4=0,"",H4/G4)</f>
        <v>0</v>
      </c>
    </row>
    <row r="5" customFormat="false" ht="15" hidden="false" customHeight="false" outlineLevel="0" collapsed="false">
      <c r="A5" s="4" t="s">
        <v>170</v>
      </c>
      <c r="B5" s="4" t="n">
        <f aca="false">SUMIF($B$15:$B$315,$A5,C$15:C$315)</f>
        <v>94</v>
      </c>
      <c r="C5" s="4" t="n">
        <f aca="false">SUMIF($B$15:$B$315,$A5,D$15:D$315)</f>
        <v>2</v>
      </c>
      <c r="D5" s="4" t="n">
        <f aca="false">SUMIF($B$15:$B$315,$A5,E$15:E$315)</f>
        <v>0</v>
      </c>
      <c r="E5" s="4" t="n">
        <f aca="false">SUMIF($B$15:$B$315,$A5,F$15:F$315)</f>
        <v>112</v>
      </c>
      <c r="F5" s="15" t="n">
        <f aca="false">SUMIF($B$15:$B$315,$A5,G$15:G$315)</f>
        <v>0</v>
      </c>
      <c r="G5" s="4" t="n">
        <f aca="false">SUMIF($B$15:$B$315,$A5,H$15:H$315)</f>
        <v>2757</v>
      </c>
      <c r="H5" s="4" t="n">
        <f aca="false">SUMIF($B$15:$B$315,$A5,I$15:I$315)</f>
        <v>2111</v>
      </c>
      <c r="I5" s="4" t="n">
        <f aca="false">SUMIF($B$15:$B$315,$A5,J$15:J$315)</f>
        <v>195</v>
      </c>
      <c r="J5" s="4" t="n">
        <f aca="false">SUMIF($B$15:$B$315,$A5,K$15:K$315)</f>
        <v>533</v>
      </c>
      <c r="K5" s="15" t="n">
        <f aca="false">SUMIF($B$15:$B$315,$A5,L$15:L$315)</f>
        <v>0</v>
      </c>
      <c r="L5" s="16" t="n">
        <f aca="false">IF(G5=0,"",H5/G5)</f>
        <v>0.765687341313021</v>
      </c>
    </row>
    <row r="6" customFormat="false" ht="15" hidden="false" customHeight="false" outlineLevel="0" collapsed="false">
      <c r="A6" s="4" t="s">
        <v>171</v>
      </c>
      <c r="B6" s="4" t="n">
        <f aca="false">SUMIF($B$15:$B$315,$A6,C$15:C$315)</f>
        <v>637</v>
      </c>
      <c r="C6" s="4" t="n">
        <f aca="false">SUMIF($B$15:$B$315,$A6,D$15:D$315)</f>
        <v>0</v>
      </c>
      <c r="D6" s="4" t="n">
        <f aca="false">SUMIF($B$15:$B$315,$A6,E$15:E$315)</f>
        <v>540</v>
      </c>
      <c r="E6" s="4" t="n">
        <f aca="false">SUMIF($B$15:$B$315,$A6,F$15:F$315)</f>
        <v>0</v>
      </c>
      <c r="F6" s="15" t="n">
        <f aca="false">SUMIF($B$15:$B$315,$A6,G$15:G$315)</f>
        <v>0.08661078</v>
      </c>
      <c r="G6" s="4" t="n">
        <f aca="false">SUMIF($B$15:$B$315,$A6,H$15:H$315)</f>
        <v>862</v>
      </c>
      <c r="H6" s="4" t="n">
        <f aca="false">SUMIF($B$15:$B$315,$A6,I$15:I$315)</f>
        <v>18</v>
      </c>
      <c r="I6" s="4" t="n">
        <f aca="false">SUMIF($B$15:$B$315,$A6,J$15:J$315)</f>
        <v>676</v>
      </c>
      <c r="J6" s="4" t="n">
        <f aca="false">SUMIF($B$15:$B$315,$A6,K$15:K$315)</f>
        <v>0</v>
      </c>
      <c r="K6" s="15" t="n">
        <f aca="false">SUMIF($B$15:$B$315,$A6,L$15:L$315)</f>
        <v>0.11181097</v>
      </c>
      <c r="L6" s="16" t="n">
        <f aca="false">IF(G6=0,"",H6/G6)</f>
        <v>0.0208816705336427</v>
      </c>
    </row>
    <row r="7" customFormat="false" ht="15" hidden="false" customHeight="false" outlineLevel="0" collapsed="false">
      <c r="A7" s="4" t="s">
        <v>172</v>
      </c>
      <c r="B7" s="4" t="n">
        <f aca="false">SUMIF($B$15:$B$315,$A7,C$15:C$315)</f>
        <v>9</v>
      </c>
      <c r="C7" s="4" t="n">
        <f aca="false">SUMIF($B$15:$B$315,$A7,D$15:D$315)</f>
        <v>0</v>
      </c>
      <c r="D7" s="4" t="n">
        <f aca="false">SUMIF($B$15:$B$315,$A7,E$15:E$315)</f>
        <v>9</v>
      </c>
      <c r="E7" s="4" t="n">
        <f aca="false">SUMIF($B$15:$B$315,$A7,F$15:F$315)</f>
        <v>0</v>
      </c>
      <c r="F7" s="15" t="n">
        <f aca="false">SUMIF($B$15:$B$315,$A7,G$15:G$315)</f>
        <v>0.0022904</v>
      </c>
      <c r="G7" s="4" t="n">
        <f aca="false">SUMIF($B$15:$B$315,$A7,H$15:H$315)</f>
        <v>13579</v>
      </c>
      <c r="H7" s="4" t="n">
        <f aca="false">SUMIF($B$15:$B$315,$A7,I$15:I$315)</f>
        <v>3095</v>
      </c>
      <c r="I7" s="4" t="n">
        <f aca="false">SUMIF($B$15:$B$315,$A7,J$15:J$315)</f>
        <v>10371</v>
      </c>
      <c r="J7" s="4" t="n">
        <f aca="false">SUMIF($B$15:$B$315,$A7,K$15:K$315)</f>
        <v>0</v>
      </c>
      <c r="K7" s="15" t="n">
        <f aca="false">SUMIF($B$15:$B$315,$A7,L$15:L$315)</f>
        <v>8.34320213333333</v>
      </c>
      <c r="L7" s="16" t="n">
        <f aca="false">IF(G7=0,"",H7/G7)</f>
        <v>0.227925473157081</v>
      </c>
    </row>
    <row r="8" customFormat="false" ht="15" hidden="false" customHeight="false" outlineLevel="0" collapsed="false">
      <c r="A8" s="4" t="s">
        <v>173</v>
      </c>
      <c r="B8" s="4" t="n">
        <f aca="false">SUMIF($B$15:$B$315,$A8,C$15:C$315)</f>
        <v>0</v>
      </c>
      <c r="C8" s="4" t="n">
        <f aca="false">SUMIF($B$15:$B$315,$A8,D$15:D$315)</f>
        <v>0</v>
      </c>
      <c r="D8" s="4" t="n">
        <f aca="false">SUMIF($B$15:$B$315,$A8,E$15:E$315)</f>
        <v>0</v>
      </c>
      <c r="E8" s="4" t="n">
        <f aca="false">SUMIF($B$15:$B$315,$A8,F$15:F$315)</f>
        <v>0</v>
      </c>
      <c r="F8" s="15" t="n">
        <f aca="false">SUMIF($B$15:$B$315,$A8,G$15:G$315)</f>
        <v>0</v>
      </c>
      <c r="G8" s="4" t="n">
        <f aca="false">SUMIF($B$15:$B$315,$A8,H$15:H$315)</f>
        <v>2581</v>
      </c>
      <c r="H8" s="4" t="n">
        <f aca="false">SUMIF($B$15:$B$315,$A8,I$15:I$315)</f>
        <v>928</v>
      </c>
      <c r="I8" s="4" t="n">
        <f aca="false">SUMIF($B$15:$B$315,$A8,J$15:J$315)</f>
        <v>1653</v>
      </c>
      <c r="J8" s="4" t="n">
        <f aca="false">SUMIF($B$15:$B$315,$A8,K$15:K$315)</f>
        <v>0</v>
      </c>
      <c r="K8" s="15" t="n">
        <f aca="false">SUMIF($B$15:$B$315,$A8,L$15:L$315)</f>
        <v>4.1393888</v>
      </c>
      <c r="L8" s="16" t="n">
        <f aca="false">IF(G8=0,"",H8/G8)</f>
        <v>0.359550561797753</v>
      </c>
    </row>
    <row r="9" customFormat="false" ht="15" hidden="false" customHeight="false" outlineLevel="0" collapsed="false">
      <c r="A9" s="4" t="s">
        <v>174</v>
      </c>
      <c r="B9" s="4" t="n">
        <f aca="false">SUMIF($B$15:$B$315,$A9,C$15:C$315)</f>
        <v>0</v>
      </c>
      <c r="C9" s="4" t="n">
        <f aca="false">SUMIF($B$15:$B$315,$A9,D$15:D$315)</f>
        <v>0</v>
      </c>
      <c r="D9" s="4" t="n">
        <f aca="false">SUMIF($B$15:$B$315,$A9,E$15:E$315)</f>
        <v>0</v>
      </c>
      <c r="E9" s="4" t="n">
        <f aca="false">SUMIF($B$15:$B$315,$A9,F$15:F$315)</f>
        <v>0</v>
      </c>
      <c r="F9" s="15" t="n">
        <f aca="false">SUMIF($B$15:$B$315,$A9,G$15:G$315)</f>
        <v>0</v>
      </c>
      <c r="G9" s="4" t="n">
        <f aca="false">SUMIF($B$15:$B$315,$A9,H$15:H$315)</f>
        <v>217</v>
      </c>
      <c r="H9" s="4" t="n">
        <f aca="false">SUMIF($B$15:$B$315,$A9,I$15:I$315)</f>
        <v>150</v>
      </c>
      <c r="I9" s="4" t="n">
        <f aca="false">SUMIF($B$15:$B$315,$A9,J$15:J$315)</f>
        <v>3</v>
      </c>
      <c r="J9" s="4" t="n">
        <f aca="false">SUMIF($B$15:$B$315,$A9,K$15:K$315)</f>
        <v>0</v>
      </c>
      <c r="K9" s="15" t="n">
        <f aca="false">SUMIF($B$15:$B$315,$A9,L$15:L$315)</f>
        <v>0.0742985</v>
      </c>
      <c r="L9" s="16" t="n">
        <f aca="false">IF(G9=0,"",H9/G9)</f>
        <v>0.691244239631336</v>
      </c>
    </row>
    <row r="10" customFormat="false" ht="15" hidden="false" customHeight="false" outlineLevel="0" collapsed="false">
      <c r="A10" s="4" t="s">
        <v>175</v>
      </c>
      <c r="B10" s="4" t="n">
        <f aca="false">SUMIF($B$15:$B$315,$A10,C$15:C$315)</f>
        <v>35</v>
      </c>
      <c r="C10" s="4" t="n">
        <f aca="false">SUMIF($B$15:$B$315,$A10,D$15:D$315)</f>
        <v>0</v>
      </c>
      <c r="D10" s="4" t="n">
        <f aca="false">SUMIF($B$15:$B$315,$A10,E$15:E$315)</f>
        <v>0</v>
      </c>
      <c r="E10" s="4" t="n">
        <f aca="false">SUMIF($B$15:$B$315,$A10,F$15:F$315)</f>
        <v>35</v>
      </c>
      <c r="F10" s="15" t="n">
        <f aca="false">SUMIF($B$15:$B$315,$A10,G$15:G$315)</f>
        <v>0</v>
      </c>
      <c r="G10" s="4" t="n">
        <f aca="false">SUMIF($B$15:$B$315,$A10,H$15:H$315)</f>
        <v>539</v>
      </c>
      <c r="H10" s="4" t="n">
        <f aca="false">SUMIF($B$15:$B$315,$A10,I$15:I$315)</f>
        <v>0</v>
      </c>
      <c r="I10" s="4" t="n">
        <f aca="false">SUMIF($B$15:$B$315,$A10,J$15:J$315)</f>
        <v>0</v>
      </c>
      <c r="J10" s="4" t="n">
        <f aca="false">SUMIF($B$15:$B$315,$A10,K$15:K$315)</f>
        <v>862</v>
      </c>
      <c r="K10" s="15" t="n">
        <f aca="false">SUMIF($B$15:$B$315,$A10,L$15:L$315)</f>
        <v>0</v>
      </c>
      <c r="L10" s="16" t="n">
        <f aca="false">IF(G10=0,"",H10/G10)</f>
        <v>0</v>
      </c>
    </row>
    <row r="11" customFormat="false" ht="15" hidden="false" customHeight="false" outlineLevel="0" collapsed="false">
      <c r="A11" s="4" t="s">
        <v>176</v>
      </c>
      <c r="B11" s="4" t="n">
        <f aca="false">SUMIF($B$15:$B$315,$A11,C$15:C$315)</f>
        <v>4</v>
      </c>
      <c r="C11" s="4" t="n">
        <f aca="false">SUMIF($B$15:$B$315,$A11,D$15:D$315)</f>
        <v>0</v>
      </c>
      <c r="D11" s="4" t="n">
        <f aca="false">SUMIF($B$15:$B$315,$A11,E$15:E$315)</f>
        <v>0</v>
      </c>
      <c r="E11" s="4" t="n">
        <f aca="false">SUMIF($B$15:$B$315,$A11,F$15:F$315)</f>
        <v>0</v>
      </c>
      <c r="F11" s="15" t="n">
        <f aca="false">SUMIF($B$15:$B$315,$A11,G$15:G$315)</f>
        <v>0</v>
      </c>
      <c r="G11" s="4" t="n">
        <f aca="false">SUMIF($B$15:$B$315,$A11,H$15:H$315)</f>
        <v>6062</v>
      </c>
      <c r="H11" s="4" t="n">
        <f aca="false">SUMIF($B$15:$B$315,$A11,I$15:I$315)</f>
        <v>0</v>
      </c>
      <c r="I11" s="4" t="n">
        <f aca="false">SUMIF($B$15:$B$315,$A11,J$15:J$315)</f>
        <v>0</v>
      </c>
      <c r="J11" s="4" t="n">
        <f aca="false">SUMIF($B$15:$B$315,$A11,K$15:K$315)</f>
        <v>0</v>
      </c>
      <c r="K11" s="15" t="n">
        <f aca="false">SUMIF($B$15:$B$315,$A11,L$15:L$315)</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137</v>
      </c>
      <c r="B15" s="13" t="s">
        <v>172</v>
      </c>
      <c r="C15" s="13" t="n">
        <v>0</v>
      </c>
      <c r="D15" s="13" t="n">
        <v>0</v>
      </c>
      <c r="E15" s="13" t="n">
        <v>0</v>
      </c>
      <c r="F15" s="13" t="n">
        <v>0</v>
      </c>
      <c r="G15" s="17" t="n">
        <v>0</v>
      </c>
      <c r="H15" s="13" t="n">
        <v>13</v>
      </c>
      <c r="I15" s="13" t="n">
        <v>0</v>
      </c>
      <c r="J15" s="13" t="n">
        <v>13</v>
      </c>
      <c r="K15" s="13" t="n">
        <v>0</v>
      </c>
      <c r="L15" s="17" t="n">
        <v>0.00394026666666667</v>
      </c>
      <c r="M15" s="18" t="n">
        <f aca="false">IF(H15=0,"",I15/H15)</f>
        <v>0</v>
      </c>
    </row>
    <row r="16" customFormat="false" ht="15" hidden="false" customHeight="false" outlineLevel="0" collapsed="false">
      <c r="A16" s="13" t="s">
        <v>137</v>
      </c>
      <c r="B16" s="13" t="s">
        <v>175</v>
      </c>
      <c r="C16" s="13" t="n">
        <v>0</v>
      </c>
      <c r="D16" s="13" t="n">
        <v>0</v>
      </c>
      <c r="E16" s="13" t="n">
        <v>0</v>
      </c>
      <c r="F16" s="13" t="n">
        <v>0</v>
      </c>
      <c r="G16" s="17" t="n">
        <v>0</v>
      </c>
      <c r="H16" s="13" t="n">
        <v>3</v>
      </c>
      <c r="I16" s="13" t="n">
        <v>0</v>
      </c>
      <c r="J16" s="13" t="n">
        <v>0</v>
      </c>
      <c r="K16" s="13" t="n">
        <v>3</v>
      </c>
      <c r="L16" s="17" t="n">
        <v>0</v>
      </c>
      <c r="M16" s="18" t="n">
        <f aca="false">IF(H16=0,"",I16/H16)</f>
        <v>0</v>
      </c>
    </row>
    <row r="17" customFormat="false" ht="15" hidden="false" customHeight="false" outlineLevel="0" collapsed="false">
      <c r="A17" s="13" t="s">
        <v>137</v>
      </c>
      <c r="B17" s="13" t="s">
        <v>176</v>
      </c>
      <c r="C17" s="13" t="n">
        <v>0</v>
      </c>
      <c r="D17" s="13" t="n">
        <v>0</v>
      </c>
      <c r="E17" s="13" t="n">
        <v>0</v>
      </c>
      <c r="F17" s="13" t="n">
        <v>0</v>
      </c>
      <c r="G17" s="17" t="n">
        <v>0</v>
      </c>
      <c r="H17" s="13" t="n">
        <v>8</v>
      </c>
      <c r="I17" s="13" t="n">
        <v>0</v>
      </c>
      <c r="J17" s="13" t="n">
        <v>0</v>
      </c>
      <c r="K17" s="13" t="n">
        <v>0</v>
      </c>
      <c r="L17" s="17" t="n">
        <v>0</v>
      </c>
      <c r="M17" s="18" t="n">
        <f aca="false">IF(H17=0,"",I17/H17)</f>
        <v>0</v>
      </c>
    </row>
    <row r="18" customFormat="false" ht="15" hidden="false" customHeight="false" outlineLevel="0" collapsed="false">
      <c r="A18" s="13" t="s">
        <v>85</v>
      </c>
      <c r="B18" s="13" t="s">
        <v>170</v>
      </c>
      <c r="C18" s="13" t="n">
        <v>0</v>
      </c>
      <c r="D18" s="13" t="n">
        <v>0</v>
      </c>
      <c r="E18" s="13" t="n">
        <v>0</v>
      </c>
      <c r="F18" s="13" t="n">
        <v>0</v>
      </c>
      <c r="G18" s="17" t="n">
        <v>0</v>
      </c>
      <c r="H18" s="13" t="n">
        <v>89</v>
      </c>
      <c r="I18" s="13" t="n">
        <v>85</v>
      </c>
      <c r="J18" s="13" t="n">
        <v>0</v>
      </c>
      <c r="K18" s="13" t="n">
        <v>12</v>
      </c>
      <c r="L18" s="17" t="n">
        <v>0</v>
      </c>
      <c r="M18" s="18" t="n">
        <f aca="false">IF(H18=0,"",I18/H18)</f>
        <v>0.955056179775281</v>
      </c>
    </row>
    <row r="19" customFormat="false" ht="15" hidden="false" customHeight="false" outlineLevel="0" collapsed="false">
      <c r="A19" s="13" t="s">
        <v>85</v>
      </c>
      <c r="B19" s="13" t="s">
        <v>171</v>
      </c>
      <c r="C19" s="13" t="n">
        <v>0</v>
      </c>
      <c r="D19" s="13" t="n">
        <v>0</v>
      </c>
      <c r="E19" s="13" t="n">
        <v>0</v>
      </c>
      <c r="F19" s="13" t="n">
        <v>0</v>
      </c>
      <c r="G19" s="17" t="n">
        <v>0</v>
      </c>
      <c r="H19" s="13" t="n">
        <v>12</v>
      </c>
      <c r="I19" s="13" t="n">
        <v>8</v>
      </c>
      <c r="J19" s="13" t="n">
        <v>0</v>
      </c>
      <c r="K19" s="13" t="n">
        <v>0</v>
      </c>
      <c r="L19" s="17" t="n">
        <v>0.00148068</v>
      </c>
      <c r="M19" s="18" t="n">
        <f aca="false">IF(H19=0,"",I19/H19)</f>
        <v>0.666666666666667</v>
      </c>
    </row>
    <row r="20" customFormat="false" ht="15" hidden="false" customHeight="false" outlineLevel="0" collapsed="false">
      <c r="A20" s="13" t="s">
        <v>85</v>
      </c>
      <c r="B20" s="13" t="s">
        <v>172</v>
      </c>
      <c r="C20" s="13" t="n">
        <v>0</v>
      </c>
      <c r="D20" s="13" t="n">
        <v>0</v>
      </c>
      <c r="E20" s="13" t="n">
        <v>0</v>
      </c>
      <c r="F20" s="13" t="n">
        <v>0</v>
      </c>
      <c r="G20" s="17" t="n">
        <v>0</v>
      </c>
      <c r="H20" s="13" t="n">
        <v>263</v>
      </c>
      <c r="I20" s="13" t="n">
        <v>26</v>
      </c>
      <c r="J20" s="13" t="n">
        <v>233</v>
      </c>
      <c r="K20" s="13" t="n">
        <v>0</v>
      </c>
      <c r="L20" s="17" t="n">
        <v>0.2406656</v>
      </c>
      <c r="M20" s="18" t="n">
        <f aca="false">IF(H20=0,"",I20/H20)</f>
        <v>0.0988593155893536</v>
      </c>
    </row>
    <row r="21" customFormat="false" ht="15" hidden="false" customHeight="false" outlineLevel="0" collapsed="false">
      <c r="A21" s="13" t="s">
        <v>85</v>
      </c>
      <c r="B21" s="13" t="s">
        <v>173</v>
      </c>
      <c r="C21" s="13" t="n">
        <v>0</v>
      </c>
      <c r="D21" s="13" t="n">
        <v>0</v>
      </c>
      <c r="E21" s="13" t="n">
        <v>0</v>
      </c>
      <c r="F21" s="13" t="n">
        <v>0</v>
      </c>
      <c r="G21" s="17" t="n">
        <v>0</v>
      </c>
      <c r="H21" s="13" t="n">
        <v>64</v>
      </c>
      <c r="I21" s="13" t="n">
        <v>2</v>
      </c>
      <c r="J21" s="13" t="n">
        <v>62</v>
      </c>
      <c r="K21" s="13" t="n">
        <v>0</v>
      </c>
      <c r="L21" s="17" t="n">
        <v>0.0411764</v>
      </c>
      <c r="M21" s="18" t="n">
        <f aca="false">IF(H21=0,"",I21/H21)</f>
        <v>0.03125</v>
      </c>
    </row>
    <row r="22" customFormat="false" ht="15" hidden="false" customHeight="false" outlineLevel="0" collapsed="false">
      <c r="A22" s="13" t="s">
        <v>85</v>
      </c>
      <c r="B22" s="13" t="s">
        <v>175</v>
      </c>
      <c r="C22" s="13" t="n">
        <v>0</v>
      </c>
      <c r="D22" s="13" t="n">
        <v>0</v>
      </c>
      <c r="E22" s="13" t="n">
        <v>0</v>
      </c>
      <c r="F22" s="13" t="n">
        <v>0</v>
      </c>
      <c r="G22" s="17" t="n">
        <v>0</v>
      </c>
      <c r="H22" s="13" t="n">
        <v>18</v>
      </c>
      <c r="I22" s="13" t="n">
        <v>0</v>
      </c>
      <c r="J22" s="13" t="n">
        <v>0</v>
      </c>
      <c r="K22" s="13" t="n">
        <v>25</v>
      </c>
      <c r="L22" s="17" t="n">
        <v>0</v>
      </c>
      <c r="M22" s="18" t="n">
        <f aca="false">IF(H22=0,"",I22/H22)</f>
        <v>0</v>
      </c>
    </row>
    <row r="23" customFormat="false" ht="15" hidden="false" customHeight="false" outlineLevel="0" collapsed="false">
      <c r="A23" s="13" t="s">
        <v>85</v>
      </c>
      <c r="B23" s="13" t="s">
        <v>176</v>
      </c>
      <c r="C23" s="13" t="n">
        <v>0</v>
      </c>
      <c r="D23" s="13" t="n">
        <v>0</v>
      </c>
      <c r="E23" s="13" t="n">
        <v>0</v>
      </c>
      <c r="F23" s="13" t="n">
        <v>0</v>
      </c>
      <c r="G23" s="17" t="n">
        <v>0</v>
      </c>
      <c r="H23" s="13" t="n">
        <v>100</v>
      </c>
      <c r="I23" s="13" t="n">
        <v>0</v>
      </c>
      <c r="J23" s="13" t="n">
        <v>0</v>
      </c>
      <c r="K23" s="13" t="n">
        <v>0</v>
      </c>
      <c r="L23" s="17" t="n">
        <v>0</v>
      </c>
      <c r="M23" s="18" t="n">
        <f aca="false">IF(H23=0,"",I23/H23)</f>
        <v>0</v>
      </c>
    </row>
    <row r="24" customFormat="false" ht="15" hidden="false" customHeight="false" outlineLevel="0" collapsed="false">
      <c r="A24" s="13" t="s">
        <v>91</v>
      </c>
      <c r="B24" s="13" t="s">
        <v>170</v>
      </c>
      <c r="C24" s="13" t="n">
        <v>0</v>
      </c>
      <c r="D24" s="13" t="n">
        <v>0</v>
      </c>
      <c r="E24" s="13" t="n">
        <v>0</v>
      </c>
      <c r="F24" s="13" t="n">
        <v>0</v>
      </c>
      <c r="G24" s="17" t="n">
        <v>0</v>
      </c>
      <c r="H24" s="13" t="n">
        <v>2</v>
      </c>
      <c r="I24" s="13" t="n">
        <v>2</v>
      </c>
      <c r="J24" s="13" t="n">
        <v>0</v>
      </c>
      <c r="K24" s="13" t="n">
        <v>0</v>
      </c>
      <c r="L24" s="17" t="n">
        <v>0</v>
      </c>
      <c r="M24" s="18" t="n">
        <f aca="false">IF(H24=0,"",I24/H24)</f>
        <v>1</v>
      </c>
    </row>
    <row r="25" customFormat="false" ht="15" hidden="false" customHeight="false" outlineLevel="0" collapsed="false">
      <c r="A25" s="13" t="s">
        <v>91</v>
      </c>
      <c r="B25" s="13" t="s">
        <v>172</v>
      </c>
      <c r="C25" s="13" t="n">
        <v>0</v>
      </c>
      <c r="D25" s="13" t="n">
        <v>0</v>
      </c>
      <c r="E25" s="13" t="n">
        <v>0</v>
      </c>
      <c r="F25" s="13" t="n">
        <v>0</v>
      </c>
      <c r="G25" s="17" t="n">
        <v>0</v>
      </c>
      <c r="H25" s="13" t="n">
        <v>5</v>
      </c>
      <c r="I25" s="13" t="n">
        <v>0</v>
      </c>
      <c r="J25" s="13" t="n">
        <v>5</v>
      </c>
      <c r="K25" s="13" t="n">
        <v>0</v>
      </c>
      <c r="L25" s="17" t="n">
        <v>0.0070404</v>
      </c>
      <c r="M25" s="18" t="n">
        <f aca="false">IF(H25=0,"",I25/H25)</f>
        <v>0</v>
      </c>
    </row>
    <row r="26" customFormat="false" ht="15" hidden="false" customHeight="false" outlineLevel="0" collapsed="false">
      <c r="A26" s="13" t="s">
        <v>91</v>
      </c>
      <c r="B26" s="13" t="s">
        <v>173</v>
      </c>
      <c r="C26" s="13" t="n">
        <v>0</v>
      </c>
      <c r="D26" s="13" t="n">
        <v>0</v>
      </c>
      <c r="E26" s="13" t="n">
        <v>0</v>
      </c>
      <c r="F26" s="13" t="n">
        <v>0</v>
      </c>
      <c r="G26" s="17" t="n">
        <v>0</v>
      </c>
      <c r="H26" s="13" t="n">
        <v>3</v>
      </c>
      <c r="I26" s="13" t="n">
        <v>2</v>
      </c>
      <c r="J26" s="13" t="n">
        <v>1</v>
      </c>
      <c r="K26" s="13" t="n">
        <v>0</v>
      </c>
      <c r="L26" s="17" t="n">
        <v>0.0054524</v>
      </c>
      <c r="M26" s="18" t="n">
        <f aca="false">IF(H26=0,"",I26/H26)</f>
        <v>0.666666666666667</v>
      </c>
    </row>
    <row r="27" customFormat="false" ht="15" hidden="false" customHeight="false" outlineLevel="0" collapsed="false">
      <c r="A27" s="13" t="s">
        <v>91</v>
      </c>
      <c r="B27" s="13" t="s">
        <v>175</v>
      </c>
      <c r="C27" s="13" t="n">
        <v>0</v>
      </c>
      <c r="D27" s="13" t="n">
        <v>0</v>
      </c>
      <c r="E27" s="13" t="n">
        <v>0</v>
      </c>
      <c r="F27" s="13" t="n">
        <v>0</v>
      </c>
      <c r="G27" s="17" t="n">
        <v>0</v>
      </c>
      <c r="H27" s="13" t="n">
        <v>1</v>
      </c>
      <c r="I27" s="13" t="n">
        <v>0</v>
      </c>
      <c r="J27" s="13" t="n">
        <v>0</v>
      </c>
      <c r="K27" s="13" t="n">
        <v>1</v>
      </c>
      <c r="L27" s="17" t="n">
        <v>0</v>
      </c>
      <c r="M27" s="18" t="n">
        <f aca="false">IF(H27=0,"",I27/H27)</f>
        <v>0</v>
      </c>
    </row>
    <row r="28" customFormat="false" ht="15" hidden="false" customHeight="false" outlineLevel="0" collapsed="false">
      <c r="A28" s="13" t="s">
        <v>91</v>
      </c>
      <c r="B28" s="13" t="s">
        <v>176</v>
      </c>
      <c r="C28" s="13" t="n">
        <v>0</v>
      </c>
      <c r="D28" s="13" t="n">
        <v>0</v>
      </c>
      <c r="E28" s="13" t="n">
        <v>0</v>
      </c>
      <c r="F28" s="13" t="n">
        <v>0</v>
      </c>
      <c r="G28" s="17" t="n">
        <v>0</v>
      </c>
      <c r="H28" s="13" t="n">
        <v>4</v>
      </c>
      <c r="I28" s="13" t="n">
        <v>0</v>
      </c>
      <c r="J28" s="13" t="n">
        <v>0</v>
      </c>
      <c r="K28" s="13" t="n">
        <v>0</v>
      </c>
      <c r="L28" s="17" t="n">
        <v>0</v>
      </c>
      <c r="M28" s="18" t="n">
        <f aca="false">IF(H28=0,"",I28/H28)</f>
        <v>0</v>
      </c>
    </row>
    <row r="29" customFormat="false" ht="15" hidden="false" customHeight="false" outlineLevel="0" collapsed="false">
      <c r="A29" s="13" t="s">
        <v>133</v>
      </c>
      <c r="B29" s="13" t="s">
        <v>172</v>
      </c>
      <c r="C29" s="13" t="n">
        <v>0</v>
      </c>
      <c r="D29" s="13" t="n">
        <v>0</v>
      </c>
      <c r="E29" s="13" t="n">
        <v>0</v>
      </c>
      <c r="F29" s="13" t="n">
        <v>0</v>
      </c>
      <c r="G29" s="17" t="n">
        <v>0</v>
      </c>
      <c r="H29" s="13" t="n">
        <v>22</v>
      </c>
      <c r="I29" s="13" t="n">
        <v>9</v>
      </c>
      <c r="J29" s="13" t="n">
        <v>13</v>
      </c>
      <c r="K29" s="13" t="n">
        <v>0</v>
      </c>
      <c r="L29" s="17" t="n">
        <v>0.0135584</v>
      </c>
      <c r="M29" s="18" t="n">
        <f aca="false">IF(H29=0,"",I29/H29)</f>
        <v>0.409090909090909</v>
      </c>
    </row>
    <row r="30" customFormat="false" ht="15" hidden="false" customHeight="false" outlineLevel="0" collapsed="false">
      <c r="A30" s="13" t="s">
        <v>133</v>
      </c>
      <c r="B30" s="13" t="s">
        <v>173</v>
      </c>
      <c r="C30" s="13" t="n">
        <v>0</v>
      </c>
      <c r="D30" s="13" t="n">
        <v>0</v>
      </c>
      <c r="E30" s="13" t="n">
        <v>0</v>
      </c>
      <c r="F30" s="13" t="n">
        <v>0</v>
      </c>
      <c r="G30" s="17" t="n">
        <v>0</v>
      </c>
      <c r="H30" s="13" t="n">
        <v>38</v>
      </c>
      <c r="I30" s="13" t="n">
        <v>0</v>
      </c>
      <c r="J30" s="13" t="n">
        <v>38</v>
      </c>
      <c r="K30" s="13" t="n">
        <v>0</v>
      </c>
      <c r="L30" s="17" t="n">
        <v>0</v>
      </c>
      <c r="M30" s="18" t="n">
        <f aca="false">IF(H30=0,"",I30/H30)</f>
        <v>0</v>
      </c>
    </row>
    <row r="31" customFormat="false" ht="15" hidden="false" customHeight="false" outlineLevel="0" collapsed="false">
      <c r="A31" s="13" t="s">
        <v>133</v>
      </c>
      <c r="B31" s="13" t="s">
        <v>176</v>
      </c>
      <c r="C31" s="13" t="n">
        <v>0</v>
      </c>
      <c r="D31" s="13" t="n">
        <v>0</v>
      </c>
      <c r="E31" s="13" t="n">
        <v>0</v>
      </c>
      <c r="F31" s="13" t="n">
        <v>0</v>
      </c>
      <c r="G31" s="17" t="n">
        <v>0</v>
      </c>
      <c r="H31" s="13" t="n">
        <v>12</v>
      </c>
      <c r="I31" s="13" t="n">
        <v>0</v>
      </c>
      <c r="J31" s="13" t="n">
        <v>0</v>
      </c>
      <c r="K31" s="13" t="n">
        <v>0</v>
      </c>
      <c r="L31" s="17" t="n">
        <v>0</v>
      </c>
      <c r="M31" s="18" t="n">
        <f aca="false">IF(H31=0,"",I31/H31)</f>
        <v>0</v>
      </c>
    </row>
    <row r="32" customFormat="false" ht="15" hidden="false" customHeight="false" outlineLevel="0" collapsed="false">
      <c r="A32" s="13" t="s">
        <v>113</v>
      </c>
      <c r="B32" s="13" t="s">
        <v>169</v>
      </c>
      <c r="C32" s="13" t="n">
        <v>0</v>
      </c>
      <c r="D32" s="13" t="n">
        <v>0</v>
      </c>
      <c r="E32" s="13" t="n">
        <v>0</v>
      </c>
      <c r="F32" s="13" t="n">
        <v>0</v>
      </c>
      <c r="G32" s="17" t="n">
        <v>0</v>
      </c>
      <c r="H32" s="13" t="n">
        <v>0</v>
      </c>
      <c r="I32" s="13" t="n">
        <v>0</v>
      </c>
      <c r="J32" s="13" t="n">
        <v>4</v>
      </c>
      <c r="K32" s="13" t="n">
        <v>0</v>
      </c>
      <c r="L32" s="17" t="n">
        <v>0</v>
      </c>
      <c r="M32" s="18" t="str">
        <f aca="false">IF(H32=0,"",I32/H32)</f>
        <v/>
      </c>
    </row>
    <row r="33" customFormat="false" ht="15" hidden="false" customHeight="false" outlineLevel="0" collapsed="false">
      <c r="A33" s="13" t="s">
        <v>113</v>
      </c>
      <c r="B33" s="13" t="s">
        <v>170</v>
      </c>
      <c r="C33" s="13" t="n">
        <v>0</v>
      </c>
      <c r="D33" s="13" t="n">
        <v>0</v>
      </c>
      <c r="E33" s="13" t="n">
        <v>0</v>
      </c>
      <c r="F33" s="13" t="n">
        <v>0</v>
      </c>
      <c r="G33" s="17" t="n">
        <v>0</v>
      </c>
      <c r="H33" s="13" t="n">
        <v>14</v>
      </c>
      <c r="I33" s="13" t="n">
        <v>3</v>
      </c>
      <c r="J33" s="13" t="n">
        <v>0</v>
      </c>
      <c r="K33" s="13" t="n">
        <v>7</v>
      </c>
      <c r="L33" s="17" t="n">
        <v>0</v>
      </c>
      <c r="M33" s="18" t="n">
        <f aca="false">IF(H33=0,"",I33/H33)</f>
        <v>0.214285714285714</v>
      </c>
    </row>
    <row r="34" customFormat="false" ht="15" hidden="false" customHeight="false" outlineLevel="0" collapsed="false">
      <c r="A34" s="13" t="s">
        <v>113</v>
      </c>
      <c r="B34" s="13" t="s">
        <v>171</v>
      </c>
      <c r="C34" s="13" t="n">
        <v>0</v>
      </c>
      <c r="D34" s="13" t="n">
        <v>0</v>
      </c>
      <c r="E34" s="13" t="n">
        <v>0</v>
      </c>
      <c r="F34" s="13" t="n">
        <v>0</v>
      </c>
      <c r="G34" s="17" t="n">
        <v>0</v>
      </c>
      <c r="H34" s="13" t="n">
        <v>23</v>
      </c>
      <c r="I34" s="13" t="n">
        <v>0</v>
      </c>
      <c r="J34" s="13" t="n">
        <v>18</v>
      </c>
      <c r="K34" s="13" t="n">
        <v>0</v>
      </c>
      <c r="L34" s="17" t="n">
        <v>0.00279909</v>
      </c>
      <c r="M34" s="18" t="n">
        <f aca="false">IF(H34=0,"",I34/H34)</f>
        <v>0</v>
      </c>
    </row>
    <row r="35" customFormat="false" ht="15" hidden="false" customHeight="false" outlineLevel="0" collapsed="false">
      <c r="A35" s="13" t="s">
        <v>113</v>
      </c>
      <c r="B35" s="13" t="s">
        <v>172</v>
      </c>
      <c r="C35" s="13" t="n">
        <v>0</v>
      </c>
      <c r="D35" s="13" t="n">
        <v>0</v>
      </c>
      <c r="E35" s="13" t="n">
        <v>0</v>
      </c>
      <c r="F35" s="13" t="n">
        <v>0</v>
      </c>
      <c r="G35" s="17" t="n">
        <v>0</v>
      </c>
      <c r="H35" s="13" t="n">
        <v>133</v>
      </c>
      <c r="I35" s="13" t="n">
        <v>0</v>
      </c>
      <c r="J35" s="13" t="n">
        <v>132</v>
      </c>
      <c r="K35" s="13" t="n">
        <v>0</v>
      </c>
      <c r="L35" s="17" t="n">
        <v>0.0854990666666667</v>
      </c>
      <c r="M35" s="18" t="n">
        <f aca="false">IF(H35=0,"",I35/H35)</f>
        <v>0</v>
      </c>
    </row>
    <row r="36" customFormat="false" ht="15" hidden="false" customHeight="false" outlineLevel="0" collapsed="false">
      <c r="A36" s="13" t="s">
        <v>113</v>
      </c>
      <c r="B36" s="13" t="s">
        <v>173</v>
      </c>
      <c r="C36" s="13" t="n">
        <v>0</v>
      </c>
      <c r="D36" s="13" t="n">
        <v>0</v>
      </c>
      <c r="E36" s="13" t="n">
        <v>0</v>
      </c>
      <c r="F36" s="13" t="n">
        <v>0</v>
      </c>
      <c r="G36" s="17" t="n">
        <v>0</v>
      </c>
      <c r="H36" s="13" t="n">
        <v>16</v>
      </c>
      <c r="I36" s="13" t="n">
        <v>2</v>
      </c>
      <c r="J36" s="13" t="n">
        <v>14</v>
      </c>
      <c r="K36" s="13" t="n">
        <v>0</v>
      </c>
      <c r="L36" s="17" t="n">
        <v>0.0312716</v>
      </c>
      <c r="M36" s="18" t="n">
        <f aca="false">IF(H36=0,"",I36/H36)</f>
        <v>0.125</v>
      </c>
    </row>
    <row r="37" customFormat="false" ht="15" hidden="false" customHeight="false" outlineLevel="0" collapsed="false">
      <c r="A37" s="13" t="s">
        <v>113</v>
      </c>
      <c r="B37" s="13" t="s">
        <v>175</v>
      </c>
      <c r="C37" s="13" t="n">
        <v>0</v>
      </c>
      <c r="D37" s="13" t="n">
        <v>0</v>
      </c>
      <c r="E37" s="13" t="n">
        <v>0</v>
      </c>
      <c r="F37" s="13" t="n">
        <v>0</v>
      </c>
      <c r="G37" s="17" t="n">
        <v>0</v>
      </c>
      <c r="H37" s="13" t="n">
        <v>12</v>
      </c>
      <c r="I37" s="13" t="n">
        <v>0</v>
      </c>
      <c r="J37" s="13" t="n">
        <v>0</v>
      </c>
      <c r="K37" s="13" t="n">
        <v>12</v>
      </c>
      <c r="L37" s="17" t="n">
        <v>0</v>
      </c>
      <c r="M37" s="18" t="n">
        <f aca="false">IF(H37=0,"",I37/H37)</f>
        <v>0</v>
      </c>
    </row>
    <row r="38" customFormat="false" ht="15" hidden="false" customHeight="false" outlineLevel="0" collapsed="false">
      <c r="A38" s="13" t="s">
        <v>113</v>
      </c>
      <c r="B38" s="13" t="s">
        <v>176</v>
      </c>
      <c r="C38" s="13" t="n">
        <v>0</v>
      </c>
      <c r="D38" s="13" t="n">
        <v>0</v>
      </c>
      <c r="E38" s="13" t="n">
        <v>0</v>
      </c>
      <c r="F38" s="13" t="n">
        <v>0</v>
      </c>
      <c r="G38" s="17" t="n">
        <v>0</v>
      </c>
      <c r="H38" s="13" t="n">
        <v>46</v>
      </c>
      <c r="I38" s="13" t="n">
        <v>0</v>
      </c>
      <c r="J38" s="13" t="n">
        <v>0</v>
      </c>
      <c r="K38" s="13" t="n">
        <v>0</v>
      </c>
      <c r="L38" s="17" t="n">
        <v>0</v>
      </c>
      <c r="M38" s="18" t="n">
        <f aca="false">IF(H38=0,"",I38/H38)</f>
        <v>0</v>
      </c>
    </row>
    <row r="39" customFormat="false" ht="15" hidden="false" customHeight="false" outlineLevel="0" collapsed="false">
      <c r="A39" s="13" t="s">
        <v>117</v>
      </c>
      <c r="B39" s="13" t="s">
        <v>169</v>
      </c>
      <c r="C39" s="13" t="n">
        <v>0</v>
      </c>
      <c r="D39" s="13" t="n">
        <v>0</v>
      </c>
      <c r="E39" s="13" t="n">
        <v>0</v>
      </c>
      <c r="F39" s="13" t="n">
        <v>0</v>
      </c>
      <c r="G39" s="17" t="n">
        <v>0</v>
      </c>
      <c r="H39" s="13" t="n">
        <v>27</v>
      </c>
      <c r="I39" s="13" t="n">
        <v>0</v>
      </c>
      <c r="J39" s="13" t="n">
        <v>27</v>
      </c>
      <c r="K39" s="13" t="n">
        <v>54</v>
      </c>
      <c r="L39" s="17" t="n">
        <v>0</v>
      </c>
      <c r="M39" s="18" t="n">
        <f aca="false">IF(H39=0,"",I39/H39)</f>
        <v>0</v>
      </c>
    </row>
    <row r="40" customFormat="false" ht="15" hidden="false" customHeight="false" outlineLevel="0" collapsed="false">
      <c r="A40" s="13" t="s">
        <v>117</v>
      </c>
      <c r="B40" s="13" t="s">
        <v>170</v>
      </c>
      <c r="C40" s="13" t="n">
        <v>0</v>
      </c>
      <c r="D40" s="13" t="n">
        <v>0</v>
      </c>
      <c r="E40" s="13" t="n">
        <v>0</v>
      </c>
      <c r="F40" s="13" t="n">
        <v>0</v>
      </c>
      <c r="G40" s="17" t="n">
        <v>0</v>
      </c>
      <c r="H40" s="13" t="n">
        <v>27</v>
      </c>
      <c r="I40" s="13" t="n">
        <v>0</v>
      </c>
      <c r="J40" s="13" t="n">
        <v>0</v>
      </c>
      <c r="K40" s="13" t="n">
        <v>0</v>
      </c>
      <c r="L40" s="17" t="n">
        <v>0</v>
      </c>
      <c r="M40" s="18" t="n">
        <f aca="false">IF(H40=0,"",I40/H40)</f>
        <v>0</v>
      </c>
    </row>
    <row r="41" customFormat="false" ht="15" hidden="false" customHeight="false" outlineLevel="0" collapsed="false">
      <c r="A41" s="13" t="s">
        <v>117</v>
      </c>
      <c r="B41" s="13" t="s">
        <v>172</v>
      </c>
      <c r="C41" s="13" t="n">
        <v>0</v>
      </c>
      <c r="D41" s="13" t="n">
        <v>0</v>
      </c>
      <c r="E41" s="13" t="n">
        <v>0</v>
      </c>
      <c r="F41" s="13" t="n">
        <v>0</v>
      </c>
      <c r="G41" s="17" t="n">
        <v>0</v>
      </c>
      <c r="H41" s="13" t="n">
        <v>165</v>
      </c>
      <c r="I41" s="13" t="n">
        <v>27</v>
      </c>
      <c r="J41" s="13" t="n">
        <v>138</v>
      </c>
      <c r="K41" s="13" t="n">
        <v>0</v>
      </c>
      <c r="L41" s="17" t="n">
        <v>0.0184961333333333</v>
      </c>
      <c r="M41" s="18" t="n">
        <f aca="false">IF(H41=0,"",I41/H41)</f>
        <v>0.163636363636364</v>
      </c>
    </row>
    <row r="42" customFormat="false" ht="15" hidden="false" customHeight="false" outlineLevel="0" collapsed="false">
      <c r="A42" s="13" t="s">
        <v>117</v>
      </c>
      <c r="B42" s="13" t="s">
        <v>173</v>
      </c>
      <c r="C42" s="13" t="n">
        <v>0</v>
      </c>
      <c r="D42" s="13" t="n">
        <v>0</v>
      </c>
      <c r="E42" s="13" t="n">
        <v>0</v>
      </c>
      <c r="F42" s="13" t="n">
        <v>0</v>
      </c>
      <c r="G42" s="17" t="n">
        <v>0</v>
      </c>
      <c r="H42" s="13" t="n">
        <v>2</v>
      </c>
      <c r="I42" s="13" t="n">
        <v>1</v>
      </c>
      <c r="J42" s="13" t="n">
        <v>1</v>
      </c>
      <c r="K42" s="13" t="n">
        <v>0</v>
      </c>
      <c r="L42" s="17" t="n">
        <v>0.0117632</v>
      </c>
      <c r="M42" s="18" t="n">
        <f aca="false">IF(H42=0,"",I42/H42)</f>
        <v>0.5</v>
      </c>
    </row>
    <row r="43" customFormat="false" ht="15" hidden="false" customHeight="false" outlineLevel="0" collapsed="false">
      <c r="A43" s="13" t="s">
        <v>117</v>
      </c>
      <c r="B43" s="13" t="s">
        <v>174</v>
      </c>
      <c r="C43" s="13" t="n">
        <v>0</v>
      </c>
      <c r="D43" s="13" t="n">
        <v>0</v>
      </c>
      <c r="E43" s="13" t="n">
        <v>0</v>
      </c>
      <c r="F43" s="13" t="n">
        <v>0</v>
      </c>
      <c r="G43" s="17" t="n">
        <v>0</v>
      </c>
      <c r="H43" s="13" t="n">
        <v>10</v>
      </c>
      <c r="I43" s="13" t="n">
        <v>8</v>
      </c>
      <c r="J43" s="13" t="n">
        <v>0</v>
      </c>
      <c r="K43" s="13" t="n">
        <v>0</v>
      </c>
      <c r="L43" s="17" t="n">
        <v>0.0025695</v>
      </c>
      <c r="M43" s="18" t="n">
        <f aca="false">IF(H43=0,"",I43/H43)</f>
        <v>0.8</v>
      </c>
    </row>
    <row r="44" customFormat="false" ht="15" hidden="false" customHeight="false" outlineLevel="0" collapsed="false">
      <c r="A44" s="13" t="s">
        <v>117</v>
      </c>
      <c r="B44" s="13" t="s">
        <v>175</v>
      </c>
      <c r="C44" s="13" t="n">
        <v>0</v>
      </c>
      <c r="D44" s="13" t="n">
        <v>0</v>
      </c>
      <c r="E44" s="13" t="n">
        <v>0</v>
      </c>
      <c r="F44" s="13" t="n">
        <v>0</v>
      </c>
      <c r="G44" s="17" t="n">
        <v>0</v>
      </c>
      <c r="H44" s="13" t="n">
        <v>12</v>
      </c>
      <c r="I44" s="13" t="n">
        <v>0</v>
      </c>
      <c r="J44" s="13" t="n">
        <v>0</v>
      </c>
      <c r="K44" s="13" t="n">
        <v>12</v>
      </c>
      <c r="L44" s="17" t="n">
        <v>0</v>
      </c>
      <c r="M44" s="18" t="n">
        <f aca="false">IF(H44=0,"",I44/H44)</f>
        <v>0</v>
      </c>
    </row>
    <row r="45" customFormat="false" ht="15" hidden="false" customHeight="false" outlineLevel="0" collapsed="false">
      <c r="A45" s="13" t="s">
        <v>117</v>
      </c>
      <c r="B45" s="13" t="s">
        <v>176</v>
      </c>
      <c r="C45" s="13" t="n">
        <v>0</v>
      </c>
      <c r="D45" s="13" t="n">
        <v>0</v>
      </c>
      <c r="E45" s="13" t="n">
        <v>0</v>
      </c>
      <c r="F45" s="13" t="n">
        <v>0</v>
      </c>
      <c r="G45" s="17" t="n">
        <v>0</v>
      </c>
      <c r="H45" s="13" t="n">
        <v>47</v>
      </c>
      <c r="I45" s="13" t="n">
        <v>0</v>
      </c>
      <c r="J45" s="13" t="n">
        <v>0</v>
      </c>
      <c r="K45" s="13" t="n">
        <v>0</v>
      </c>
      <c r="L45" s="17" t="n">
        <v>0</v>
      </c>
      <c r="M45" s="18" t="n">
        <f aca="false">IF(H45=0,"",I45/H45)</f>
        <v>0</v>
      </c>
    </row>
    <row r="46" customFormat="false" ht="15" hidden="false" customHeight="false" outlineLevel="0" collapsed="false">
      <c r="A46" s="13" t="s">
        <v>81</v>
      </c>
      <c r="B46" s="13" t="s">
        <v>170</v>
      </c>
      <c r="C46" s="13" t="n">
        <v>0</v>
      </c>
      <c r="D46" s="13" t="n">
        <v>0</v>
      </c>
      <c r="E46" s="13" t="n">
        <v>0</v>
      </c>
      <c r="F46" s="13" t="n">
        <v>0</v>
      </c>
      <c r="G46" s="17" t="n">
        <v>0</v>
      </c>
      <c r="H46" s="13" t="n">
        <v>26</v>
      </c>
      <c r="I46" s="13" t="n">
        <v>17</v>
      </c>
      <c r="J46" s="13" t="n">
        <v>9</v>
      </c>
      <c r="K46" s="13" t="n">
        <v>0</v>
      </c>
      <c r="L46" s="17" t="n">
        <v>0</v>
      </c>
      <c r="M46" s="18" t="n">
        <f aca="false">IF(H46=0,"",I46/H46)</f>
        <v>0.653846153846154</v>
      </c>
    </row>
    <row r="47" customFormat="false" ht="15" hidden="false" customHeight="false" outlineLevel="0" collapsed="false">
      <c r="A47" s="13" t="s">
        <v>81</v>
      </c>
      <c r="B47" s="13" t="s">
        <v>172</v>
      </c>
      <c r="C47" s="13" t="n">
        <v>0</v>
      </c>
      <c r="D47" s="13" t="n">
        <v>0</v>
      </c>
      <c r="E47" s="13" t="n">
        <v>0</v>
      </c>
      <c r="F47" s="13" t="n">
        <v>0</v>
      </c>
      <c r="G47" s="17" t="n">
        <v>0</v>
      </c>
      <c r="H47" s="13" t="n">
        <v>205</v>
      </c>
      <c r="I47" s="13" t="n">
        <v>82</v>
      </c>
      <c r="J47" s="13" t="n">
        <v>123</v>
      </c>
      <c r="K47" s="13" t="n">
        <v>0</v>
      </c>
      <c r="L47" s="17" t="n">
        <v>0.1332128</v>
      </c>
      <c r="M47" s="18" t="n">
        <f aca="false">IF(H47=0,"",I47/H47)</f>
        <v>0.4</v>
      </c>
    </row>
    <row r="48" customFormat="false" ht="15" hidden="false" customHeight="false" outlineLevel="0" collapsed="false">
      <c r="A48" s="13" t="s">
        <v>81</v>
      </c>
      <c r="B48" s="13" t="s">
        <v>173</v>
      </c>
      <c r="C48" s="13" t="n">
        <v>0</v>
      </c>
      <c r="D48" s="13" t="n">
        <v>0</v>
      </c>
      <c r="E48" s="13" t="n">
        <v>0</v>
      </c>
      <c r="F48" s="13" t="n">
        <v>0</v>
      </c>
      <c r="G48" s="17" t="n">
        <v>0</v>
      </c>
      <c r="H48" s="13" t="n">
        <v>74</v>
      </c>
      <c r="I48" s="13" t="n">
        <v>72</v>
      </c>
      <c r="J48" s="13" t="n">
        <v>2</v>
      </c>
      <c r="K48" s="13" t="n">
        <v>0</v>
      </c>
      <c r="L48" s="17" t="n">
        <v>0.1499612</v>
      </c>
      <c r="M48" s="18" t="n">
        <f aca="false">IF(H48=0,"",I48/H48)</f>
        <v>0.972972972972973</v>
      </c>
    </row>
    <row r="49" customFormat="false" ht="15" hidden="false" customHeight="false" outlineLevel="0" collapsed="false">
      <c r="A49" s="13" t="s">
        <v>81</v>
      </c>
      <c r="B49" s="13" t="s">
        <v>174</v>
      </c>
      <c r="C49" s="13" t="n">
        <v>0</v>
      </c>
      <c r="D49" s="13" t="n">
        <v>0</v>
      </c>
      <c r="E49" s="13" t="n">
        <v>0</v>
      </c>
      <c r="F49" s="13" t="n">
        <v>0</v>
      </c>
      <c r="G49" s="17" t="n">
        <v>0</v>
      </c>
      <c r="H49" s="13" t="n">
        <v>1</v>
      </c>
      <c r="I49" s="13" t="n">
        <v>1</v>
      </c>
      <c r="J49" s="13" t="n">
        <v>0</v>
      </c>
      <c r="K49" s="13" t="n">
        <v>0</v>
      </c>
      <c r="L49" s="17" t="n">
        <v>0</v>
      </c>
      <c r="M49" s="18" t="n">
        <f aca="false">IF(H49=0,"",I49/H49)</f>
        <v>1</v>
      </c>
    </row>
    <row r="50" customFormat="false" ht="15" hidden="false" customHeight="false" outlineLevel="0" collapsed="false">
      <c r="A50" s="13" t="s">
        <v>81</v>
      </c>
      <c r="B50" s="13" t="s">
        <v>175</v>
      </c>
      <c r="C50" s="13" t="n">
        <v>0</v>
      </c>
      <c r="D50" s="13" t="n">
        <v>0</v>
      </c>
      <c r="E50" s="13" t="n">
        <v>0</v>
      </c>
      <c r="F50" s="13" t="n">
        <v>0</v>
      </c>
      <c r="G50" s="17" t="n">
        <v>0</v>
      </c>
      <c r="H50" s="13" t="n">
        <v>2</v>
      </c>
      <c r="I50" s="13" t="n">
        <v>0</v>
      </c>
      <c r="J50" s="13" t="n">
        <v>0</v>
      </c>
      <c r="K50" s="13" t="n">
        <v>2</v>
      </c>
      <c r="L50" s="17" t="n">
        <v>0</v>
      </c>
      <c r="M50" s="18" t="n">
        <f aca="false">IF(H50=0,"",I50/H50)</f>
        <v>0</v>
      </c>
    </row>
    <row r="51" customFormat="false" ht="15" hidden="false" customHeight="false" outlineLevel="0" collapsed="false">
      <c r="A51" s="13" t="s">
        <v>81</v>
      </c>
      <c r="B51" s="13" t="s">
        <v>176</v>
      </c>
      <c r="C51" s="13" t="n">
        <v>0</v>
      </c>
      <c r="D51" s="13" t="n">
        <v>0</v>
      </c>
      <c r="E51" s="13" t="n">
        <v>0</v>
      </c>
      <c r="F51" s="13" t="n">
        <v>0</v>
      </c>
      <c r="G51" s="17" t="n">
        <v>0</v>
      </c>
      <c r="H51" s="13" t="n">
        <v>83</v>
      </c>
      <c r="I51" s="13" t="n">
        <v>0</v>
      </c>
      <c r="J51" s="13" t="n">
        <v>0</v>
      </c>
      <c r="K51" s="13" t="n">
        <v>0</v>
      </c>
      <c r="L51" s="17" t="n">
        <v>0</v>
      </c>
      <c r="M51" s="18" t="n">
        <f aca="false">IF(H51=0,"",I51/H51)</f>
        <v>0</v>
      </c>
    </row>
    <row r="52" customFormat="false" ht="15" hidden="false" customHeight="false" outlineLevel="0" collapsed="false">
      <c r="A52" s="13" t="s">
        <v>71</v>
      </c>
      <c r="B52" s="13" t="s">
        <v>170</v>
      </c>
      <c r="C52" s="13" t="n">
        <v>0</v>
      </c>
      <c r="D52" s="13" t="n">
        <v>0</v>
      </c>
      <c r="E52" s="13" t="n">
        <v>0</v>
      </c>
      <c r="F52" s="13" t="n">
        <v>0</v>
      </c>
      <c r="G52" s="17" t="n">
        <v>0</v>
      </c>
      <c r="H52" s="13" t="n">
        <v>50</v>
      </c>
      <c r="I52" s="13" t="n">
        <v>50</v>
      </c>
      <c r="J52" s="13" t="n">
        <v>0</v>
      </c>
      <c r="K52" s="13" t="n">
        <v>0</v>
      </c>
      <c r="L52" s="17" t="n">
        <v>0</v>
      </c>
      <c r="M52" s="18" t="n">
        <f aca="false">IF(H52=0,"",I52/H52)</f>
        <v>1</v>
      </c>
    </row>
    <row r="53" customFormat="false" ht="15" hidden="false" customHeight="false" outlineLevel="0" collapsed="false">
      <c r="A53" s="13" t="s">
        <v>71</v>
      </c>
      <c r="B53" s="13" t="s">
        <v>172</v>
      </c>
      <c r="C53" s="13" t="n">
        <v>0</v>
      </c>
      <c r="D53" s="13" t="n">
        <v>0</v>
      </c>
      <c r="E53" s="13" t="n">
        <v>0</v>
      </c>
      <c r="F53" s="13" t="n">
        <v>0</v>
      </c>
      <c r="G53" s="17" t="n">
        <v>0</v>
      </c>
      <c r="H53" s="13" t="n">
        <v>226</v>
      </c>
      <c r="I53" s="13" t="n">
        <v>69</v>
      </c>
      <c r="J53" s="13" t="n">
        <v>152</v>
      </c>
      <c r="K53" s="13" t="n">
        <v>0</v>
      </c>
      <c r="L53" s="17" t="n">
        <v>0.1493629</v>
      </c>
      <c r="M53" s="18" t="n">
        <f aca="false">IF(H53=0,"",I53/H53)</f>
        <v>0.305309734513274</v>
      </c>
    </row>
    <row r="54" customFormat="false" ht="15" hidden="false" customHeight="false" outlineLevel="0" collapsed="false">
      <c r="A54" s="13" t="s">
        <v>71</v>
      </c>
      <c r="B54" s="13" t="s">
        <v>173</v>
      </c>
      <c r="C54" s="13" t="n">
        <v>0</v>
      </c>
      <c r="D54" s="13" t="n">
        <v>0</v>
      </c>
      <c r="E54" s="13" t="n">
        <v>0</v>
      </c>
      <c r="F54" s="13" t="n">
        <v>0</v>
      </c>
      <c r="G54" s="17" t="n">
        <v>0</v>
      </c>
      <c r="H54" s="13" t="n">
        <v>54</v>
      </c>
      <c r="I54" s="13" t="n">
        <v>38</v>
      </c>
      <c r="J54" s="13" t="n">
        <v>16</v>
      </c>
      <c r="K54" s="13" t="n">
        <v>0</v>
      </c>
      <c r="L54" s="17" t="n">
        <v>0.0776004</v>
      </c>
      <c r="M54" s="18" t="n">
        <f aca="false">IF(H54=0,"",I54/H54)</f>
        <v>0.703703703703704</v>
      </c>
    </row>
    <row r="55" customFormat="false" ht="15" hidden="false" customHeight="false" outlineLevel="0" collapsed="false">
      <c r="A55" s="13" t="s">
        <v>71</v>
      </c>
      <c r="B55" s="13" t="s">
        <v>175</v>
      </c>
      <c r="C55" s="13" t="n">
        <v>0</v>
      </c>
      <c r="D55" s="13" t="n">
        <v>0</v>
      </c>
      <c r="E55" s="13" t="n">
        <v>0</v>
      </c>
      <c r="F55" s="13" t="n">
        <v>0</v>
      </c>
      <c r="G55" s="17" t="n">
        <v>0</v>
      </c>
      <c r="H55" s="13" t="n">
        <v>5</v>
      </c>
      <c r="I55" s="13" t="n">
        <v>0</v>
      </c>
      <c r="J55" s="13" t="n">
        <v>0</v>
      </c>
      <c r="K55" s="13" t="n">
        <v>6</v>
      </c>
      <c r="L55" s="17" t="n">
        <v>0</v>
      </c>
      <c r="M55" s="18" t="n">
        <f aca="false">IF(H55=0,"",I55/H55)</f>
        <v>0</v>
      </c>
    </row>
    <row r="56" customFormat="false" ht="15" hidden="false" customHeight="false" outlineLevel="0" collapsed="false">
      <c r="A56" s="13" t="s">
        <v>71</v>
      </c>
      <c r="B56" s="13" t="s">
        <v>176</v>
      </c>
      <c r="C56" s="13" t="n">
        <v>0</v>
      </c>
      <c r="D56" s="13" t="n">
        <v>0</v>
      </c>
      <c r="E56" s="13" t="n">
        <v>0</v>
      </c>
      <c r="F56" s="13" t="n">
        <v>0</v>
      </c>
      <c r="G56" s="17" t="n">
        <v>0</v>
      </c>
      <c r="H56" s="13" t="n">
        <v>102</v>
      </c>
      <c r="I56" s="13" t="n">
        <v>0</v>
      </c>
      <c r="J56" s="13" t="n">
        <v>0</v>
      </c>
      <c r="K56" s="13" t="n">
        <v>0</v>
      </c>
      <c r="L56" s="17" t="n">
        <v>0</v>
      </c>
      <c r="M56" s="18" t="n">
        <f aca="false">IF(H56=0,"",I56/H56)</f>
        <v>0</v>
      </c>
    </row>
    <row r="57" customFormat="false" ht="15" hidden="false" customHeight="false" outlineLevel="0" collapsed="false">
      <c r="A57" s="13" t="s">
        <v>89</v>
      </c>
      <c r="B57" s="13" t="s">
        <v>170</v>
      </c>
      <c r="C57" s="13" t="n">
        <v>0</v>
      </c>
      <c r="D57" s="13" t="n">
        <v>0</v>
      </c>
      <c r="E57" s="13" t="n">
        <v>0</v>
      </c>
      <c r="F57" s="13" t="n">
        <v>0</v>
      </c>
      <c r="G57" s="17" t="n">
        <v>0</v>
      </c>
      <c r="H57" s="13" t="n">
        <v>67</v>
      </c>
      <c r="I57" s="13" t="n">
        <v>1</v>
      </c>
      <c r="J57" s="13" t="n">
        <v>66</v>
      </c>
      <c r="K57" s="13" t="n">
        <v>0</v>
      </c>
      <c r="L57" s="17" t="n">
        <v>0</v>
      </c>
      <c r="M57" s="18" t="n">
        <f aca="false">IF(H57=0,"",I57/H57)</f>
        <v>0.0149253731343284</v>
      </c>
    </row>
    <row r="58" customFormat="false" ht="15" hidden="false" customHeight="false" outlineLevel="0" collapsed="false">
      <c r="A58" s="13" t="s">
        <v>89</v>
      </c>
      <c r="B58" s="13" t="s">
        <v>172</v>
      </c>
      <c r="C58" s="13" t="n">
        <v>0</v>
      </c>
      <c r="D58" s="13" t="n">
        <v>0</v>
      </c>
      <c r="E58" s="13" t="n">
        <v>0</v>
      </c>
      <c r="F58" s="13" t="n">
        <v>0</v>
      </c>
      <c r="G58" s="17" t="n">
        <v>0</v>
      </c>
      <c r="H58" s="13" t="n">
        <v>377</v>
      </c>
      <c r="I58" s="13" t="n">
        <v>9</v>
      </c>
      <c r="J58" s="13" t="n">
        <v>368</v>
      </c>
      <c r="K58" s="13" t="n">
        <v>0</v>
      </c>
      <c r="L58" s="17" t="n">
        <v>0.0831766</v>
      </c>
      <c r="M58" s="18" t="n">
        <f aca="false">IF(H58=0,"",I58/H58)</f>
        <v>0.0238726790450928</v>
      </c>
    </row>
    <row r="59" customFormat="false" ht="15" hidden="false" customHeight="false" outlineLevel="0" collapsed="false">
      <c r="A59" s="13" t="s">
        <v>89</v>
      </c>
      <c r="B59" s="13" t="s">
        <v>173</v>
      </c>
      <c r="C59" s="13" t="n">
        <v>0</v>
      </c>
      <c r="D59" s="13" t="n">
        <v>0</v>
      </c>
      <c r="E59" s="13" t="n">
        <v>0</v>
      </c>
      <c r="F59" s="13" t="n">
        <v>0</v>
      </c>
      <c r="G59" s="17" t="n">
        <v>0</v>
      </c>
      <c r="H59" s="13" t="n">
        <v>73</v>
      </c>
      <c r="I59" s="13" t="n">
        <v>42</v>
      </c>
      <c r="J59" s="13" t="n">
        <v>31</v>
      </c>
      <c r="K59" s="13" t="n">
        <v>0</v>
      </c>
      <c r="L59" s="17" t="n">
        <v>0.1782212</v>
      </c>
      <c r="M59" s="18" t="n">
        <f aca="false">IF(H59=0,"",I59/H59)</f>
        <v>0.575342465753425</v>
      </c>
    </row>
    <row r="60" customFormat="false" ht="15" hidden="false" customHeight="false" outlineLevel="0" collapsed="false">
      <c r="A60" s="13" t="s">
        <v>89</v>
      </c>
      <c r="B60" s="13" t="s">
        <v>176</v>
      </c>
      <c r="C60" s="13" t="n">
        <v>0</v>
      </c>
      <c r="D60" s="13" t="n">
        <v>0</v>
      </c>
      <c r="E60" s="13" t="n">
        <v>0</v>
      </c>
      <c r="F60" s="13" t="n">
        <v>0</v>
      </c>
      <c r="G60" s="17" t="n">
        <v>0</v>
      </c>
      <c r="H60" s="13" t="n">
        <v>205</v>
      </c>
      <c r="I60" s="13" t="n">
        <v>0</v>
      </c>
      <c r="J60" s="13" t="n">
        <v>0</v>
      </c>
      <c r="K60" s="13" t="n">
        <v>0</v>
      </c>
      <c r="L60" s="17" t="n">
        <v>0</v>
      </c>
      <c r="M60" s="18" t="n">
        <f aca="false">IF(H60=0,"",I60/H60)</f>
        <v>0</v>
      </c>
    </row>
    <row r="61" customFormat="false" ht="15" hidden="false" customHeight="false" outlineLevel="0" collapsed="false">
      <c r="A61" s="13" t="s">
        <v>125</v>
      </c>
      <c r="B61" s="13" t="s">
        <v>170</v>
      </c>
      <c r="C61" s="13" t="n">
        <v>0</v>
      </c>
      <c r="D61" s="13" t="n">
        <v>0</v>
      </c>
      <c r="E61" s="13" t="n">
        <v>0</v>
      </c>
      <c r="F61" s="13" t="n">
        <v>0</v>
      </c>
      <c r="G61" s="17" t="n">
        <v>0</v>
      </c>
      <c r="H61" s="13" t="n">
        <v>1</v>
      </c>
      <c r="I61" s="13" t="n">
        <v>1</v>
      </c>
      <c r="J61" s="13" t="n">
        <v>0</v>
      </c>
      <c r="K61" s="13" t="n">
        <v>0</v>
      </c>
      <c r="L61" s="17" t="n">
        <v>0</v>
      </c>
      <c r="M61" s="18" t="n">
        <f aca="false">IF(H61=0,"",I61/H61)</f>
        <v>1</v>
      </c>
    </row>
    <row r="62" customFormat="false" ht="15" hidden="false" customHeight="false" outlineLevel="0" collapsed="false">
      <c r="A62" s="13" t="s">
        <v>125</v>
      </c>
      <c r="B62" s="13" t="s">
        <v>172</v>
      </c>
      <c r="C62" s="13" t="n">
        <v>0</v>
      </c>
      <c r="D62" s="13" t="n">
        <v>0</v>
      </c>
      <c r="E62" s="13" t="n">
        <v>0</v>
      </c>
      <c r="F62" s="13" t="n">
        <v>0</v>
      </c>
      <c r="G62" s="17" t="n">
        <v>0</v>
      </c>
      <c r="H62" s="13" t="n">
        <v>23</v>
      </c>
      <c r="I62" s="13" t="n">
        <v>0</v>
      </c>
      <c r="J62" s="13" t="n">
        <v>23</v>
      </c>
      <c r="K62" s="13" t="n">
        <v>0</v>
      </c>
      <c r="L62" s="17" t="n">
        <v>0.0250016</v>
      </c>
      <c r="M62" s="18" t="n">
        <f aca="false">IF(H62=0,"",I62/H62)</f>
        <v>0</v>
      </c>
    </row>
    <row r="63" customFormat="false" ht="15" hidden="false" customHeight="false" outlineLevel="0" collapsed="false">
      <c r="A63" s="13" t="s">
        <v>125</v>
      </c>
      <c r="B63" s="13" t="s">
        <v>173</v>
      </c>
      <c r="C63" s="13" t="n">
        <v>0</v>
      </c>
      <c r="D63" s="13" t="n">
        <v>0</v>
      </c>
      <c r="E63" s="13" t="n">
        <v>0</v>
      </c>
      <c r="F63" s="13" t="n">
        <v>0</v>
      </c>
      <c r="G63" s="17" t="n">
        <v>0</v>
      </c>
      <c r="H63" s="13" t="n">
        <v>2</v>
      </c>
      <c r="I63" s="13" t="n">
        <v>0</v>
      </c>
      <c r="J63" s="13" t="n">
        <v>2</v>
      </c>
      <c r="K63" s="13" t="n">
        <v>0</v>
      </c>
      <c r="L63" s="17" t="n">
        <v>0</v>
      </c>
      <c r="M63" s="18" t="n">
        <f aca="false">IF(H63=0,"",I63/H63)</f>
        <v>0</v>
      </c>
    </row>
    <row r="64" customFormat="false" ht="15" hidden="false" customHeight="false" outlineLevel="0" collapsed="false">
      <c r="A64" s="13" t="s">
        <v>125</v>
      </c>
      <c r="B64" s="13" t="s">
        <v>176</v>
      </c>
      <c r="C64" s="13" t="n">
        <v>0</v>
      </c>
      <c r="D64" s="13" t="n">
        <v>0</v>
      </c>
      <c r="E64" s="13" t="n">
        <v>0</v>
      </c>
      <c r="F64" s="13" t="n">
        <v>0</v>
      </c>
      <c r="G64" s="17" t="n">
        <v>0</v>
      </c>
      <c r="H64" s="13" t="n">
        <v>18</v>
      </c>
      <c r="I64" s="13" t="n">
        <v>0</v>
      </c>
      <c r="J64" s="13" t="n">
        <v>0</v>
      </c>
      <c r="K64" s="13" t="n">
        <v>0</v>
      </c>
      <c r="L64" s="17" t="n">
        <v>0</v>
      </c>
      <c r="M64" s="18" t="n">
        <f aca="false">IF(H64=0,"",I64/H64)</f>
        <v>0</v>
      </c>
    </row>
    <row r="65" customFormat="false" ht="15" hidden="false" customHeight="false" outlineLevel="0" collapsed="false">
      <c r="A65" s="13" t="s">
        <v>177</v>
      </c>
      <c r="B65" s="13" t="s">
        <v>176</v>
      </c>
      <c r="C65" s="13" t="n">
        <v>0</v>
      </c>
      <c r="D65" s="13" t="n">
        <v>0</v>
      </c>
      <c r="E65" s="13" t="n">
        <v>0</v>
      </c>
      <c r="F65" s="13" t="n">
        <v>0</v>
      </c>
      <c r="G65" s="17" t="n">
        <v>0</v>
      </c>
      <c r="H65" s="13" t="n">
        <v>1</v>
      </c>
      <c r="I65" s="13" t="n">
        <v>0</v>
      </c>
      <c r="J65" s="13" t="n">
        <v>0</v>
      </c>
      <c r="K65" s="13" t="n">
        <v>0</v>
      </c>
      <c r="L65" s="17" t="n">
        <v>0</v>
      </c>
      <c r="M65" s="18" t="n">
        <f aca="false">IF(H65=0,"",I65/H65)</f>
        <v>0</v>
      </c>
    </row>
    <row r="66" customFormat="false" ht="15" hidden="false" customHeight="false" outlineLevel="0" collapsed="false">
      <c r="A66" s="13" t="s">
        <v>149</v>
      </c>
      <c r="B66" s="13" t="s">
        <v>169</v>
      </c>
      <c r="C66" s="13" t="n">
        <v>0</v>
      </c>
      <c r="D66" s="13" t="n">
        <v>0</v>
      </c>
      <c r="E66" s="13" t="n">
        <v>0</v>
      </c>
      <c r="F66" s="13" t="n">
        <v>0</v>
      </c>
      <c r="G66" s="17" t="n">
        <v>0</v>
      </c>
      <c r="H66" s="13" t="n">
        <v>1</v>
      </c>
      <c r="I66" s="13" t="n">
        <v>0</v>
      </c>
      <c r="J66" s="13" t="n">
        <v>1</v>
      </c>
      <c r="K66" s="13" t="n">
        <v>2</v>
      </c>
      <c r="L66" s="17" t="n">
        <v>0</v>
      </c>
      <c r="M66" s="18" t="n">
        <f aca="false">IF(H66=0,"",I66/H66)</f>
        <v>0</v>
      </c>
    </row>
    <row r="67" customFormat="false" ht="15" hidden="false" customHeight="false" outlineLevel="0" collapsed="false">
      <c r="A67" s="13" t="s">
        <v>149</v>
      </c>
      <c r="B67" s="13" t="s">
        <v>170</v>
      </c>
      <c r="C67" s="13" t="n">
        <v>1</v>
      </c>
      <c r="D67" s="13" t="n">
        <v>1</v>
      </c>
      <c r="E67" s="13" t="n">
        <v>0</v>
      </c>
      <c r="F67" s="13" t="n">
        <v>1</v>
      </c>
      <c r="G67" s="17" t="n">
        <v>0</v>
      </c>
      <c r="H67" s="13" t="n">
        <v>6</v>
      </c>
      <c r="I67" s="13" t="n">
        <v>4</v>
      </c>
      <c r="J67" s="13" t="n">
        <v>1</v>
      </c>
      <c r="K67" s="13" t="n">
        <v>1</v>
      </c>
      <c r="L67" s="17" t="n">
        <v>0</v>
      </c>
      <c r="M67" s="18" t="n">
        <f aca="false">IF(H67=0,"",I67/H67)</f>
        <v>0.666666666666667</v>
      </c>
    </row>
    <row r="68" customFormat="false" ht="15" hidden="false" customHeight="false" outlineLevel="0" collapsed="false">
      <c r="A68" s="13" t="s">
        <v>149</v>
      </c>
      <c r="B68" s="13" t="s">
        <v>172</v>
      </c>
      <c r="C68" s="13" t="n">
        <v>0</v>
      </c>
      <c r="D68" s="13" t="n">
        <v>0</v>
      </c>
      <c r="E68" s="13" t="n">
        <v>0</v>
      </c>
      <c r="F68" s="13" t="n">
        <v>0</v>
      </c>
      <c r="G68" s="17" t="n">
        <v>0</v>
      </c>
      <c r="H68" s="13" t="n">
        <v>22</v>
      </c>
      <c r="I68" s="13" t="n">
        <v>12</v>
      </c>
      <c r="J68" s="13" t="n">
        <v>9</v>
      </c>
      <c r="K68" s="13" t="n">
        <v>0</v>
      </c>
      <c r="L68" s="17" t="n">
        <v>0.0079672</v>
      </c>
      <c r="M68" s="18" t="n">
        <f aca="false">IF(H68=0,"",I68/H68)</f>
        <v>0.545454545454545</v>
      </c>
    </row>
    <row r="69" customFormat="false" ht="15" hidden="false" customHeight="false" outlineLevel="0" collapsed="false">
      <c r="A69" s="13" t="s">
        <v>149</v>
      </c>
      <c r="B69" s="13" t="s">
        <v>173</v>
      </c>
      <c r="C69" s="13" t="n">
        <v>0</v>
      </c>
      <c r="D69" s="13" t="n">
        <v>0</v>
      </c>
      <c r="E69" s="13" t="n">
        <v>0</v>
      </c>
      <c r="F69" s="13" t="n">
        <v>0</v>
      </c>
      <c r="G69" s="17" t="n">
        <v>0</v>
      </c>
      <c r="H69" s="13" t="n">
        <v>6</v>
      </c>
      <c r="I69" s="13" t="n">
        <v>1</v>
      </c>
      <c r="J69" s="13" t="n">
        <v>5</v>
      </c>
      <c r="K69" s="13" t="n">
        <v>0</v>
      </c>
      <c r="L69" s="17" t="n">
        <v>0.0038712</v>
      </c>
      <c r="M69" s="18" t="n">
        <f aca="false">IF(H69=0,"",I69/H69)</f>
        <v>0.166666666666667</v>
      </c>
    </row>
    <row r="70" customFormat="false" ht="15" hidden="false" customHeight="false" outlineLevel="0" collapsed="false">
      <c r="A70" s="13" t="s">
        <v>149</v>
      </c>
      <c r="B70" s="13" t="s">
        <v>174</v>
      </c>
      <c r="C70" s="13" t="n">
        <v>0</v>
      </c>
      <c r="D70" s="13" t="n">
        <v>0</v>
      </c>
      <c r="E70" s="13" t="n">
        <v>0</v>
      </c>
      <c r="F70" s="13" t="n">
        <v>0</v>
      </c>
      <c r="G70" s="17" t="n">
        <v>0</v>
      </c>
      <c r="H70" s="13" t="n">
        <v>23</v>
      </c>
      <c r="I70" s="13" t="n">
        <v>18</v>
      </c>
      <c r="J70" s="13" t="n">
        <v>0</v>
      </c>
      <c r="K70" s="13" t="n">
        <v>0</v>
      </c>
      <c r="L70" s="17" t="n">
        <v>0.0071177</v>
      </c>
      <c r="M70" s="18" t="n">
        <f aca="false">IF(H70=0,"",I70/H70)</f>
        <v>0.782608695652174</v>
      </c>
    </row>
    <row r="71" customFormat="false" ht="15" hidden="false" customHeight="false" outlineLevel="0" collapsed="false">
      <c r="A71" s="13" t="s">
        <v>149</v>
      </c>
      <c r="B71" s="13" t="s">
        <v>175</v>
      </c>
      <c r="C71" s="13" t="n">
        <v>0</v>
      </c>
      <c r="D71" s="13" t="n">
        <v>0</v>
      </c>
      <c r="E71" s="13" t="n">
        <v>0</v>
      </c>
      <c r="F71" s="13" t="n">
        <v>0</v>
      </c>
      <c r="G71" s="17" t="n">
        <v>0</v>
      </c>
      <c r="H71" s="13" t="n">
        <v>23</v>
      </c>
      <c r="I71" s="13" t="n">
        <v>0</v>
      </c>
      <c r="J71" s="13" t="n">
        <v>0</v>
      </c>
      <c r="K71" s="13" t="n">
        <v>23</v>
      </c>
      <c r="L71" s="17" t="n">
        <v>0</v>
      </c>
      <c r="M71" s="18" t="n">
        <f aca="false">IF(H71=0,"",I71/H71)</f>
        <v>0</v>
      </c>
    </row>
    <row r="72" customFormat="false" ht="15" hidden="false" customHeight="false" outlineLevel="0" collapsed="false">
      <c r="A72" s="13" t="s">
        <v>149</v>
      </c>
      <c r="B72" s="13" t="s">
        <v>176</v>
      </c>
      <c r="C72" s="13" t="n">
        <v>0</v>
      </c>
      <c r="D72" s="13" t="n">
        <v>0</v>
      </c>
      <c r="E72" s="13" t="n">
        <v>0</v>
      </c>
      <c r="F72" s="13" t="n">
        <v>0</v>
      </c>
      <c r="G72" s="17" t="n">
        <v>0</v>
      </c>
      <c r="H72" s="13" t="n">
        <v>4</v>
      </c>
      <c r="I72" s="13" t="n">
        <v>0</v>
      </c>
      <c r="J72" s="13" t="n">
        <v>0</v>
      </c>
      <c r="K72" s="13" t="n">
        <v>0</v>
      </c>
      <c r="L72" s="17" t="n">
        <v>0</v>
      </c>
      <c r="M72" s="18" t="n">
        <f aca="false">IF(H72=0,"",I72/H72)</f>
        <v>0</v>
      </c>
    </row>
    <row r="73" customFormat="false" ht="15" hidden="false" customHeight="false" outlineLevel="0" collapsed="false">
      <c r="A73" s="13" t="s">
        <v>151</v>
      </c>
      <c r="B73" s="13" t="s">
        <v>169</v>
      </c>
      <c r="C73" s="13" t="n">
        <v>0</v>
      </c>
      <c r="D73" s="13" t="n">
        <v>0</v>
      </c>
      <c r="E73" s="13" t="n">
        <v>0</v>
      </c>
      <c r="F73" s="13" t="n">
        <v>0</v>
      </c>
      <c r="G73" s="17" t="n">
        <v>0</v>
      </c>
      <c r="H73" s="13" t="n">
        <v>1</v>
      </c>
      <c r="I73" s="13" t="n">
        <v>0</v>
      </c>
      <c r="J73" s="13" t="n">
        <v>1</v>
      </c>
      <c r="K73" s="13" t="n">
        <v>2</v>
      </c>
      <c r="L73" s="17" t="n">
        <v>0</v>
      </c>
      <c r="M73" s="18" t="n">
        <f aca="false">IF(H73=0,"",I73/H73)</f>
        <v>0</v>
      </c>
    </row>
    <row r="74" customFormat="false" ht="15" hidden="false" customHeight="false" outlineLevel="0" collapsed="false">
      <c r="A74" s="13" t="s">
        <v>151</v>
      </c>
      <c r="B74" s="13" t="s">
        <v>170</v>
      </c>
      <c r="C74" s="13" t="n">
        <v>0</v>
      </c>
      <c r="D74" s="13" t="n">
        <v>0</v>
      </c>
      <c r="E74" s="13" t="n">
        <v>0</v>
      </c>
      <c r="F74" s="13" t="n">
        <v>0</v>
      </c>
      <c r="G74" s="17" t="n">
        <v>0</v>
      </c>
      <c r="H74" s="13" t="n">
        <v>3</v>
      </c>
      <c r="I74" s="13" t="n">
        <v>2</v>
      </c>
      <c r="J74" s="13" t="n">
        <v>1</v>
      </c>
      <c r="K74" s="13" t="n">
        <v>0</v>
      </c>
      <c r="L74" s="17" t="n">
        <v>0</v>
      </c>
      <c r="M74" s="18" t="n">
        <f aca="false">IF(H74=0,"",I74/H74)</f>
        <v>0.666666666666667</v>
      </c>
    </row>
    <row r="75" customFormat="false" ht="15" hidden="false" customHeight="false" outlineLevel="0" collapsed="false">
      <c r="A75" s="13" t="s">
        <v>151</v>
      </c>
      <c r="B75" s="13" t="s">
        <v>172</v>
      </c>
      <c r="C75" s="13" t="n">
        <v>0</v>
      </c>
      <c r="D75" s="13" t="n">
        <v>0</v>
      </c>
      <c r="E75" s="13" t="n">
        <v>0</v>
      </c>
      <c r="F75" s="13" t="n">
        <v>0</v>
      </c>
      <c r="G75" s="17" t="n">
        <v>0</v>
      </c>
      <c r="H75" s="13" t="n">
        <v>18</v>
      </c>
      <c r="I75" s="13" t="n">
        <v>6</v>
      </c>
      <c r="J75" s="13" t="n">
        <v>10</v>
      </c>
      <c r="K75" s="13" t="n">
        <v>0</v>
      </c>
      <c r="L75" s="17" t="n">
        <v>0.0101712</v>
      </c>
      <c r="M75" s="18" t="n">
        <f aca="false">IF(H75=0,"",I75/H75)</f>
        <v>0.333333333333333</v>
      </c>
    </row>
    <row r="76" customFormat="false" ht="15" hidden="false" customHeight="false" outlineLevel="0" collapsed="false">
      <c r="A76" s="13" t="s">
        <v>151</v>
      </c>
      <c r="B76" s="13" t="s">
        <v>173</v>
      </c>
      <c r="C76" s="13" t="n">
        <v>0</v>
      </c>
      <c r="D76" s="13" t="n">
        <v>0</v>
      </c>
      <c r="E76" s="13" t="n">
        <v>0</v>
      </c>
      <c r="F76" s="13" t="n">
        <v>0</v>
      </c>
      <c r="G76" s="17" t="n">
        <v>0</v>
      </c>
      <c r="H76" s="13" t="n">
        <v>5</v>
      </c>
      <c r="I76" s="13" t="n">
        <v>1</v>
      </c>
      <c r="J76" s="13" t="n">
        <v>4</v>
      </c>
      <c r="K76" s="13" t="n">
        <v>0</v>
      </c>
      <c r="L76" s="17" t="n">
        <v>0.0196904</v>
      </c>
      <c r="M76" s="18" t="n">
        <f aca="false">IF(H76=0,"",I76/H76)</f>
        <v>0.2</v>
      </c>
    </row>
    <row r="77" customFormat="false" ht="15" hidden="false" customHeight="false" outlineLevel="0" collapsed="false">
      <c r="A77" s="13" t="s">
        <v>151</v>
      </c>
      <c r="B77" s="13" t="s">
        <v>174</v>
      </c>
      <c r="C77" s="13" t="n">
        <v>0</v>
      </c>
      <c r="D77" s="13" t="n">
        <v>0</v>
      </c>
      <c r="E77" s="13" t="n">
        <v>0</v>
      </c>
      <c r="F77" s="13" t="n">
        <v>0</v>
      </c>
      <c r="G77" s="17" t="n">
        <v>0</v>
      </c>
      <c r="H77" s="13" t="n">
        <v>80</v>
      </c>
      <c r="I77" s="13" t="n">
        <v>40</v>
      </c>
      <c r="J77" s="13" t="n">
        <v>1</v>
      </c>
      <c r="K77" s="13" t="n">
        <v>0</v>
      </c>
      <c r="L77" s="17" t="n">
        <v>0.03680443</v>
      </c>
      <c r="M77" s="18" t="n">
        <f aca="false">IF(H77=0,"",I77/H77)</f>
        <v>0.5</v>
      </c>
    </row>
    <row r="78" customFormat="false" ht="15" hidden="false" customHeight="false" outlineLevel="0" collapsed="false">
      <c r="A78" s="13" t="s">
        <v>151</v>
      </c>
      <c r="B78" s="13" t="s">
        <v>175</v>
      </c>
      <c r="C78" s="13" t="n">
        <v>0</v>
      </c>
      <c r="D78" s="13" t="n">
        <v>0</v>
      </c>
      <c r="E78" s="13" t="n">
        <v>0</v>
      </c>
      <c r="F78" s="13" t="n">
        <v>0</v>
      </c>
      <c r="G78" s="17" t="n">
        <v>0</v>
      </c>
      <c r="H78" s="13" t="n">
        <v>51</v>
      </c>
      <c r="I78" s="13" t="n">
        <v>0</v>
      </c>
      <c r="J78" s="13" t="n">
        <v>0</v>
      </c>
      <c r="K78" s="13" t="n">
        <v>125</v>
      </c>
      <c r="L78" s="17" t="n">
        <v>0</v>
      </c>
      <c r="M78" s="18" t="n">
        <f aca="false">IF(H78=0,"",I78/H78)</f>
        <v>0</v>
      </c>
    </row>
    <row r="79" customFormat="false" ht="15" hidden="false" customHeight="false" outlineLevel="0" collapsed="false">
      <c r="A79" s="13" t="s">
        <v>151</v>
      </c>
      <c r="B79" s="13" t="s">
        <v>176</v>
      </c>
      <c r="C79" s="13" t="n">
        <v>0</v>
      </c>
      <c r="D79" s="13" t="n">
        <v>0</v>
      </c>
      <c r="E79" s="13" t="n">
        <v>0</v>
      </c>
      <c r="F79" s="13" t="n">
        <v>0</v>
      </c>
      <c r="G79" s="17" t="n">
        <v>0</v>
      </c>
      <c r="H79" s="13" t="n">
        <v>2</v>
      </c>
      <c r="I79" s="13" t="n">
        <v>0</v>
      </c>
      <c r="J79" s="13" t="n">
        <v>0</v>
      </c>
      <c r="K79" s="13" t="n">
        <v>0</v>
      </c>
      <c r="L79" s="17" t="n">
        <v>0</v>
      </c>
      <c r="M79" s="18" t="n">
        <f aca="false">IF(H79=0,"",I79/H79)</f>
        <v>0</v>
      </c>
    </row>
    <row r="80" customFormat="false" ht="15" hidden="false" customHeight="false" outlineLevel="0" collapsed="false">
      <c r="A80" s="13" t="s">
        <v>67</v>
      </c>
      <c r="B80" s="13" t="s">
        <v>170</v>
      </c>
      <c r="C80" s="13" t="n">
        <v>0</v>
      </c>
      <c r="D80" s="13" t="n">
        <v>0</v>
      </c>
      <c r="E80" s="13" t="n">
        <v>0</v>
      </c>
      <c r="F80" s="13" t="n">
        <v>0</v>
      </c>
      <c r="G80" s="17" t="n">
        <v>0</v>
      </c>
      <c r="H80" s="13" t="n">
        <v>141</v>
      </c>
      <c r="I80" s="13" t="n">
        <v>138</v>
      </c>
      <c r="J80" s="13" t="n">
        <v>2</v>
      </c>
      <c r="K80" s="13" t="n">
        <v>1</v>
      </c>
      <c r="L80" s="17" t="n">
        <v>0</v>
      </c>
      <c r="M80" s="18" t="n">
        <f aca="false">IF(H80=0,"",I80/H80)</f>
        <v>0.978723404255319</v>
      </c>
    </row>
    <row r="81" customFormat="false" ht="15" hidden="false" customHeight="false" outlineLevel="0" collapsed="false">
      <c r="A81" s="13" t="s">
        <v>67</v>
      </c>
      <c r="B81" s="13" t="s">
        <v>172</v>
      </c>
      <c r="C81" s="13" t="n">
        <v>0</v>
      </c>
      <c r="D81" s="13" t="n">
        <v>0</v>
      </c>
      <c r="E81" s="13" t="n">
        <v>0</v>
      </c>
      <c r="F81" s="13" t="n">
        <v>0</v>
      </c>
      <c r="G81" s="17" t="n">
        <v>0</v>
      </c>
      <c r="H81" s="13" t="n">
        <v>573</v>
      </c>
      <c r="I81" s="13" t="n">
        <v>151</v>
      </c>
      <c r="J81" s="13" t="n">
        <v>402</v>
      </c>
      <c r="K81" s="13" t="n">
        <v>0</v>
      </c>
      <c r="L81" s="17" t="n">
        <v>0.4402922</v>
      </c>
      <c r="M81" s="18" t="n">
        <f aca="false">IF(H81=0,"",I81/H81)</f>
        <v>0.263525305410122</v>
      </c>
    </row>
    <row r="82" customFormat="false" ht="15" hidden="false" customHeight="false" outlineLevel="0" collapsed="false">
      <c r="A82" s="13" t="s">
        <v>67</v>
      </c>
      <c r="B82" s="13" t="s">
        <v>173</v>
      </c>
      <c r="C82" s="13" t="n">
        <v>0</v>
      </c>
      <c r="D82" s="13" t="n">
        <v>0</v>
      </c>
      <c r="E82" s="13" t="n">
        <v>0</v>
      </c>
      <c r="F82" s="13" t="n">
        <v>0</v>
      </c>
      <c r="G82" s="17" t="n">
        <v>0</v>
      </c>
      <c r="H82" s="13" t="n">
        <v>75</v>
      </c>
      <c r="I82" s="13" t="n">
        <v>68</v>
      </c>
      <c r="J82" s="13" t="n">
        <v>7</v>
      </c>
      <c r="K82" s="13" t="n">
        <v>0</v>
      </c>
      <c r="L82" s="17" t="n">
        <v>0.2616332</v>
      </c>
      <c r="M82" s="18" t="n">
        <f aca="false">IF(H82=0,"",I82/H82)</f>
        <v>0.906666666666667</v>
      </c>
    </row>
    <row r="83" customFormat="false" ht="15" hidden="false" customHeight="false" outlineLevel="0" collapsed="false">
      <c r="A83" s="13" t="s">
        <v>67</v>
      </c>
      <c r="B83" s="13" t="s">
        <v>175</v>
      </c>
      <c r="C83" s="13" t="n">
        <v>0</v>
      </c>
      <c r="D83" s="13" t="n">
        <v>0</v>
      </c>
      <c r="E83" s="13" t="n">
        <v>0</v>
      </c>
      <c r="F83" s="13" t="n">
        <v>0</v>
      </c>
      <c r="G83" s="17" t="n">
        <v>0</v>
      </c>
      <c r="H83" s="13" t="n">
        <v>1</v>
      </c>
      <c r="I83" s="13" t="n">
        <v>0</v>
      </c>
      <c r="J83" s="13" t="n">
        <v>0</v>
      </c>
      <c r="K83" s="13" t="n">
        <v>1</v>
      </c>
      <c r="L83" s="17" t="n">
        <v>0</v>
      </c>
      <c r="M83" s="18" t="n">
        <f aca="false">IF(H83=0,"",I83/H83)</f>
        <v>0</v>
      </c>
    </row>
    <row r="84" customFormat="false" ht="15" hidden="false" customHeight="false" outlineLevel="0" collapsed="false">
      <c r="A84" s="13" t="s">
        <v>67</v>
      </c>
      <c r="B84" s="13" t="s">
        <v>176</v>
      </c>
      <c r="C84" s="13" t="n">
        <v>0</v>
      </c>
      <c r="D84" s="13" t="n">
        <v>0</v>
      </c>
      <c r="E84" s="13" t="n">
        <v>0</v>
      </c>
      <c r="F84" s="13" t="n">
        <v>0</v>
      </c>
      <c r="G84" s="17" t="n">
        <v>0</v>
      </c>
      <c r="H84" s="13" t="n">
        <v>152</v>
      </c>
      <c r="I84" s="13" t="n">
        <v>0</v>
      </c>
      <c r="J84" s="13" t="n">
        <v>0</v>
      </c>
      <c r="K84" s="13" t="n">
        <v>0</v>
      </c>
      <c r="L84" s="17" t="n">
        <v>0</v>
      </c>
      <c r="M84" s="18" t="n">
        <f aca="false">IF(H84=0,"",I84/H84)</f>
        <v>0</v>
      </c>
    </row>
    <row r="85" customFormat="false" ht="15" hidden="false" customHeight="false" outlineLevel="0" collapsed="false">
      <c r="A85" s="13" t="s">
        <v>103</v>
      </c>
      <c r="B85" s="13" t="s">
        <v>170</v>
      </c>
      <c r="C85" s="13" t="n">
        <v>0</v>
      </c>
      <c r="D85" s="13" t="n">
        <v>0</v>
      </c>
      <c r="E85" s="13" t="n">
        <v>0</v>
      </c>
      <c r="F85" s="13" t="n">
        <v>0</v>
      </c>
      <c r="G85" s="17" t="n">
        <v>0</v>
      </c>
      <c r="H85" s="13" t="n">
        <v>58</v>
      </c>
      <c r="I85" s="13" t="n">
        <v>58</v>
      </c>
      <c r="J85" s="13" t="n">
        <v>0</v>
      </c>
      <c r="K85" s="13" t="n">
        <v>0</v>
      </c>
      <c r="L85" s="17" t="n">
        <v>0</v>
      </c>
      <c r="M85" s="18" t="n">
        <f aca="false">IF(H85=0,"",I85/H85)</f>
        <v>1</v>
      </c>
    </row>
    <row r="86" customFormat="false" ht="15" hidden="false" customHeight="false" outlineLevel="0" collapsed="false">
      <c r="A86" s="13" t="s">
        <v>103</v>
      </c>
      <c r="B86" s="13" t="s">
        <v>172</v>
      </c>
      <c r="C86" s="13" t="n">
        <v>0</v>
      </c>
      <c r="D86" s="13" t="n">
        <v>0</v>
      </c>
      <c r="E86" s="13" t="n">
        <v>0</v>
      </c>
      <c r="F86" s="13" t="n">
        <v>0</v>
      </c>
      <c r="G86" s="17" t="n">
        <v>0</v>
      </c>
      <c r="H86" s="13" t="n">
        <v>256</v>
      </c>
      <c r="I86" s="13" t="n">
        <v>106</v>
      </c>
      <c r="J86" s="13" t="n">
        <v>148</v>
      </c>
      <c r="K86" s="13" t="n">
        <v>0</v>
      </c>
      <c r="L86" s="17" t="n">
        <v>0.1197112</v>
      </c>
      <c r="M86" s="18" t="n">
        <f aca="false">IF(H86=0,"",I86/H86)</f>
        <v>0.4140625</v>
      </c>
    </row>
    <row r="87" customFormat="false" ht="15" hidden="false" customHeight="false" outlineLevel="0" collapsed="false">
      <c r="A87" s="13" t="s">
        <v>103</v>
      </c>
      <c r="B87" s="13" t="s">
        <v>173</v>
      </c>
      <c r="C87" s="13" t="n">
        <v>0</v>
      </c>
      <c r="D87" s="13" t="n">
        <v>0</v>
      </c>
      <c r="E87" s="13" t="n">
        <v>0</v>
      </c>
      <c r="F87" s="13" t="n">
        <v>0</v>
      </c>
      <c r="G87" s="17" t="n">
        <v>0</v>
      </c>
      <c r="H87" s="13" t="n">
        <v>79</v>
      </c>
      <c r="I87" s="13" t="n">
        <v>62</v>
      </c>
      <c r="J87" s="13" t="n">
        <v>17</v>
      </c>
      <c r="K87" s="13" t="n">
        <v>0</v>
      </c>
      <c r="L87" s="17" t="n">
        <v>0.1390496</v>
      </c>
      <c r="M87" s="18" t="n">
        <f aca="false">IF(H87=0,"",I87/H87)</f>
        <v>0.784810126582278</v>
      </c>
    </row>
    <row r="88" customFormat="false" ht="15" hidden="false" customHeight="false" outlineLevel="0" collapsed="false">
      <c r="A88" s="13" t="s">
        <v>103</v>
      </c>
      <c r="B88" s="13" t="s">
        <v>176</v>
      </c>
      <c r="C88" s="13" t="n">
        <v>0</v>
      </c>
      <c r="D88" s="13" t="n">
        <v>0</v>
      </c>
      <c r="E88" s="13" t="n">
        <v>0</v>
      </c>
      <c r="F88" s="13" t="n">
        <v>0</v>
      </c>
      <c r="G88" s="17" t="n">
        <v>0</v>
      </c>
      <c r="H88" s="13" t="n">
        <v>105</v>
      </c>
      <c r="I88" s="13" t="n">
        <v>0</v>
      </c>
      <c r="J88" s="13" t="n">
        <v>0</v>
      </c>
      <c r="K88" s="13" t="n">
        <v>0</v>
      </c>
      <c r="L88" s="17" t="n">
        <v>0</v>
      </c>
      <c r="M88" s="18" t="n">
        <f aca="false">IF(H88=0,"",I88/H88)</f>
        <v>0</v>
      </c>
    </row>
    <row r="89" customFormat="false" ht="15" hidden="false" customHeight="false" outlineLevel="0" collapsed="false">
      <c r="A89" s="13" t="s">
        <v>55</v>
      </c>
      <c r="B89" s="13" t="s">
        <v>170</v>
      </c>
      <c r="C89" s="13" t="n">
        <v>0</v>
      </c>
      <c r="D89" s="13" t="n">
        <v>0</v>
      </c>
      <c r="E89" s="13" t="n">
        <v>0</v>
      </c>
      <c r="F89" s="13" t="n">
        <v>0</v>
      </c>
      <c r="G89" s="17" t="n">
        <v>0</v>
      </c>
      <c r="H89" s="13" t="n">
        <v>305</v>
      </c>
      <c r="I89" s="13" t="n">
        <v>261</v>
      </c>
      <c r="J89" s="13" t="n">
        <v>44</v>
      </c>
      <c r="K89" s="13" t="n">
        <v>0</v>
      </c>
      <c r="L89" s="17" t="n">
        <v>0</v>
      </c>
      <c r="M89" s="18" t="n">
        <f aca="false">IF(H89=0,"",I89/H89)</f>
        <v>0.855737704918033</v>
      </c>
    </row>
    <row r="90" customFormat="false" ht="15" hidden="false" customHeight="false" outlineLevel="0" collapsed="false">
      <c r="A90" s="13" t="s">
        <v>55</v>
      </c>
      <c r="B90" s="13" t="s">
        <v>172</v>
      </c>
      <c r="C90" s="13" t="n">
        <v>0</v>
      </c>
      <c r="D90" s="13" t="n">
        <v>0</v>
      </c>
      <c r="E90" s="13" t="n">
        <v>0</v>
      </c>
      <c r="F90" s="13" t="n">
        <v>0</v>
      </c>
      <c r="G90" s="17" t="n">
        <v>0</v>
      </c>
      <c r="H90" s="13" t="n">
        <v>842</v>
      </c>
      <c r="I90" s="13" t="n">
        <v>172</v>
      </c>
      <c r="J90" s="13" t="n">
        <v>667</v>
      </c>
      <c r="K90" s="13" t="n">
        <v>0</v>
      </c>
      <c r="L90" s="17" t="n">
        <v>0.5950276</v>
      </c>
      <c r="M90" s="18" t="n">
        <f aca="false">IF(H90=0,"",I90/H90)</f>
        <v>0.204275534441805</v>
      </c>
    </row>
    <row r="91" customFormat="false" ht="15" hidden="false" customHeight="false" outlineLevel="0" collapsed="false">
      <c r="A91" s="13" t="s">
        <v>55</v>
      </c>
      <c r="B91" s="13" t="s">
        <v>173</v>
      </c>
      <c r="C91" s="13" t="n">
        <v>0</v>
      </c>
      <c r="D91" s="13" t="n">
        <v>0</v>
      </c>
      <c r="E91" s="13" t="n">
        <v>0</v>
      </c>
      <c r="F91" s="13" t="n">
        <v>0</v>
      </c>
      <c r="G91" s="17" t="n">
        <v>0</v>
      </c>
      <c r="H91" s="13" t="n">
        <v>324</v>
      </c>
      <c r="I91" s="13" t="n">
        <v>80</v>
      </c>
      <c r="J91" s="13" t="n">
        <v>244</v>
      </c>
      <c r="K91" s="13" t="n">
        <v>0</v>
      </c>
      <c r="L91" s="17" t="n">
        <v>0.7326436</v>
      </c>
      <c r="M91" s="18" t="n">
        <f aca="false">IF(H91=0,"",I91/H91)</f>
        <v>0.246913580246914</v>
      </c>
    </row>
    <row r="92" customFormat="false" ht="15" hidden="false" customHeight="false" outlineLevel="0" collapsed="false">
      <c r="A92" s="13" t="s">
        <v>55</v>
      </c>
      <c r="B92" s="13" t="s">
        <v>175</v>
      </c>
      <c r="C92" s="13" t="n">
        <v>0</v>
      </c>
      <c r="D92" s="13" t="n">
        <v>0</v>
      </c>
      <c r="E92" s="13" t="n">
        <v>0</v>
      </c>
      <c r="F92" s="13" t="n">
        <v>0</v>
      </c>
      <c r="G92" s="17" t="n">
        <v>0</v>
      </c>
      <c r="H92" s="13" t="n">
        <v>4</v>
      </c>
      <c r="I92" s="13" t="n">
        <v>0</v>
      </c>
      <c r="J92" s="13" t="n">
        <v>0</v>
      </c>
      <c r="K92" s="13" t="n">
        <v>4</v>
      </c>
      <c r="L92" s="17" t="n">
        <v>0</v>
      </c>
      <c r="M92" s="18" t="n">
        <f aca="false">IF(H92=0,"",I92/H92)</f>
        <v>0</v>
      </c>
    </row>
    <row r="93" customFormat="false" ht="15" hidden="false" customHeight="false" outlineLevel="0" collapsed="false">
      <c r="A93" s="13" t="s">
        <v>55</v>
      </c>
      <c r="B93" s="13" t="s">
        <v>176</v>
      </c>
      <c r="C93" s="13" t="n">
        <v>0</v>
      </c>
      <c r="D93" s="13" t="n">
        <v>0</v>
      </c>
      <c r="E93" s="13" t="n">
        <v>0</v>
      </c>
      <c r="F93" s="13" t="n">
        <v>0</v>
      </c>
      <c r="G93" s="17" t="n">
        <v>0</v>
      </c>
      <c r="H93" s="13" t="n">
        <v>489</v>
      </c>
      <c r="I93" s="13" t="n">
        <v>0</v>
      </c>
      <c r="J93" s="13" t="n">
        <v>0</v>
      </c>
      <c r="K93" s="13" t="n">
        <v>0</v>
      </c>
      <c r="L93" s="17" t="n">
        <v>0</v>
      </c>
      <c r="M93" s="18" t="n">
        <f aca="false">IF(H93=0,"",I93/H93)</f>
        <v>0</v>
      </c>
    </row>
    <row r="94" customFormat="false" ht="15" hidden="false" customHeight="false" outlineLevel="0" collapsed="false">
      <c r="A94" s="13" t="s">
        <v>119</v>
      </c>
      <c r="B94" s="13" t="s">
        <v>170</v>
      </c>
      <c r="C94" s="13" t="n">
        <v>0</v>
      </c>
      <c r="D94" s="13" t="n">
        <v>0</v>
      </c>
      <c r="E94" s="13" t="n">
        <v>0</v>
      </c>
      <c r="F94" s="13" t="n">
        <v>0</v>
      </c>
      <c r="G94" s="17" t="n">
        <v>0</v>
      </c>
      <c r="H94" s="13" t="n">
        <v>21</v>
      </c>
      <c r="I94" s="13" t="n">
        <v>21</v>
      </c>
      <c r="J94" s="13" t="n">
        <v>0</v>
      </c>
      <c r="K94" s="13" t="n">
        <v>0</v>
      </c>
      <c r="L94" s="17" t="n">
        <v>0</v>
      </c>
      <c r="M94" s="18" t="n">
        <f aca="false">IF(H94=0,"",I94/H94)</f>
        <v>1</v>
      </c>
    </row>
    <row r="95" customFormat="false" ht="15" hidden="false" customHeight="false" outlineLevel="0" collapsed="false">
      <c r="A95" s="13" t="s">
        <v>119</v>
      </c>
      <c r="B95" s="13" t="s">
        <v>172</v>
      </c>
      <c r="C95" s="13" t="n">
        <v>0</v>
      </c>
      <c r="D95" s="13" t="n">
        <v>0</v>
      </c>
      <c r="E95" s="13" t="n">
        <v>0</v>
      </c>
      <c r="F95" s="13" t="n">
        <v>0</v>
      </c>
      <c r="G95" s="17" t="n">
        <v>0</v>
      </c>
      <c r="H95" s="13" t="n">
        <v>52</v>
      </c>
      <c r="I95" s="13" t="n">
        <v>7</v>
      </c>
      <c r="J95" s="13" t="n">
        <v>45</v>
      </c>
      <c r="K95" s="13" t="n">
        <v>0</v>
      </c>
      <c r="L95" s="17" t="n">
        <v>0.048812</v>
      </c>
      <c r="M95" s="18" t="n">
        <f aca="false">IF(H95=0,"",I95/H95)</f>
        <v>0.134615384615385</v>
      </c>
    </row>
    <row r="96" customFormat="false" ht="15" hidden="false" customHeight="false" outlineLevel="0" collapsed="false">
      <c r="A96" s="13" t="s">
        <v>119</v>
      </c>
      <c r="B96" s="13" t="s">
        <v>173</v>
      </c>
      <c r="C96" s="13" t="n">
        <v>0</v>
      </c>
      <c r="D96" s="13" t="n">
        <v>0</v>
      </c>
      <c r="E96" s="13" t="n">
        <v>0</v>
      </c>
      <c r="F96" s="13" t="n">
        <v>0</v>
      </c>
      <c r="G96" s="17" t="n">
        <v>0</v>
      </c>
      <c r="H96" s="13" t="n">
        <v>26</v>
      </c>
      <c r="I96" s="13" t="n">
        <v>8</v>
      </c>
      <c r="J96" s="13" t="n">
        <v>18</v>
      </c>
      <c r="K96" s="13" t="n">
        <v>0</v>
      </c>
      <c r="L96" s="17" t="n">
        <v>0.0235708</v>
      </c>
      <c r="M96" s="18" t="n">
        <f aca="false">IF(H96=0,"",I96/H96)</f>
        <v>0.307692307692308</v>
      </c>
    </row>
    <row r="97" customFormat="false" ht="15" hidden="false" customHeight="false" outlineLevel="0" collapsed="false">
      <c r="A97" s="13" t="s">
        <v>119</v>
      </c>
      <c r="B97" s="13" t="s">
        <v>175</v>
      </c>
      <c r="C97" s="13" t="n">
        <v>0</v>
      </c>
      <c r="D97" s="13" t="n">
        <v>0</v>
      </c>
      <c r="E97" s="13" t="n">
        <v>0</v>
      </c>
      <c r="F97" s="13" t="n">
        <v>0</v>
      </c>
      <c r="G97" s="17" t="n">
        <v>0</v>
      </c>
      <c r="H97" s="13" t="n">
        <v>5</v>
      </c>
      <c r="I97" s="13" t="n">
        <v>0</v>
      </c>
      <c r="J97" s="13" t="n">
        <v>0</v>
      </c>
      <c r="K97" s="13" t="n">
        <v>5</v>
      </c>
      <c r="L97" s="17" t="n">
        <v>0</v>
      </c>
      <c r="M97" s="18" t="n">
        <f aca="false">IF(H97=0,"",I97/H97)</f>
        <v>0</v>
      </c>
    </row>
    <row r="98" customFormat="false" ht="15" hidden="false" customHeight="false" outlineLevel="0" collapsed="false">
      <c r="A98" s="13" t="s">
        <v>119</v>
      </c>
      <c r="B98" s="13" t="s">
        <v>176</v>
      </c>
      <c r="C98" s="13" t="n">
        <v>0</v>
      </c>
      <c r="D98" s="13" t="n">
        <v>0</v>
      </c>
      <c r="E98" s="13" t="n">
        <v>0</v>
      </c>
      <c r="F98" s="13" t="n">
        <v>0</v>
      </c>
      <c r="G98" s="17" t="n">
        <v>0</v>
      </c>
      <c r="H98" s="13" t="n">
        <v>22</v>
      </c>
      <c r="I98" s="13" t="n">
        <v>0</v>
      </c>
      <c r="J98" s="13" t="n">
        <v>0</v>
      </c>
      <c r="K98" s="13" t="n">
        <v>0</v>
      </c>
      <c r="L98" s="17" t="n">
        <v>0</v>
      </c>
      <c r="M98" s="18" t="n">
        <f aca="false">IF(H98=0,"",I98/H98)</f>
        <v>0</v>
      </c>
    </row>
    <row r="99" customFormat="false" ht="15" hidden="false" customHeight="false" outlineLevel="0" collapsed="false">
      <c r="A99" s="13" t="s">
        <v>129</v>
      </c>
      <c r="B99" s="13" t="s">
        <v>172</v>
      </c>
      <c r="C99" s="13" t="n">
        <v>0</v>
      </c>
      <c r="D99" s="13" t="n">
        <v>0</v>
      </c>
      <c r="E99" s="13" t="n">
        <v>0</v>
      </c>
      <c r="F99" s="13" t="n">
        <v>0</v>
      </c>
      <c r="G99" s="17" t="n">
        <v>0</v>
      </c>
      <c r="H99" s="13" t="n">
        <v>13</v>
      </c>
      <c r="I99" s="13" t="n">
        <v>0</v>
      </c>
      <c r="J99" s="13" t="n">
        <v>13</v>
      </c>
      <c r="K99" s="13" t="n">
        <v>0</v>
      </c>
      <c r="L99" s="17" t="n">
        <v>0.0152990666666667</v>
      </c>
      <c r="M99" s="18" t="n">
        <f aca="false">IF(H99=0,"",I99/H99)</f>
        <v>0</v>
      </c>
    </row>
    <row r="100" customFormat="false" ht="15" hidden="false" customHeight="false" outlineLevel="0" collapsed="false">
      <c r="A100" s="13" t="s">
        <v>129</v>
      </c>
      <c r="B100" s="13" t="s">
        <v>173</v>
      </c>
      <c r="C100" s="13" t="n">
        <v>0</v>
      </c>
      <c r="D100" s="13" t="n">
        <v>0</v>
      </c>
      <c r="E100" s="13" t="n">
        <v>0</v>
      </c>
      <c r="F100" s="13" t="n">
        <v>0</v>
      </c>
      <c r="G100" s="17" t="n">
        <v>0</v>
      </c>
      <c r="H100" s="13" t="n">
        <v>4</v>
      </c>
      <c r="I100" s="13" t="n">
        <v>1</v>
      </c>
      <c r="J100" s="13" t="n">
        <v>3</v>
      </c>
      <c r="K100" s="13" t="n">
        <v>0</v>
      </c>
      <c r="L100" s="17" t="n">
        <v>0.0015176</v>
      </c>
      <c r="M100" s="18" t="n">
        <f aca="false">IF(H100=0,"",I100/H100)</f>
        <v>0.25</v>
      </c>
    </row>
    <row r="101" customFormat="false" ht="15" hidden="false" customHeight="false" outlineLevel="0" collapsed="false">
      <c r="A101" s="13" t="s">
        <v>129</v>
      </c>
      <c r="B101" s="13" t="s">
        <v>175</v>
      </c>
      <c r="C101" s="13" t="n">
        <v>0</v>
      </c>
      <c r="D101" s="13" t="n">
        <v>0</v>
      </c>
      <c r="E101" s="13" t="n">
        <v>0</v>
      </c>
      <c r="F101" s="13" t="n">
        <v>0</v>
      </c>
      <c r="G101" s="17" t="n">
        <v>0</v>
      </c>
      <c r="H101" s="13" t="n">
        <v>3</v>
      </c>
      <c r="I101" s="13" t="n">
        <v>0</v>
      </c>
      <c r="J101" s="13" t="n">
        <v>0</v>
      </c>
      <c r="K101" s="13" t="n">
        <v>3</v>
      </c>
      <c r="L101" s="17" t="n">
        <v>0</v>
      </c>
      <c r="M101" s="18" t="n">
        <f aca="false">IF(H101=0,"",I101/H101)</f>
        <v>0</v>
      </c>
    </row>
    <row r="102" customFormat="false" ht="15" hidden="false" customHeight="false" outlineLevel="0" collapsed="false">
      <c r="A102" s="13" t="s">
        <v>129</v>
      </c>
      <c r="B102" s="13" t="s">
        <v>176</v>
      </c>
      <c r="C102" s="13" t="n">
        <v>0</v>
      </c>
      <c r="D102" s="13" t="n">
        <v>0</v>
      </c>
      <c r="E102" s="13" t="n">
        <v>0</v>
      </c>
      <c r="F102" s="13" t="n">
        <v>0</v>
      </c>
      <c r="G102" s="17" t="n">
        <v>0</v>
      </c>
      <c r="H102" s="13" t="n">
        <v>8</v>
      </c>
      <c r="I102" s="13" t="n">
        <v>0</v>
      </c>
      <c r="J102" s="13" t="n">
        <v>0</v>
      </c>
      <c r="K102" s="13" t="n">
        <v>0</v>
      </c>
      <c r="L102" s="17" t="n">
        <v>0</v>
      </c>
      <c r="M102" s="18" t="n">
        <f aca="false">IF(H102=0,"",I102/H102)</f>
        <v>0</v>
      </c>
    </row>
    <row r="103" customFormat="false" ht="15" hidden="false" customHeight="false" outlineLevel="0" collapsed="false">
      <c r="A103" s="13" t="s">
        <v>65</v>
      </c>
      <c r="B103" s="13" t="s">
        <v>169</v>
      </c>
      <c r="C103" s="13" t="n">
        <v>0</v>
      </c>
      <c r="D103" s="13" t="n">
        <v>0</v>
      </c>
      <c r="E103" s="13" t="n">
        <v>0</v>
      </c>
      <c r="F103" s="13" t="n">
        <v>0</v>
      </c>
      <c r="G103" s="17" t="n">
        <v>0</v>
      </c>
      <c r="H103" s="13" t="n">
        <v>0</v>
      </c>
      <c r="I103" s="13" t="n">
        <v>0</v>
      </c>
      <c r="J103" s="13" t="n">
        <v>4</v>
      </c>
      <c r="K103" s="13" t="n">
        <v>0</v>
      </c>
      <c r="L103" s="17" t="n">
        <v>0</v>
      </c>
      <c r="M103" s="18" t="str">
        <f aca="false">IF(H103=0,"",I103/H103)</f>
        <v/>
      </c>
    </row>
    <row r="104" customFormat="false" ht="15" hidden="false" customHeight="false" outlineLevel="0" collapsed="false">
      <c r="A104" s="13" t="s">
        <v>65</v>
      </c>
      <c r="B104" s="13" t="s">
        <v>170</v>
      </c>
      <c r="C104" s="13" t="n">
        <v>0</v>
      </c>
      <c r="D104" s="13" t="n">
        <v>0</v>
      </c>
      <c r="E104" s="13" t="n">
        <v>0</v>
      </c>
      <c r="F104" s="13" t="n">
        <v>0</v>
      </c>
      <c r="G104" s="17" t="n">
        <v>0</v>
      </c>
      <c r="H104" s="13" t="n">
        <v>126</v>
      </c>
      <c r="I104" s="13" t="n">
        <v>116</v>
      </c>
      <c r="J104" s="13" t="n">
        <v>6</v>
      </c>
      <c r="K104" s="13" t="n">
        <v>0</v>
      </c>
      <c r="L104" s="17" t="n">
        <v>0</v>
      </c>
      <c r="M104" s="18" t="n">
        <f aca="false">IF(H104=0,"",I104/H104)</f>
        <v>0.920634920634921</v>
      </c>
    </row>
    <row r="105" customFormat="false" ht="15" hidden="false" customHeight="false" outlineLevel="0" collapsed="false">
      <c r="A105" s="13" t="s">
        <v>65</v>
      </c>
      <c r="B105" s="13" t="s">
        <v>172</v>
      </c>
      <c r="C105" s="13" t="n">
        <v>0</v>
      </c>
      <c r="D105" s="13" t="n">
        <v>0</v>
      </c>
      <c r="E105" s="13" t="n">
        <v>0</v>
      </c>
      <c r="F105" s="13" t="n">
        <v>0</v>
      </c>
      <c r="G105" s="17" t="n">
        <v>0</v>
      </c>
      <c r="H105" s="13" t="n">
        <v>417</v>
      </c>
      <c r="I105" s="13" t="n">
        <v>25</v>
      </c>
      <c r="J105" s="13" t="n">
        <v>380</v>
      </c>
      <c r="K105" s="13" t="n">
        <v>0</v>
      </c>
      <c r="L105" s="17" t="n">
        <v>0.4447453</v>
      </c>
      <c r="M105" s="18" t="n">
        <f aca="false">IF(H105=0,"",I105/H105)</f>
        <v>0.0599520383693046</v>
      </c>
    </row>
    <row r="106" customFormat="false" ht="15" hidden="false" customHeight="false" outlineLevel="0" collapsed="false">
      <c r="A106" s="13" t="s">
        <v>65</v>
      </c>
      <c r="B106" s="13" t="s">
        <v>173</v>
      </c>
      <c r="C106" s="13" t="n">
        <v>0</v>
      </c>
      <c r="D106" s="13" t="n">
        <v>0</v>
      </c>
      <c r="E106" s="13" t="n">
        <v>0</v>
      </c>
      <c r="F106" s="13" t="n">
        <v>0</v>
      </c>
      <c r="G106" s="17" t="n">
        <v>0</v>
      </c>
      <c r="H106" s="13" t="n">
        <v>117</v>
      </c>
      <c r="I106" s="13" t="n">
        <v>3</v>
      </c>
      <c r="J106" s="13" t="n">
        <v>114</v>
      </c>
      <c r="K106" s="13" t="n">
        <v>0</v>
      </c>
      <c r="L106" s="17" t="n">
        <v>0.071724</v>
      </c>
      <c r="M106" s="18" t="n">
        <f aca="false">IF(H106=0,"",I106/H106)</f>
        <v>0.0256410256410256</v>
      </c>
    </row>
    <row r="107" customFormat="false" ht="15" hidden="false" customHeight="false" outlineLevel="0" collapsed="false">
      <c r="A107" s="13" t="s">
        <v>65</v>
      </c>
      <c r="B107" s="13" t="s">
        <v>176</v>
      </c>
      <c r="C107" s="13" t="n">
        <v>0</v>
      </c>
      <c r="D107" s="13" t="n">
        <v>0</v>
      </c>
      <c r="E107" s="13" t="n">
        <v>0</v>
      </c>
      <c r="F107" s="13" t="n">
        <v>0</v>
      </c>
      <c r="G107" s="17" t="n">
        <v>0</v>
      </c>
      <c r="H107" s="13" t="n">
        <v>246</v>
      </c>
      <c r="I107" s="13" t="n">
        <v>0</v>
      </c>
      <c r="J107" s="13" t="n">
        <v>0</v>
      </c>
      <c r="K107" s="13" t="n">
        <v>0</v>
      </c>
      <c r="L107" s="17" t="n">
        <v>0</v>
      </c>
      <c r="M107" s="18" t="n">
        <f aca="false">IF(H107=0,"",I107/H107)</f>
        <v>0</v>
      </c>
    </row>
    <row r="108" customFormat="false" ht="15" hidden="false" customHeight="false" outlineLevel="0" collapsed="false">
      <c r="A108" s="13" t="s">
        <v>178</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131</v>
      </c>
      <c r="B109" s="13" t="s">
        <v>169</v>
      </c>
      <c r="C109" s="13" t="n">
        <v>0</v>
      </c>
      <c r="D109" s="13" t="n">
        <v>0</v>
      </c>
      <c r="E109" s="13" t="n">
        <v>0</v>
      </c>
      <c r="F109" s="13" t="n">
        <v>0</v>
      </c>
      <c r="G109" s="17" t="n">
        <v>0</v>
      </c>
      <c r="H109" s="13" t="n">
        <v>0</v>
      </c>
      <c r="I109" s="13" t="n">
        <v>0</v>
      </c>
      <c r="J109" s="13" t="n">
        <v>2</v>
      </c>
      <c r="K109" s="13" t="n">
        <v>0</v>
      </c>
      <c r="L109" s="17" t="n">
        <v>0</v>
      </c>
      <c r="M109" s="18" t="str">
        <f aca="false">IF(H109=0,"",I109/H109)</f>
        <v/>
      </c>
    </row>
    <row r="110" customFormat="false" ht="15" hidden="false" customHeight="false" outlineLevel="0" collapsed="false">
      <c r="A110" s="13" t="s">
        <v>131</v>
      </c>
      <c r="B110" s="13" t="s">
        <v>170</v>
      </c>
      <c r="C110" s="13" t="n">
        <v>0</v>
      </c>
      <c r="D110" s="13" t="n">
        <v>0</v>
      </c>
      <c r="E110" s="13" t="n">
        <v>0</v>
      </c>
      <c r="F110" s="13" t="n">
        <v>0</v>
      </c>
      <c r="G110" s="17" t="n">
        <v>0</v>
      </c>
      <c r="H110" s="13" t="n">
        <v>12</v>
      </c>
      <c r="I110" s="13" t="n">
        <v>10</v>
      </c>
      <c r="J110" s="13" t="n">
        <v>0</v>
      </c>
      <c r="K110" s="13" t="n">
        <v>14</v>
      </c>
      <c r="L110" s="17" t="n">
        <v>0</v>
      </c>
      <c r="M110" s="18" t="n">
        <f aca="false">IF(H110=0,"",I110/H110)</f>
        <v>0.833333333333333</v>
      </c>
    </row>
    <row r="111" customFormat="false" ht="15" hidden="false" customHeight="false" outlineLevel="0" collapsed="false">
      <c r="A111" s="13" t="s">
        <v>131</v>
      </c>
      <c r="B111" s="13" t="s">
        <v>171</v>
      </c>
      <c r="C111" s="13" t="n">
        <v>0</v>
      </c>
      <c r="D111" s="13" t="n">
        <v>0</v>
      </c>
      <c r="E111" s="13" t="n">
        <v>0</v>
      </c>
      <c r="F111" s="13" t="n">
        <v>0</v>
      </c>
      <c r="G111" s="17" t="n">
        <v>0</v>
      </c>
      <c r="H111" s="13" t="n">
        <v>2</v>
      </c>
      <c r="I111" s="13" t="n">
        <v>0</v>
      </c>
      <c r="J111" s="13" t="n">
        <v>2</v>
      </c>
      <c r="K111" s="13" t="n">
        <v>0</v>
      </c>
      <c r="L111" s="17" t="n">
        <v>0.00015351</v>
      </c>
      <c r="M111" s="18" t="n">
        <f aca="false">IF(H111=0,"",I111/H111)</f>
        <v>0</v>
      </c>
    </row>
    <row r="112" customFormat="false" ht="15" hidden="false" customHeight="false" outlineLevel="0" collapsed="false">
      <c r="A112" s="13" t="s">
        <v>131</v>
      </c>
      <c r="B112" s="13" t="s">
        <v>172</v>
      </c>
      <c r="C112" s="13" t="n">
        <v>0</v>
      </c>
      <c r="D112" s="13" t="n">
        <v>0</v>
      </c>
      <c r="E112" s="13" t="n">
        <v>0</v>
      </c>
      <c r="F112" s="13" t="n">
        <v>0</v>
      </c>
      <c r="G112" s="17" t="n">
        <v>0</v>
      </c>
      <c r="H112" s="13" t="n">
        <v>86</v>
      </c>
      <c r="I112" s="13" t="n">
        <v>0</v>
      </c>
      <c r="J112" s="13" t="n">
        <v>86</v>
      </c>
      <c r="K112" s="13" t="n">
        <v>0</v>
      </c>
      <c r="L112" s="17" t="n">
        <v>0.0109624</v>
      </c>
      <c r="M112" s="18" t="n">
        <f aca="false">IF(H112=0,"",I112/H112)</f>
        <v>0</v>
      </c>
    </row>
    <row r="113" customFormat="false" ht="15" hidden="false" customHeight="false" outlineLevel="0" collapsed="false">
      <c r="A113" s="13" t="s">
        <v>131</v>
      </c>
      <c r="B113" s="13" t="s">
        <v>173</v>
      </c>
      <c r="C113" s="13" t="n">
        <v>0</v>
      </c>
      <c r="D113" s="13" t="n">
        <v>0</v>
      </c>
      <c r="E113" s="13" t="n">
        <v>0</v>
      </c>
      <c r="F113" s="13" t="n">
        <v>0</v>
      </c>
      <c r="G113" s="17" t="n">
        <v>0</v>
      </c>
      <c r="H113" s="13" t="n">
        <v>19</v>
      </c>
      <c r="I113" s="13" t="n">
        <v>2</v>
      </c>
      <c r="J113" s="13" t="n">
        <v>17</v>
      </c>
      <c r="K113" s="13" t="n">
        <v>0</v>
      </c>
      <c r="L113" s="17" t="n">
        <v>0.0111932</v>
      </c>
      <c r="M113" s="18" t="n">
        <f aca="false">IF(H113=0,"",I113/H113)</f>
        <v>0.105263157894737</v>
      </c>
    </row>
    <row r="114" customFormat="false" ht="15" hidden="false" customHeight="false" outlineLevel="0" collapsed="false">
      <c r="A114" s="13" t="s">
        <v>131</v>
      </c>
      <c r="B114" s="13" t="s">
        <v>175</v>
      </c>
      <c r="C114" s="13" t="n">
        <v>0</v>
      </c>
      <c r="D114" s="13" t="n">
        <v>0</v>
      </c>
      <c r="E114" s="13" t="n">
        <v>0</v>
      </c>
      <c r="F114" s="13" t="n">
        <v>0</v>
      </c>
      <c r="G114" s="17" t="n">
        <v>0</v>
      </c>
      <c r="H114" s="13" t="n">
        <v>7</v>
      </c>
      <c r="I114" s="13" t="n">
        <v>0</v>
      </c>
      <c r="J114" s="13" t="n">
        <v>0</v>
      </c>
      <c r="K114" s="13" t="n">
        <v>7</v>
      </c>
      <c r="L114" s="17" t="n">
        <v>0</v>
      </c>
      <c r="M114" s="18" t="n">
        <f aca="false">IF(H114=0,"",I114/H114)</f>
        <v>0</v>
      </c>
    </row>
    <row r="115" customFormat="false" ht="15" hidden="false" customHeight="false" outlineLevel="0" collapsed="false">
      <c r="A115" s="13" t="s">
        <v>131</v>
      </c>
      <c r="B115" s="13" t="s">
        <v>176</v>
      </c>
      <c r="C115" s="13" t="n">
        <v>0</v>
      </c>
      <c r="D115" s="13" t="n">
        <v>0</v>
      </c>
      <c r="E115" s="13" t="n">
        <v>0</v>
      </c>
      <c r="F115" s="13" t="n">
        <v>0</v>
      </c>
      <c r="G115" s="17" t="n">
        <v>0</v>
      </c>
      <c r="H115" s="13" t="n">
        <v>54</v>
      </c>
      <c r="I115" s="13" t="n">
        <v>0</v>
      </c>
      <c r="J115" s="13" t="n">
        <v>0</v>
      </c>
      <c r="K115" s="13" t="n">
        <v>0</v>
      </c>
      <c r="L115" s="17" t="n">
        <v>0</v>
      </c>
      <c r="M115" s="18" t="n">
        <f aca="false">IF(H115=0,"",I115/H115)</f>
        <v>0</v>
      </c>
    </row>
    <row r="116" customFormat="false" ht="15" hidden="false" customHeight="false" outlineLevel="0" collapsed="false">
      <c r="A116" s="13" t="s">
        <v>93</v>
      </c>
      <c r="B116" s="13" t="s">
        <v>170</v>
      </c>
      <c r="C116" s="13" t="n">
        <v>0</v>
      </c>
      <c r="D116" s="13" t="n">
        <v>0</v>
      </c>
      <c r="E116" s="13" t="n">
        <v>0</v>
      </c>
      <c r="F116" s="13" t="n">
        <v>0</v>
      </c>
      <c r="G116" s="17" t="n">
        <v>0</v>
      </c>
      <c r="H116" s="13" t="n">
        <v>112</v>
      </c>
      <c r="I116" s="13" t="n">
        <v>15</v>
      </c>
      <c r="J116" s="13" t="n">
        <v>0</v>
      </c>
      <c r="K116" s="13" t="n">
        <v>141</v>
      </c>
      <c r="L116" s="17" t="n">
        <v>0</v>
      </c>
      <c r="M116" s="18" t="n">
        <f aca="false">IF(H116=0,"",I116/H116)</f>
        <v>0.133928571428571</v>
      </c>
    </row>
    <row r="117" customFormat="false" ht="15" hidden="false" customHeight="false" outlineLevel="0" collapsed="false">
      <c r="A117" s="13" t="s">
        <v>93</v>
      </c>
      <c r="B117" s="13" t="s">
        <v>171</v>
      </c>
      <c r="C117" s="13" t="n">
        <v>0</v>
      </c>
      <c r="D117" s="13" t="n">
        <v>0</v>
      </c>
      <c r="E117" s="13" t="n">
        <v>0</v>
      </c>
      <c r="F117" s="13" t="n">
        <v>0</v>
      </c>
      <c r="G117" s="17" t="n">
        <v>0</v>
      </c>
      <c r="H117" s="13" t="n">
        <v>8</v>
      </c>
      <c r="I117" s="13" t="n">
        <v>6</v>
      </c>
      <c r="J117" s="13" t="n">
        <v>0</v>
      </c>
      <c r="K117" s="13" t="n">
        <v>0</v>
      </c>
      <c r="L117" s="17" t="n">
        <v>0.00125455</v>
      </c>
      <c r="M117" s="18" t="n">
        <f aca="false">IF(H117=0,"",I117/H117)</f>
        <v>0.75</v>
      </c>
    </row>
    <row r="118" customFormat="false" ht="15" hidden="false" customHeight="false" outlineLevel="0" collapsed="false">
      <c r="A118" s="13" t="s">
        <v>93</v>
      </c>
      <c r="B118" s="13" t="s">
        <v>172</v>
      </c>
      <c r="C118" s="13" t="n">
        <v>0</v>
      </c>
      <c r="D118" s="13" t="n">
        <v>0</v>
      </c>
      <c r="E118" s="13" t="n">
        <v>0</v>
      </c>
      <c r="F118" s="13" t="n">
        <v>0</v>
      </c>
      <c r="G118" s="17" t="n">
        <v>0</v>
      </c>
      <c r="H118" s="13" t="n">
        <v>290</v>
      </c>
      <c r="I118" s="13" t="n">
        <v>85</v>
      </c>
      <c r="J118" s="13" t="n">
        <v>203</v>
      </c>
      <c r="K118" s="13" t="n">
        <v>0</v>
      </c>
      <c r="L118" s="17" t="n">
        <v>0.177243866666667</v>
      </c>
      <c r="M118" s="18" t="n">
        <f aca="false">IF(H118=0,"",I118/H118)</f>
        <v>0.293103448275862</v>
      </c>
    </row>
    <row r="119" customFormat="false" ht="15" hidden="false" customHeight="false" outlineLevel="0" collapsed="false">
      <c r="A119" s="13" t="s">
        <v>93</v>
      </c>
      <c r="B119" s="13" t="s">
        <v>173</v>
      </c>
      <c r="C119" s="13" t="n">
        <v>0</v>
      </c>
      <c r="D119" s="13" t="n">
        <v>0</v>
      </c>
      <c r="E119" s="13" t="n">
        <v>0</v>
      </c>
      <c r="F119" s="13" t="n">
        <v>0</v>
      </c>
      <c r="G119" s="17" t="n">
        <v>0</v>
      </c>
      <c r="H119" s="13" t="n">
        <v>79</v>
      </c>
      <c r="I119" s="13" t="n">
        <v>37</v>
      </c>
      <c r="J119" s="13" t="n">
        <v>42</v>
      </c>
      <c r="K119" s="13" t="n">
        <v>0</v>
      </c>
      <c r="L119" s="17" t="n">
        <v>0.1426032</v>
      </c>
      <c r="M119" s="18" t="n">
        <f aca="false">IF(H119=0,"",I119/H119)</f>
        <v>0.468354430379747</v>
      </c>
    </row>
    <row r="120" customFormat="false" ht="15" hidden="false" customHeight="false" outlineLevel="0" collapsed="false">
      <c r="A120" s="13" t="s">
        <v>93</v>
      </c>
      <c r="B120" s="13" t="s">
        <v>175</v>
      </c>
      <c r="C120" s="13" t="n">
        <v>0</v>
      </c>
      <c r="D120" s="13" t="n">
        <v>0</v>
      </c>
      <c r="E120" s="13" t="n">
        <v>0</v>
      </c>
      <c r="F120" s="13" t="n">
        <v>0</v>
      </c>
      <c r="G120" s="17" t="n">
        <v>0</v>
      </c>
      <c r="H120" s="13" t="n">
        <v>8</v>
      </c>
      <c r="I120" s="13" t="n">
        <v>0</v>
      </c>
      <c r="J120" s="13" t="n">
        <v>0</v>
      </c>
      <c r="K120" s="13" t="n">
        <v>8</v>
      </c>
      <c r="L120" s="17" t="n">
        <v>0</v>
      </c>
      <c r="M120" s="18" t="n">
        <f aca="false">IF(H120=0,"",I120/H120)</f>
        <v>0</v>
      </c>
    </row>
    <row r="121" customFormat="false" ht="15" hidden="false" customHeight="false" outlineLevel="0" collapsed="false">
      <c r="A121" s="13" t="s">
        <v>93</v>
      </c>
      <c r="B121" s="13" t="s">
        <v>176</v>
      </c>
      <c r="C121" s="13" t="n">
        <v>0</v>
      </c>
      <c r="D121" s="13" t="n">
        <v>0</v>
      </c>
      <c r="E121" s="13" t="n">
        <v>0</v>
      </c>
      <c r="F121" s="13" t="n">
        <v>0</v>
      </c>
      <c r="G121" s="17" t="n">
        <v>0</v>
      </c>
      <c r="H121" s="13" t="n">
        <v>115</v>
      </c>
      <c r="I121" s="13" t="n">
        <v>0</v>
      </c>
      <c r="J121" s="13" t="n">
        <v>0</v>
      </c>
      <c r="K121" s="13" t="n">
        <v>0</v>
      </c>
      <c r="L121" s="17" t="n">
        <v>0</v>
      </c>
      <c r="M121" s="18" t="n">
        <f aca="false">IF(H121=0,"",I121/H121)</f>
        <v>0</v>
      </c>
    </row>
    <row r="122" customFormat="false" ht="15" hidden="false" customHeight="false" outlineLevel="0" collapsed="false">
      <c r="A122" s="13" t="s">
        <v>121</v>
      </c>
      <c r="B122" s="13" t="s">
        <v>170</v>
      </c>
      <c r="C122" s="13" t="n">
        <v>0</v>
      </c>
      <c r="D122" s="13" t="n">
        <v>0</v>
      </c>
      <c r="E122" s="13" t="n">
        <v>0</v>
      </c>
      <c r="F122" s="13" t="n">
        <v>0</v>
      </c>
      <c r="G122" s="17" t="n">
        <v>0</v>
      </c>
      <c r="H122" s="13" t="n">
        <v>21</v>
      </c>
      <c r="I122" s="13" t="n">
        <v>21</v>
      </c>
      <c r="J122" s="13" t="n">
        <v>0</v>
      </c>
      <c r="K122" s="13" t="n">
        <v>0</v>
      </c>
      <c r="L122" s="17" t="n">
        <v>0</v>
      </c>
      <c r="M122" s="18" t="n">
        <f aca="false">IF(H122=0,"",I122/H122)</f>
        <v>1</v>
      </c>
    </row>
    <row r="123" customFormat="false" ht="15" hidden="false" customHeight="false" outlineLevel="0" collapsed="false">
      <c r="A123" s="13" t="s">
        <v>121</v>
      </c>
      <c r="B123" s="13" t="s">
        <v>171</v>
      </c>
      <c r="C123" s="13" t="n">
        <v>0</v>
      </c>
      <c r="D123" s="13" t="n">
        <v>0</v>
      </c>
      <c r="E123" s="13" t="n">
        <v>0</v>
      </c>
      <c r="F123" s="13" t="n">
        <v>0</v>
      </c>
      <c r="G123" s="17" t="n">
        <v>0</v>
      </c>
      <c r="H123" s="13" t="n">
        <v>5</v>
      </c>
      <c r="I123" s="13" t="n">
        <v>0</v>
      </c>
      <c r="J123" s="13" t="n">
        <v>5</v>
      </c>
      <c r="K123" s="13" t="n">
        <v>0</v>
      </c>
      <c r="L123" s="17" t="n">
        <v>0.00032847</v>
      </c>
      <c r="M123" s="18" t="n">
        <f aca="false">IF(H123=0,"",I123/H123)</f>
        <v>0</v>
      </c>
    </row>
    <row r="124" customFormat="false" ht="15" hidden="false" customHeight="false" outlineLevel="0" collapsed="false">
      <c r="A124" s="13" t="s">
        <v>121</v>
      </c>
      <c r="B124" s="13" t="s">
        <v>172</v>
      </c>
      <c r="C124" s="13" t="n">
        <v>0</v>
      </c>
      <c r="D124" s="13" t="n">
        <v>0</v>
      </c>
      <c r="E124" s="13" t="n">
        <v>0</v>
      </c>
      <c r="F124" s="13" t="n">
        <v>0</v>
      </c>
      <c r="G124" s="17" t="n">
        <v>0</v>
      </c>
      <c r="H124" s="13" t="n">
        <v>304</v>
      </c>
      <c r="I124" s="13" t="n">
        <v>3</v>
      </c>
      <c r="J124" s="13" t="n">
        <v>301</v>
      </c>
      <c r="K124" s="13" t="n">
        <v>0</v>
      </c>
      <c r="L124" s="17" t="n">
        <v>0.1223522</v>
      </c>
      <c r="M124" s="18" t="n">
        <f aca="false">IF(H124=0,"",I124/H124)</f>
        <v>0.00986842105263158</v>
      </c>
    </row>
    <row r="125" customFormat="false" ht="15" hidden="false" customHeight="false" outlineLevel="0" collapsed="false">
      <c r="A125" s="13" t="s">
        <v>121</v>
      </c>
      <c r="B125" s="13" t="s">
        <v>173</v>
      </c>
      <c r="C125" s="13" t="n">
        <v>0</v>
      </c>
      <c r="D125" s="13" t="n">
        <v>0</v>
      </c>
      <c r="E125" s="13" t="n">
        <v>0</v>
      </c>
      <c r="F125" s="13" t="n">
        <v>0</v>
      </c>
      <c r="G125" s="17" t="n">
        <v>0</v>
      </c>
      <c r="H125" s="13" t="n">
        <v>21</v>
      </c>
      <c r="I125" s="13" t="n">
        <v>1</v>
      </c>
      <c r="J125" s="13" t="n">
        <v>20</v>
      </c>
      <c r="K125" s="13" t="n">
        <v>0</v>
      </c>
      <c r="L125" s="17" t="n">
        <v>0.0049944</v>
      </c>
      <c r="M125" s="18" t="n">
        <f aca="false">IF(H125=0,"",I125/H125)</f>
        <v>0.0476190476190476</v>
      </c>
    </row>
    <row r="126" customFormat="false" ht="15" hidden="false" customHeight="false" outlineLevel="0" collapsed="false">
      <c r="A126" s="13" t="s">
        <v>121</v>
      </c>
      <c r="B126" s="13" t="s">
        <v>175</v>
      </c>
      <c r="C126" s="13" t="n">
        <v>0</v>
      </c>
      <c r="D126" s="13" t="n">
        <v>0</v>
      </c>
      <c r="E126" s="13" t="n">
        <v>0</v>
      </c>
      <c r="F126" s="13" t="n">
        <v>0</v>
      </c>
      <c r="G126" s="17" t="n">
        <v>0</v>
      </c>
      <c r="H126" s="13" t="n">
        <v>6</v>
      </c>
      <c r="I126" s="13" t="n">
        <v>0</v>
      </c>
      <c r="J126" s="13" t="n">
        <v>0</v>
      </c>
      <c r="K126" s="13" t="n">
        <v>49</v>
      </c>
      <c r="L126" s="17" t="n">
        <v>0</v>
      </c>
      <c r="M126" s="18" t="n">
        <f aca="false">IF(H126=0,"",I126/H126)</f>
        <v>0</v>
      </c>
    </row>
    <row r="127" customFormat="false" ht="15" hidden="false" customHeight="false" outlineLevel="0" collapsed="false">
      <c r="A127" s="13" t="s">
        <v>121</v>
      </c>
      <c r="B127" s="13" t="s">
        <v>176</v>
      </c>
      <c r="C127" s="13" t="n">
        <v>0</v>
      </c>
      <c r="D127" s="13" t="n">
        <v>0</v>
      </c>
      <c r="E127" s="13" t="n">
        <v>0</v>
      </c>
      <c r="F127" s="13" t="n">
        <v>0</v>
      </c>
      <c r="G127" s="17" t="n">
        <v>0</v>
      </c>
      <c r="H127" s="13" t="n">
        <v>70</v>
      </c>
      <c r="I127" s="13" t="n">
        <v>0</v>
      </c>
      <c r="J127" s="13" t="n">
        <v>0</v>
      </c>
      <c r="K127" s="13" t="n">
        <v>0</v>
      </c>
      <c r="L127" s="17" t="n">
        <v>0</v>
      </c>
      <c r="M127" s="18" t="n">
        <f aca="false">IF(H127=0,"",I127/H127)</f>
        <v>0</v>
      </c>
    </row>
    <row r="128" customFormat="false" ht="15" hidden="false" customHeight="false" outlineLevel="0" collapsed="false">
      <c r="A128" s="13" t="s">
        <v>105</v>
      </c>
      <c r="B128" s="13" t="s">
        <v>169</v>
      </c>
      <c r="C128" s="13" t="n">
        <v>0</v>
      </c>
      <c r="D128" s="13" t="n">
        <v>0</v>
      </c>
      <c r="E128" s="13" t="n">
        <v>0</v>
      </c>
      <c r="F128" s="13" t="n">
        <v>0</v>
      </c>
      <c r="G128" s="17" t="n">
        <v>0</v>
      </c>
      <c r="H128" s="13" t="n">
        <v>166</v>
      </c>
      <c r="I128" s="13" t="n">
        <v>0</v>
      </c>
      <c r="J128" s="13" t="n">
        <v>56</v>
      </c>
      <c r="K128" s="13" t="n">
        <v>332</v>
      </c>
      <c r="L128" s="17" t="n">
        <v>0</v>
      </c>
      <c r="M128" s="18" t="n">
        <f aca="false">IF(H128=0,"",I128/H128)</f>
        <v>0</v>
      </c>
    </row>
    <row r="129" customFormat="false" ht="15" hidden="false" customHeight="false" outlineLevel="0" collapsed="false">
      <c r="A129" s="13" t="s">
        <v>105</v>
      </c>
      <c r="B129" s="13" t="s">
        <v>170</v>
      </c>
      <c r="C129" s="13" t="n">
        <v>3</v>
      </c>
      <c r="D129" s="13" t="n">
        <v>0</v>
      </c>
      <c r="E129" s="13" t="n">
        <v>0</v>
      </c>
      <c r="F129" s="13" t="n">
        <v>6</v>
      </c>
      <c r="G129" s="17" t="n">
        <v>0</v>
      </c>
      <c r="H129" s="13" t="n">
        <v>70</v>
      </c>
      <c r="I129" s="13" t="n">
        <v>7</v>
      </c>
      <c r="J129" s="13" t="n">
        <v>4</v>
      </c>
      <c r="K129" s="13" t="n">
        <v>9</v>
      </c>
      <c r="L129" s="17" t="n">
        <v>0</v>
      </c>
      <c r="M129" s="18" t="n">
        <f aca="false">IF(H129=0,"",I129/H129)</f>
        <v>0.1</v>
      </c>
    </row>
    <row r="130" customFormat="false" ht="15" hidden="false" customHeight="false" outlineLevel="0" collapsed="false">
      <c r="A130" s="13" t="s">
        <v>105</v>
      </c>
      <c r="B130" s="13" t="s">
        <v>171</v>
      </c>
      <c r="C130" s="13" t="n">
        <v>30</v>
      </c>
      <c r="D130" s="13" t="n">
        <v>0</v>
      </c>
      <c r="E130" s="13" t="n">
        <v>27</v>
      </c>
      <c r="F130" s="13" t="n">
        <v>0</v>
      </c>
      <c r="G130" s="17" t="n">
        <v>0.00392796</v>
      </c>
      <c r="H130" s="13" t="n">
        <v>30</v>
      </c>
      <c r="I130" s="13" t="n">
        <v>0</v>
      </c>
      <c r="J130" s="13" t="n">
        <v>27</v>
      </c>
      <c r="K130" s="13" t="n">
        <v>0</v>
      </c>
      <c r="L130" s="17" t="n">
        <v>0.00392796</v>
      </c>
      <c r="M130" s="18" t="n">
        <f aca="false">IF(H130=0,"",I130/H130)</f>
        <v>0</v>
      </c>
    </row>
    <row r="131" customFormat="false" ht="15" hidden="false" customHeight="false" outlineLevel="0" collapsed="false">
      <c r="A131" s="13" t="s">
        <v>105</v>
      </c>
      <c r="B131" s="13" t="s">
        <v>172</v>
      </c>
      <c r="C131" s="13" t="n">
        <v>0</v>
      </c>
      <c r="D131" s="13" t="n">
        <v>0</v>
      </c>
      <c r="E131" s="13" t="n">
        <v>0</v>
      </c>
      <c r="F131" s="13" t="n">
        <v>0</v>
      </c>
      <c r="G131" s="17" t="n">
        <v>0</v>
      </c>
      <c r="H131" s="13" t="n">
        <v>226</v>
      </c>
      <c r="I131" s="13" t="n">
        <v>36</v>
      </c>
      <c r="J131" s="13" t="n">
        <v>188</v>
      </c>
      <c r="K131" s="13" t="n">
        <v>0</v>
      </c>
      <c r="L131" s="17" t="n">
        <v>0.150674666666667</v>
      </c>
      <c r="M131" s="18" t="n">
        <f aca="false">IF(H131=0,"",I131/H131)</f>
        <v>0.15929203539823</v>
      </c>
    </row>
    <row r="132" customFormat="false" ht="15" hidden="false" customHeight="false" outlineLevel="0" collapsed="false">
      <c r="A132" s="13" t="s">
        <v>105</v>
      </c>
      <c r="B132" s="13" t="s">
        <v>173</v>
      </c>
      <c r="C132" s="13" t="n">
        <v>0</v>
      </c>
      <c r="D132" s="13" t="n">
        <v>0</v>
      </c>
      <c r="E132" s="13" t="n">
        <v>0</v>
      </c>
      <c r="F132" s="13" t="n">
        <v>0</v>
      </c>
      <c r="G132" s="17" t="n">
        <v>0</v>
      </c>
      <c r="H132" s="13" t="n">
        <v>13</v>
      </c>
      <c r="I132" s="13" t="n">
        <v>10</v>
      </c>
      <c r="J132" s="13" t="n">
        <v>3</v>
      </c>
      <c r="K132" s="13" t="n">
        <v>0</v>
      </c>
      <c r="L132" s="17" t="n">
        <v>0.060692</v>
      </c>
      <c r="M132" s="18" t="n">
        <f aca="false">IF(H132=0,"",I132/H132)</f>
        <v>0.769230769230769</v>
      </c>
    </row>
    <row r="133" customFormat="false" ht="15" hidden="false" customHeight="false" outlineLevel="0" collapsed="false">
      <c r="A133" s="13" t="s">
        <v>105</v>
      </c>
      <c r="B133" s="13" t="s">
        <v>175</v>
      </c>
      <c r="C133" s="13" t="n">
        <v>7</v>
      </c>
      <c r="D133" s="13" t="n">
        <v>0</v>
      </c>
      <c r="E133" s="13" t="n">
        <v>0</v>
      </c>
      <c r="F133" s="13" t="n">
        <v>7</v>
      </c>
      <c r="G133" s="17" t="n">
        <v>0</v>
      </c>
      <c r="H133" s="13" t="n">
        <v>13</v>
      </c>
      <c r="I133" s="13" t="n">
        <v>0</v>
      </c>
      <c r="J133" s="13" t="n">
        <v>0</v>
      </c>
      <c r="K133" s="13" t="n">
        <v>13</v>
      </c>
      <c r="L133" s="17" t="n">
        <v>0</v>
      </c>
      <c r="M133" s="18" t="n">
        <f aca="false">IF(H133=0,"",I133/H133)</f>
        <v>0</v>
      </c>
    </row>
    <row r="134" customFormat="false" ht="15" hidden="false" customHeight="false" outlineLevel="0" collapsed="false">
      <c r="A134" s="13" t="s">
        <v>105</v>
      </c>
      <c r="B134" s="13" t="s">
        <v>176</v>
      </c>
      <c r="C134" s="13" t="n">
        <v>0</v>
      </c>
      <c r="D134" s="13" t="n">
        <v>0</v>
      </c>
      <c r="E134" s="13" t="n">
        <v>0</v>
      </c>
      <c r="F134" s="13" t="n">
        <v>0</v>
      </c>
      <c r="G134" s="17" t="n">
        <v>0</v>
      </c>
      <c r="H134" s="13" t="n">
        <v>49</v>
      </c>
      <c r="I134" s="13" t="n">
        <v>0</v>
      </c>
      <c r="J134" s="13" t="n">
        <v>0</v>
      </c>
      <c r="K134" s="13" t="n">
        <v>0</v>
      </c>
      <c r="L134" s="17" t="n">
        <v>0</v>
      </c>
      <c r="M134" s="18" t="n">
        <f aca="false">IF(H134=0,"",I134/H134)</f>
        <v>0</v>
      </c>
    </row>
    <row r="135" customFormat="false" ht="15" hidden="false" customHeight="false" outlineLevel="0" collapsed="false">
      <c r="A135" s="13" t="s">
        <v>143</v>
      </c>
      <c r="B135" s="13" t="s">
        <v>169</v>
      </c>
      <c r="C135" s="13" t="n">
        <v>0</v>
      </c>
      <c r="D135" s="13" t="n">
        <v>0</v>
      </c>
      <c r="E135" s="13" t="n">
        <v>0</v>
      </c>
      <c r="F135" s="13" t="n">
        <v>0</v>
      </c>
      <c r="G135" s="17" t="n">
        <v>0</v>
      </c>
      <c r="H135" s="13" t="n">
        <v>0</v>
      </c>
      <c r="I135" s="13" t="n">
        <v>0</v>
      </c>
      <c r="J135" s="13" t="n">
        <v>2</v>
      </c>
      <c r="K135" s="13" t="n">
        <v>0</v>
      </c>
      <c r="L135" s="17" t="n">
        <v>0</v>
      </c>
      <c r="M135" s="18" t="str">
        <f aca="false">IF(H135=0,"",I135/H135)</f>
        <v/>
      </c>
    </row>
    <row r="136" customFormat="false" ht="15" hidden="false" customHeight="false" outlineLevel="0" collapsed="false">
      <c r="A136" s="13" t="s">
        <v>143</v>
      </c>
      <c r="B136" s="13" t="s">
        <v>170</v>
      </c>
      <c r="C136" s="13" t="n">
        <v>0</v>
      </c>
      <c r="D136" s="13" t="n">
        <v>0</v>
      </c>
      <c r="E136" s="13" t="n">
        <v>0</v>
      </c>
      <c r="F136" s="13" t="n">
        <v>0</v>
      </c>
      <c r="G136" s="17" t="n">
        <v>0</v>
      </c>
      <c r="H136" s="13" t="n">
        <v>4</v>
      </c>
      <c r="I136" s="13" t="n">
        <v>0</v>
      </c>
      <c r="J136" s="13" t="n">
        <v>0</v>
      </c>
      <c r="K136" s="13" t="n">
        <v>2</v>
      </c>
      <c r="L136" s="17" t="n">
        <v>0</v>
      </c>
      <c r="M136" s="18" t="n">
        <f aca="false">IF(H136=0,"",I136/H136)</f>
        <v>0</v>
      </c>
    </row>
    <row r="137" customFormat="false" ht="15" hidden="false" customHeight="false" outlineLevel="0" collapsed="false">
      <c r="A137" s="13" t="s">
        <v>143</v>
      </c>
      <c r="B137" s="13" t="s">
        <v>171</v>
      </c>
      <c r="C137" s="13" t="n">
        <v>0</v>
      </c>
      <c r="D137" s="13" t="n">
        <v>0</v>
      </c>
      <c r="E137" s="13" t="n">
        <v>0</v>
      </c>
      <c r="F137" s="13" t="n">
        <v>0</v>
      </c>
      <c r="G137" s="17" t="n">
        <v>0</v>
      </c>
      <c r="H137" s="13" t="n">
        <v>2</v>
      </c>
      <c r="I137" s="13" t="n">
        <v>0</v>
      </c>
      <c r="J137" s="13" t="n">
        <v>0</v>
      </c>
      <c r="K137" s="13" t="n">
        <v>0</v>
      </c>
      <c r="L137" s="17" t="n">
        <v>0.00022422</v>
      </c>
      <c r="M137" s="18" t="n">
        <f aca="false">IF(H137=0,"",I137/H137)</f>
        <v>0</v>
      </c>
    </row>
    <row r="138" customFormat="false" ht="15" hidden="false" customHeight="false" outlineLevel="0" collapsed="false">
      <c r="A138" s="13" t="s">
        <v>143</v>
      </c>
      <c r="B138" s="13" t="s">
        <v>172</v>
      </c>
      <c r="C138" s="13" t="n">
        <v>0</v>
      </c>
      <c r="D138" s="13" t="n">
        <v>0</v>
      </c>
      <c r="E138" s="13" t="n">
        <v>0</v>
      </c>
      <c r="F138" s="13" t="n">
        <v>0</v>
      </c>
      <c r="G138" s="17" t="n">
        <v>0</v>
      </c>
      <c r="H138" s="13" t="n">
        <v>19</v>
      </c>
      <c r="I138" s="13" t="n">
        <v>3</v>
      </c>
      <c r="J138" s="13" t="n">
        <v>16</v>
      </c>
      <c r="K138" s="13" t="n">
        <v>0</v>
      </c>
      <c r="L138" s="17" t="n">
        <v>0.00493493333333333</v>
      </c>
      <c r="M138" s="18" t="n">
        <f aca="false">IF(H138=0,"",I138/H138)</f>
        <v>0.157894736842105</v>
      </c>
    </row>
    <row r="139" customFormat="false" ht="15" hidden="false" customHeight="false" outlineLevel="0" collapsed="false">
      <c r="A139" s="13" t="s">
        <v>143</v>
      </c>
      <c r="B139" s="13" t="s">
        <v>173</v>
      </c>
      <c r="C139" s="13" t="n">
        <v>0</v>
      </c>
      <c r="D139" s="13" t="n">
        <v>0</v>
      </c>
      <c r="E139" s="13" t="n">
        <v>0</v>
      </c>
      <c r="F139" s="13" t="n">
        <v>0</v>
      </c>
      <c r="G139" s="17" t="n">
        <v>0</v>
      </c>
      <c r="H139" s="13" t="n">
        <v>2</v>
      </c>
      <c r="I139" s="13" t="n">
        <v>1</v>
      </c>
      <c r="J139" s="13" t="n">
        <v>1</v>
      </c>
      <c r="K139" s="13" t="n">
        <v>0</v>
      </c>
      <c r="L139" s="17" t="n">
        <v>0.0023688</v>
      </c>
      <c r="M139" s="18" t="n">
        <f aca="false">IF(H139=0,"",I139/H139)</f>
        <v>0.5</v>
      </c>
    </row>
    <row r="140" customFormat="false" ht="15" hidden="false" customHeight="false" outlineLevel="0" collapsed="false">
      <c r="A140" s="13" t="s">
        <v>143</v>
      </c>
      <c r="B140" s="13" t="s">
        <v>174</v>
      </c>
      <c r="C140" s="13" t="n">
        <v>0</v>
      </c>
      <c r="D140" s="13" t="n">
        <v>0</v>
      </c>
      <c r="E140" s="13" t="n">
        <v>0</v>
      </c>
      <c r="F140" s="13" t="n">
        <v>0</v>
      </c>
      <c r="G140" s="17" t="n">
        <v>0</v>
      </c>
      <c r="H140" s="13" t="n">
        <v>23</v>
      </c>
      <c r="I140" s="13" t="n">
        <v>21</v>
      </c>
      <c r="J140" s="13" t="n">
        <v>0</v>
      </c>
      <c r="K140" s="13" t="n">
        <v>0</v>
      </c>
      <c r="L140" s="17" t="n">
        <v>0.00556339</v>
      </c>
      <c r="M140" s="18" t="n">
        <f aca="false">IF(H140=0,"",I140/H140)</f>
        <v>0.91304347826087</v>
      </c>
    </row>
    <row r="141" customFormat="false" ht="15" hidden="false" customHeight="false" outlineLevel="0" collapsed="false">
      <c r="A141" s="13" t="s">
        <v>143</v>
      </c>
      <c r="B141" s="13" t="s">
        <v>175</v>
      </c>
      <c r="C141" s="13" t="n">
        <v>0</v>
      </c>
      <c r="D141" s="13" t="n">
        <v>0</v>
      </c>
      <c r="E141" s="13" t="n">
        <v>0</v>
      </c>
      <c r="F141" s="13" t="n">
        <v>0</v>
      </c>
      <c r="G141" s="17" t="n">
        <v>0</v>
      </c>
      <c r="H141" s="13" t="n">
        <v>43</v>
      </c>
      <c r="I141" s="13" t="n">
        <v>0</v>
      </c>
      <c r="J141" s="13" t="n">
        <v>0</v>
      </c>
      <c r="K141" s="13" t="n">
        <v>43</v>
      </c>
      <c r="L141" s="17" t="n">
        <v>0</v>
      </c>
      <c r="M141" s="18" t="n">
        <f aca="false">IF(H141=0,"",I141/H141)</f>
        <v>0</v>
      </c>
    </row>
    <row r="142" customFormat="false" ht="15" hidden="false" customHeight="false" outlineLevel="0" collapsed="false">
      <c r="A142" s="13" t="s">
        <v>143</v>
      </c>
      <c r="B142" s="13" t="s">
        <v>176</v>
      </c>
      <c r="C142" s="13" t="n">
        <v>0</v>
      </c>
      <c r="D142" s="13" t="n">
        <v>0</v>
      </c>
      <c r="E142" s="13" t="n">
        <v>0</v>
      </c>
      <c r="F142" s="13" t="n">
        <v>0</v>
      </c>
      <c r="G142" s="17" t="n">
        <v>0</v>
      </c>
      <c r="H142" s="13" t="n">
        <v>6</v>
      </c>
      <c r="I142" s="13" t="n">
        <v>0</v>
      </c>
      <c r="J142" s="13" t="n">
        <v>0</v>
      </c>
      <c r="K142" s="13" t="n">
        <v>0</v>
      </c>
      <c r="L142" s="17" t="n">
        <v>0</v>
      </c>
      <c r="M142" s="18" t="n">
        <f aca="false">IF(H142=0,"",I142/H142)</f>
        <v>0</v>
      </c>
    </row>
    <row r="143" customFormat="false" ht="15" hidden="false" customHeight="false" outlineLevel="0" collapsed="false">
      <c r="A143" s="13" t="s">
        <v>109</v>
      </c>
      <c r="B143" s="13" t="s">
        <v>170</v>
      </c>
      <c r="C143" s="13" t="n">
        <v>0</v>
      </c>
      <c r="D143" s="13" t="n">
        <v>0</v>
      </c>
      <c r="E143" s="13" t="n">
        <v>0</v>
      </c>
      <c r="F143" s="13" t="n">
        <v>0</v>
      </c>
      <c r="G143" s="17" t="n">
        <v>0</v>
      </c>
      <c r="H143" s="13" t="n">
        <v>3</v>
      </c>
      <c r="I143" s="13" t="n">
        <v>0</v>
      </c>
      <c r="J143" s="13" t="n">
        <v>0</v>
      </c>
      <c r="K143" s="13" t="n">
        <v>3</v>
      </c>
      <c r="L143" s="17" t="n">
        <v>0</v>
      </c>
      <c r="M143" s="18" t="n">
        <f aca="false">IF(H143=0,"",I143/H143)</f>
        <v>0</v>
      </c>
    </row>
    <row r="144" customFormat="false" ht="15" hidden="false" customHeight="false" outlineLevel="0" collapsed="false">
      <c r="A144" s="13" t="s">
        <v>109</v>
      </c>
      <c r="B144" s="13" t="s">
        <v>171</v>
      </c>
      <c r="C144" s="13" t="n">
        <v>0</v>
      </c>
      <c r="D144" s="13" t="n">
        <v>0</v>
      </c>
      <c r="E144" s="13" t="n">
        <v>0</v>
      </c>
      <c r="F144" s="13" t="n">
        <v>0</v>
      </c>
      <c r="G144" s="17" t="n">
        <v>0</v>
      </c>
      <c r="H144" s="13" t="n">
        <v>17</v>
      </c>
      <c r="I144" s="13" t="n">
        <v>0</v>
      </c>
      <c r="J144" s="13" t="n">
        <v>14</v>
      </c>
      <c r="K144" s="13" t="n">
        <v>0</v>
      </c>
      <c r="L144" s="17" t="n">
        <v>0.0018852</v>
      </c>
      <c r="M144" s="18" t="n">
        <f aca="false">IF(H144=0,"",I144/H144)</f>
        <v>0</v>
      </c>
    </row>
    <row r="145" customFormat="false" ht="15" hidden="false" customHeight="false" outlineLevel="0" collapsed="false">
      <c r="A145" s="13" t="s">
        <v>109</v>
      </c>
      <c r="B145" s="13" t="s">
        <v>172</v>
      </c>
      <c r="C145" s="13" t="n">
        <v>0</v>
      </c>
      <c r="D145" s="13" t="n">
        <v>0</v>
      </c>
      <c r="E145" s="13" t="n">
        <v>0</v>
      </c>
      <c r="F145" s="13" t="n">
        <v>0</v>
      </c>
      <c r="G145" s="17" t="n">
        <v>0</v>
      </c>
      <c r="H145" s="13" t="n">
        <v>51</v>
      </c>
      <c r="I145" s="13" t="n">
        <v>0</v>
      </c>
      <c r="J145" s="13" t="n">
        <v>51</v>
      </c>
      <c r="K145" s="13" t="n">
        <v>0</v>
      </c>
      <c r="L145" s="17" t="n">
        <v>0.0203609333333333</v>
      </c>
      <c r="M145" s="18" t="n">
        <f aca="false">IF(H145=0,"",I145/H145)</f>
        <v>0</v>
      </c>
    </row>
    <row r="146" customFormat="false" ht="15" hidden="false" customHeight="false" outlineLevel="0" collapsed="false">
      <c r="A146" s="13" t="s">
        <v>109</v>
      </c>
      <c r="B146" s="13" t="s">
        <v>173</v>
      </c>
      <c r="C146" s="13" t="n">
        <v>0</v>
      </c>
      <c r="D146" s="13" t="n">
        <v>0</v>
      </c>
      <c r="E146" s="13" t="n">
        <v>0</v>
      </c>
      <c r="F146" s="13" t="n">
        <v>0</v>
      </c>
      <c r="G146" s="17" t="n">
        <v>0</v>
      </c>
      <c r="H146" s="13" t="n">
        <v>2</v>
      </c>
      <c r="I146" s="13" t="n">
        <v>0</v>
      </c>
      <c r="J146" s="13" t="n">
        <v>2</v>
      </c>
      <c r="K146" s="13" t="n">
        <v>0</v>
      </c>
      <c r="L146" s="17" t="n">
        <v>0</v>
      </c>
      <c r="M146" s="18" t="n">
        <f aca="false">IF(H146=0,"",I146/H146)</f>
        <v>0</v>
      </c>
    </row>
    <row r="147" customFormat="false" ht="15" hidden="false" customHeight="false" outlineLevel="0" collapsed="false">
      <c r="A147" s="13" t="s">
        <v>109</v>
      </c>
      <c r="B147" s="13" t="s">
        <v>175</v>
      </c>
      <c r="C147" s="13" t="n">
        <v>0</v>
      </c>
      <c r="D147" s="13" t="n">
        <v>0</v>
      </c>
      <c r="E147" s="13" t="n">
        <v>0</v>
      </c>
      <c r="F147" s="13" t="n">
        <v>0</v>
      </c>
      <c r="G147" s="17" t="n">
        <v>0</v>
      </c>
      <c r="H147" s="13" t="n">
        <v>4</v>
      </c>
      <c r="I147" s="13" t="n">
        <v>0</v>
      </c>
      <c r="J147" s="13" t="n">
        <v>0</v>
      </c>
      <c r="K147" s="13" t="n">
        <v>4</v>
      </c>
      <c r="L147" s="17" t="n">
        <v>0</v>
      </c>
      <c r="M147" s="18" t="n">
        <f aca="false">IF(H147=0,"",I147/H147)</f>
        <v>0</v>
      </c>
    </row>
    <row r="148" customFormat="false" ht="15" hidden="false" customHeight="false" outlineLevel="0" collapsed="false">
      <c r="A148" s="13" t="s">
        <v>109</v>
      </c>
      <c r="B148" s="13" t="s">
        <v>176</v>
      </c>
      <c r="C148" s="13" t="n">
        <v>0</v>
      </c>
      <c r="D148" s="13" t="n">
        <v>0</v>
      </c>
      <c r="E148" s="13" t="n">
        <v>0</v>
      </c>
      <c r="F148" s="13" t="n">
        <v>0</v>
      </c>
      <c r="G148" s="17" t="n">
        <v>0</v>
      </c>
      <c r="H148" s="13" t="n">
        <v>22</v>
      </c>
      <c r="I148" s="13" t="n">
        <v>0</v>
      </c>
      <c r="J148" s="13" t="n">
        <v>0</v>
      </c>
      <c r="K148" s="13" t="n">
        <v>0</v>
      </c>
      <c r="L148" s="17" t="n">
        <v>0</v>
      </c>
      <c r="M148" s="18" t="n">
        <f aca="false">IF(H148=0,"",I148/H148)</f>
        <v>0</v>
      </c>
    </row>
    <row r="149" customFormat="false" ht="15" hidden="false" customHeight="false" outlineLevel="0" collapsed="false">
      <c r="A149" s="13" t="s">
        <v>83</v>
      </c>
      <c r="B149" s="13" t="s">
        <v>169</v>
      </c>
      <c r="C149" s="13" t="n">
        <v>0</v>
      </c>
      <c r="D149" s="13" t="n">
        <v>0</v>
      </c>
      <c r="E149" s="13" t="n">
        <v>0</v>
      </c>
      <c r="F149" s="13" t="n">
        <v>0</v>
      </c>
      <c r="G149" s="17" t="n">
        <v>0</v>
      </c>
      <c r="H149" s="13" t="n">
        <v>0</v>
      </c>
      <c r="I149" s="13" t="n">
        <v>0</v>
      </c>
      <c r="J149" s="13" t="n">
        <v>48</v>
      </c>
      <c r="K149" s="13" t="n">
        <v>0</v>
      </c>
      <c r="L149" s="17" t="n">
        <v>0</v>
      </c>
      <c r="M149" s="18" t="str">
        <f aca="false">IF(H149=0,"",I149/H149)</f>
        <v/>
      </c>
    </row>
    <row r="150" customFormat="false" ht="15" hidden="false" customHeight="false" outlineLevel="0" collapsed="false">
      <c r="A150" s="13" t="s">
        <v>83</v>
      </c>
      <c r="B150" s="13" t="s">
        <v>170</v>
      </c>
      <c r="C150" s="13" t="n">
        <v>0</v>
      </c>
      <c r="D150" s="13" t="n">
        <v>0</v>
      </c>
      <c r="E150" s="13" t="n">
        <v>0</v>
      </c>
      <c r="F150" s="13" t="n">
        <v>0</v>
      </c>
      <c r="G150" s="17" t="n">
        <v>0</v>
      </c>
      <c r="H150" s="13" t="n">
        <v>57</v>
      </c>
      <c r="I150" s="13" t="n">
        <v>1</v>
      </c>
      <c r="J150" s="13" t="n">
        <v>4</v>
      </c>
      <c r="K150" s="13" t="n">
        <v>127</v>
      </c>
      <c r="L150" s="17" t="n">
        <v>0</v>
      </c>
      <c r="M150" s="18" t="n">
        <f aca="false">IF(H150=0,"",I150/H150)</f>
        <v>0.0175438596491228</v>
      </c>
    </row>
    <row r="151" customFormat="false" ht="15" hidden="false" customHeight="false" outlineLevel="0" collapsed="false">
      <c r="A151" s="13" t="s">
        <v>83</v>
      </c>
      <c r="B151" s="13" t="s">
        <v>171</v>
      </c>
      <c r="C151" s="13" t="n">
        <v>0</v>
      </c>
      <c r="D151" s="13" t="n">
        <v>0</v>
      </c>
      <c r="E151" s="13" t="n">
        <v>0</v>
      </c>
      <c r="F151" s="13" t="n">
        <v>0</v>
      </c>
      <c r="G151" s="17" t="n">
        <v>0</v>
      </c>
      <c r="H151" s="13" t="n">
        <v>4</v>
      </c>
      <c r="I151" s="13" t="n">
        <v>0</v>
      </c>
      <c r="J151" s="13" t="n">
        <v>4</v>
      </c>
      <c r="K151" s="13" t="n">
        <v>0</v>
      </c>
      <c r="L151" s="17" t="n">
        <v>0.00044223</v>
      </c>
      <c r="M151" s="18" t="n">
        <f aca="false">IF(H151=0,"",I151/H151)</f>
        <v>0</v>
      </c>
    </row>
    <row r="152" customFormat="false" ht="15" hidden="false" customHeight="false" outlineLevel="0" collapsed="false">
      <c r="A152" s="13" t="s">
        <v>83</v>
      </c>
      <c r="B152" s="13" t="s">
        <v>172</v>
      </c>
      <c r="C152" s="13" t="n">
        <v>0</v>
      </c>
      <c r="D152" s="13" t="n">
        <v>0</v>
      </c>
      <c r="E152" s="13" t="n">
        <v>0</v>
      </c>
      <c r="F152" s="13" t="n">
        <v>0</v>
      </c>
      <c r="G152" s="17" t="n">
        <v>0</v>
      </c>
      <c r="H152" s="13" t="n">
        <v>279</v>
      </c>
      <c r="I152" s="13" t="n">
        <v>0</v>
      </c>
      <c r="J152" s="13" t="n">
        <v>279</v>
      </c>
      <c r="K152" s="13" t="n">
        <v>0</v>
      </c>
      <c r="L152" s="17" t="n">
        <v>0.2303294</v>
      </c>
      <c r="M152" s="18" t="n">
        <f aca="false">IF(H152=0,"",I152/H152)</f>
        <v>0</v>
      </c>
    </row>
    <row r="153" customFormat="false" ht="15" hidden="false" customHeight="false" outlineLevel="0" collapsed="false">
      <c r="A153" s="13" t="s">
        <v>83</v>
      </c>
      <c r="B153" s="13" t="s">
        <v>173</v>
      </c>
      <c r="C153" s="13" t="n">
        <v>0</v>
      </c>
      <c r="D153" s="13" t="n">
        <v>0</v>
      </c>
      <c r="E153" s="13" t="n">
        <v>0</v>
      </c>
      <c r="F153" s="13" t="n">
        <v>0</v>
      </c>
      <c r="G153" s="17" t="n">
        <v>0</v>
      </c>
      <c r="H153" s="13" t="n">
        <v>7</v>
      </c>
      <c r="I153" s="13" t="n">
        <v>4</v>
      </c>
      <c r="J153" s="13" t="n">
        <v>3</v>
      </c>
      <c r="K153" s="13" t="n">
        <v>0</v>
      </c>
      <c r="L153" s="17" t="n">
        <v>0.0225104</v>
      </c>
      <c r="M153" s="18" t="n">
        <f aca="false">IF(H153=0,"",I153/H153)</f>
        <v>0.571428571428571</v>
      </c>
    </row>
    <row r="154" customFormat="false" ht="15" hidden="false" customHeight="false" outlineLevel="0" collapsed="false">
      <c r="A154" s="13" t="s">
        <v>83</v>
      </c>
      <c r="B154" s="13" t="s">
        <v>175</v>
      </c>
      <c r="C154" s="13" t="n">
        <v>0</v>
      </c>
      <c r="D154" s="13" t="n">
        <v>0</v>
      </c>
      <c r="E154" s="13" t="n">
        <v>0</v>
      </c>
      <c r="F154" s="13" t="n">
        <v>0</v>
      </c>
      <c r="G154" s="17" t="n">
        <v>0</v>
      </c>
      <c r="H154" s="13" t="n">
        <v>3</v>
      </c>
      <c r="I154" s="13" t="n">
        <v>0</v>
      </c>
      <c r="J154" s="13" t="n">
        <v>0</v>
      </c>
      <c r="K154" s="13" t="n">
        <v>3</v>
      </c>
      <c r="L154" s="17" t="n">
        <v>0</v>
      </c>
      <c r="M154" s="18" t="n">
        <f aca="false">IF(H154=0,"",I154/H154)</f>
        <v>0</v>
      </c>
    </row>
    <row r="155" customFormat="false" ht="15" hidden="false" customHeight="false" outlineLevel="0" collapsed="false">
      <c r="A155" s="13" t="s">
        <v>83</v>
      </c>
      <c r="B155" s="13" t="s">
        <v>176</v>
      </c>
      <c r="C155" s="13" t="n">
        <v>0</v>
      </c>
      <c r="D155" s="13" t="n">
        <v>0</v>
      </c>
      <c r="E155" s="13" t="n">
        <v>0</v>
      </c>
      <c r="F155" s="13" t="n">
        <v>0</v>
      </c>
      <c r="G155" s="17" t="n">
        <v>0</v>
      </c>
      <c r="H155" s="13" t="n">
        <v>162</v>
      </c>
      <c r="I155" s="13" t="n">
        <v>0</v>
      </c>
      <c r="J155" s="13" t="n">
        <v>0</v>
      </c>
      <c r="K155" s="13" t="n">
        <v>0</v>
      </c>
      <c r="L155" s="17" t="n">
        <v>0</v>
      </c>
      <c r="M155" s="18" t="n">
        <f aca="false">IF(H155=0,"",I155/H155)</f>
        <v>0</v>
      </c>
    </row>
    <row r="156" customFormat="false" ht="15" hidden="false" customHeight="false" outlineLevel="0" collapsed="false">
      <c r="A156" s="13" t="s">
        <v>101</v>
      </c>
      <c r="B156" s="13" t="s">
        <v>170</v>
      </c>
      <c r="C156" s="13" t="n">
        <v>0</v>
      </c>
      <c r="D156" s="13" t="n">
        <v>0</v>
      </c>
      <c r="E156" s="13" t="n">
        <v>0</v>
      </c>
      <c r="F156" s="13" t="n">
        <v>0</v>
      </c>
      <c r="G156" s="17" t="n">
        <v>0</v>
      </c>
      <c r="H156" s="13" t="n">
        <v>81</v>
      </c>
      <c r="I156" s="13" t="n">
        <v>81</v>
      </c>
      <c r="J156" s="13" t="n">
        <v>0</v>
      </c>
      <c r="K156" s="13" t="n">
        <v>0</v>
      </c>
      <c r="L156" s="17" t="n">
        <v>0</v>
      </c>
      <c r="M156" s="18" t="n">
        <f aca="false">IF(H156=0,"",I156/H156)</f>
        <v>1</v>
      </c>
    </row>
    <row r="157" customFormat="false" ht="15" hidden="false" customHeight="false" outlineLevel="0" collapsed="false">
      <c r="A157" s="13" t="s">
        <v>101</v>
      </c>
      <c r="B157" s="13" t="s">
        <v>172</v>
      </c>
      <c r="C157" s="13" t="n">
        <v>0</v>
      </c>
      <c r="D157" s="13" t="n">
        <v>0</v>
      </c>
      <c r="E157" s="13" t="n">
        <v>0</v>
      </c>
      <c r="F157" s="13" t="n">
        <v>0</v>
      </c>
      <c r="G157" s="17" t="n">
        <v>0</v>
      </c>
      <c r="H157" s="13" t="n">
        <v>289</v>
      </c>
      <c r="I157" s="13" t="n">
        <v>192</v>
      </c>
      <c r="J157" s="13" t="n">
        <v>86</v>
      </c>
      <c r="K157" s="13" t="n">
        <v>0</v>
      </c>
      <c r="L157" s="17" t="n">
        <v>0.0795216</v>
      </c>
      <c r="M157" s="18" t="n">
        <f aca="false">IF(H157=0,"",I157/H157)</f>
        <v>0.664359861591696</v>
      </c>
    </row>
    <row r="158" customFormat="false" ht="15" hidden="false" customHeight="false" outlineLevel="0" collapsed="false">
      <c r="A158" s="13" t="s">
        <v>101</v>
      </c>
      <c r="B158" s="13" t="s">
        <v>173</v>
      </c>
      <c r="C158" s="13" t="n">
        <v>0</v>
      </c>
      <c r="D158" s="13" t="n">
        <v>0</v>
      </c>
      <c r="E158" s="13" t="n">
        <v>0</v>
      </c>
      <c r="F158" s="13" t="n">
        <v>0</v>
      </c>
      <c r="G158" s="17" t="n">
        <v>0</v>
      </c>
      <c r="H158" s="13" t="n">
        <v>81</v>
      </c>
      <c r="I158" s="13" t="n">
        <v>1</v>
      </c>
      <c r="J158" s="13" t="n">
        <v>80</v>
      </c>
      <c r="K158" s="13" t="n">
        <v>0</v>
      </c>
      <c r="L158" s="17" t="n">
        <v>0.015308</v>
      </c>
      <c r="M158" s="18" t="n">
        <f aca="false">IF(H158=0,"",I158/H158)</f>
        <v>0.0123456790123457</v>
      </c>
    </row>
    <row r="159" customFormat="false" ht="15" hidden="false" customHeight="false" outlineLevel="0" collapsed="false">
      <c r="A159" s="13" t="s">
        <v>101</v>
      </c>
      <c r="B159" s="13" t="s">
        <v>176</v>
      </c>
      <c r="C159" s="13" t="n">
        <v>0</v>
      </c>
      <c r="D159" s="13" t="n">
        <v>0</v>
      </c>
      <c r="E159" s="13" t="n">
        <v>0</v>
      </c>
      <c r="F159" s="13" t="n">
        <v>0</v>
      </c>
      <c r="G159" s="17" t="n">
        <v>0</v>
      </c>
      <c r="H159" s="13" t="n">
        <v>48</v>
      </c>
      <c r="I159" s="13" t="n">
        <v>0</v>
      </c>
      <c r="J159" s="13" t="n">
        <v>0</v>
      </c>
      <c r="K159" s="13" t="n">
        <v>0</v>
      </c>
      <c r="L159" s="17" t="n">
        <v>0</v>
      </c>
      <c r="M159" s="18" t="n">
        <f aca="false">IF(H159=0,"",I159/H159)</f>
        <v>0</v>
      </c>
    </row>
    <row r="160" customFormat="false" ht="15" hidden="false" customHeight="false" outlineLevel="0" collapsed="false">
      <c r="A160" s="13" t="s">
        <v>87</v>
      </c>
      <c r="B160" s="13" t="s">
        <v>170</v>
      </c>
      <c r="C160" s="13" t="n">
        <v>0</v>
      </c>
      <c r="D160" s="13" t="n">
        <v>0</v>
      </c>
      <c r="E160" s="13" t="n">
        <v>0</v>
      </c>
      <c r="F160" s="13" t="n">
        <v>0</v>
      </c>
      <c r="G160" s="17" t="n">
        <v>0</v>
      </c>
      <c r="H160" s="13" t="n">
        <v>57</v>
      </c>
      <c r="I160" s="13" t="n">
        <v>48</v>
      </c>
      <c r="J160" s="13" t="n">
        <v>9</v>
      </c>
      <c r="K160" s="13" t="n">
        <v>0</v>
      </c>
      <c r="L160" s="17" t="n">
        <v>0</v>
      </c>
      <c r="M160" s="18" t="n">
        <f aca="false">IF(H160=0,"",I160/H160)</f>
        <v>0.842105263157895</v>
      </c>
    </row>
    <row r="161" customFormat="false" ht="15" hidden="false" customHeight="false" outlineLevel="0" collapsed="false">
      <c r="A161" s="13" t="s">
        <v>87</v>
      </c>
      <c r="B161" s="13" t="s">
        <v>172</v>
      </c>
      <c r="C161" s="13" t="n">
        <v>0</v>
      </c>
      <c r="D161" s="13" t="n">
        <v>0</v>
      </c>
      <c r="E161" s="13" t="n">
        <v>0</v>
      </c>
      <c r="F161" s="13" t="n">
        <v>0</v>
      </c>
      <c r="G161" s="17" t="n">
        <v>0</v>
      </c>
      <c r="H161" s="13" t="n">
        <v>198</v>
      </c>
      <c r="I161" s="13" t="n">
        <v>12</v>
      </c>
      <c r="J161" s="13" t="n">
        <v>180</v>
      </c>
      <c r="K161" s="13" t="n">
        <v>0</v>
      </c>
      <c r="L161" s="17" t="n">
        <v>0.174782633333333</v>
      </c>
      <c r="M161" s="18" t="n">
        <f aca="false">IF(H161=0,"",I161/H161)</f>
        <v>0.0606060606060606</v>
      </c>
    </row>
    <row r="162" customFormat="false" ht="15" hidden="false" customHeight="false" outlineLevel="0" collapsed="false">
      <c r="A162" s="13" t="s">
        <v>87</v>
      </c>
      <c r="B162" s="13" t="s">
        <v>173</v>
      </c>
      <c r="C162" s="13" t="n">
        <v>0</v>
      </c>
      <c r="D162" s="13" t="n">
        <v>0</v>
      </c>
      <c r="E162" s="13" t="n">
        <v>0</v>
      </c>
      <c r="F162" s="13" t="n">
        <v>0</v>
      </c>
      <c r="G162" s="17" t="n">
        <v>0</v>
      </c>
      <c r="H162" s="13" t="n">
        <v>79</v>
      </c>
      <c r="I162" s="13" t="n">
        <v>64</v>
      </c>
      <c r="J162" s="13" t="n">
        <v>15</v>
      </c>
      <c r="K162" s="13" t="n">
        <v>0</v>
      </c>
      <c r="L162" s="17" t="n">
        <v>0.2052216</v>
      </c>
      <c r="M162" s="18" t="n">
        <f aca="false">IF(H162=0,"",I162/H162)</f>
        <v>0.810126582278481</v>
      </c>
    </row>
    <row r="163" customFormat="false" ht="15" hidden="false" customHeight="false" outlineLevel="0" collapsed="false">
      <c r="A163" s="13" t="s">
        <v>87</v>
      </c>
      <c r="B163" s="13" t="s">
        <v>175</v>
      </c>
      <c r="C163" s="13" t="n">
        <v>0</v>
      </c>
      <c r="D163" s="13" t="n">
        <v>0</v>
      </c>
      <c r="E163" s="13" t="n">
        <v>0</v>
      </c>
      <c r="F163" s="13" t="n">
        <v>0</v>
      </c>
      <c r="G163" s="17" t="n">
        <v>0</v>
      </c>
      <c r="H163" s="13" t="n">
        <v>10</v>
      </c>
      <c r="I163" s="13" t="n">
        <v>0</v>
      </c>
      <c r="J163" s="13" t="n">
        <v>0</v>
      </c>
      <c r="K163" s="13" t="n">
        <v>10</v>
      </c>
      <c r="L163" s="17" t="n">
        <v>0</v>
      </c>
      <c r="M163" s="18" t="n">
        <f aca="false">IF(H163=0,"",I163/H163)</f>
        <v>0</v>
      </c>
    </row>
    <row r="164" customFormat="false" ht="15" hidden="false" customHeight="false" outlineLevel="0" collapsed="false">
      <c r="A164" s="13" t="s">
        <v>87</v>
      </c>
      <c r="B164" s="13" t="s">
        <v>176</v>
      </c>
      <c r="C164" s="13" t="n">
        <v>0</v>
      </c>
      <c r="D164" s="13" t="n">
        <v>0</v>
      </c>
      <c r="E164" s="13" t="n">
        <v>0</v>
      </c>
      <c r="F164" s="13" t="n">
        <v>0</v>
      </c>
      <c r="G164" s="17" t="n">
        <v>0</v>
      </c>
      <c r="H164" s="13" t="n">
        <v>112</v>
      </c>
      <c r="I164" s="13" t="n">
        <v>0</v>
      </c>
      <c r="J164" s="13" t="n">
        <v>0</v>
      </c>
      <c r="K164" s="13" t="n">
        <v>0</v>
      </c>
      <c r="L164" s="17" t="n">
        <v>0</v>
      </c>
      <c r="M164" s="18" t="n">
        <f aca="false">IF(H164=0,"",I164/H164)</f>
        <v>0</v>
      </c>
    </row>
    <row r="165" customFormat="false" ht="15" hidden="false" customHeight="false" outlineLevel="0" collapsed="false">
      <c r="A165" s="13" t="s">
        <v>95</v>
      </c>
      <c r="B165" s="13" t="s">
        <v>172</v>
      </c>
      <c r="C165" s="13" t="n">
        <v>0</v>
      </c>
      <c r="D165" s="13" t="n">
        <v>0</v>
      </c>
      <c r="E165" s="13" t="n">
        <v>0</v>
      </c>
      <c r="F165" s="13" t="n">
        <v>0</v>
      </c>
      <c r="G165" s="17" t="n">
        <v>0</v>
      </c>
      <c r="H165" s="13" t="n">
        <v>44</v>
      </c>
      <c r="I165" s="13" t="n">
        <v>0</v>
      </c>
      <c r="J165" s="13" t="n">
        <v>44</v>
      </c>
      <c r="K165" s="13" t="n">
        <v>0</v>
      </c>
      <c r="L165" s="17" t="n">
        <v>0.0934984</v>
      </c>
      <c r="M165" s="18" t="n">
        <f aca="false">IF(H165=0,"",I165/H165)</f>
        <v>0</v>
      </c>
    </row>
    <row r="166" customFormat="false" ht="15" hidden="false" customHeight="false" outlineLevel="0" collapsed="false">
      <c r="A166" s="13" t="s">
        <v>95</v>
      </c>
      <c r="B166" s="13" t="s">
        <v>173</v>
      </c>
      <c r="C166" s="13" t="n">
        <v>0</v>
      </c>
      <c r="D166" s="13" t="n">
        <v>0</v>
      </c>
      <c r="E166" s="13" t="n">
        <v>0</v>
      </c>
      <c r="F166" s="13" t="n">
        <v>0</v>
      </c>
      <c r="G166" s="17" t="n">
        <v>0</v>
      </c>
      <c r="H166" s="13" t="n">
        <v>4</v>
      </c>
      <c r="I166" s="13" t="n">
        <v>1</v>
      </c>
      <c r="J166" s="13" t="n">
        <v>3</v>
      </c>
      <c r="K166" s="13" t="n">
        <v>0</v>
      </c>
      <c r="L166" s="17" t="n">
        <v>0.0020624</v>
      </c>
      <c r="M166" s="18" t="n">
        <f aca="false">IF(H166=0,"",I166/H166)</f>
        <v>0.25</v>
      </c>
    </row>
    <row r="167" customFormat="false" ht="15" hidden="false" customHeight="false" outlineLevel="0" collapsed="false">
      <c r="A167" s="13" t="s">
        <v>95</v>
      </c>
      <c r="B167" s="13" t="s">
        <v>175</v>
      </c>
      <c r="C167" s="13" t="n">
        <v>0</v>
      </c>
      <c r="D167" s="13" t="n">
        <v>0</v>
      </c>
      <c r="E167" s="13" t="n">
        <v>0</v>
      </c>
      <c r="F167" s="13" t="n">
        <v>0</v>
      </c>
      <c r="G167" s="17" t="n">
        <v>0</v>
      </c>
      <c r="H167" s="13" t="n">
        <v>2</v>
      </c>
      <c r="I167" s="13" t="n">
        <v>0</v>
      </c>
      <c r="J167" s="13" t="n">
        <v>0</v>
      </c>
      <c r="K167" s="13" t="n">
        <v>2</v>
      </c>
      <c r="L167" s="17" t="n">
        <v>0</v>
      </c>
      <c r="M167" s="18" t="n">
        <f aca="false">IF(H167=0,"",I167/H167)</f>
        <v>0</v>
      </c>
    </row>
    <row r="168" customFormat="false" ht="15" hidden="false" customHeight="false" outlineLevel="0" collapsed="false">
      <c r="A168" s="13" t="s">
        <v>95</v>
      </c>
      <c r="B168" s="13" t="s">
        <v>176</v>
      </c>
      <c r="C168" s="13" t="n">
        <v>0</v>
      </c>
      <c r="D168" s="13" t="n">
        <v>0</v>
      </c>
      <c r="E168" s="13" t="n">
        <v>0</v>
      </c>
      <c r="F168" s="13" t="n">
        <v>0</v>
      </c>
      <c r="G168" s="17" t="n">
        <v>0</v>
      </c>
      <c r="H168" s="13" t="n">
        <v>44</v>
      </c>
      <c r="I168" s="13" t="n">
        <v>0</v>
      </c>
      <c r="J168" s="13" t="n">
        <v>0</v>
      </c>
      <c r="K168" s="13" t="n">
        <v>0</v>
      </c>
      <c r="L168" s="17" t="n">
        <v>0</v>
      </c>
      <c r="M168" s="18" t="n">
        <f aca="false">IF(H168=0,"",I168/H168)</f>
        <v>0</v>
      </c>
    </row>
    <row r="169" customFormat="false" ht="15" hidden="false" customHeight="false" outlineLevel="0" collapsed="false">
      <c r="A169" s="13" t="s">
        <v>145</v>
      </c>
      <c r="B169" s="13" t="s">
        <v>170</v>
      </c>
      <c r="C169" s="13" t="n">
        <v>0</v>
      </c>
      <c r="D169" s="13" t="n">
        <v>0</v>
      </c>
      <c r="E169" s="13" t="n">
        <v>0</v>
      </c>
      <c r="F169" s="13" t="n">
        <v>0</v>
      </c>
      <c r="G169" s="17" t="n">
        <v>0</v>
      </c>
      <c r="H169" s="13" t="n">
        <v>7</v>
      </c>
      <c r="I169" s="13" t="n">
        <v>7</v>
      </c>
      <c r="J169" s="13" t="n">
        <v>0</v>
      </c>
      <c r="K169" s="13" t="n">
        <v>0</v>
      </c>
      <c r="L169" s="17" t="n">
        <v>0</v>
      </c>
      <c r="M169" s="18" t="n">
        <f aca="false">IF(H169=0,"",I169/H169)</f>
        <v>1</v>
      </c>
    </row>
    <row r="170" customFormat="false" ht="15" hidden="false" customHeight="false" outlineLevel="0" collapsed="false">
      <c r="A170" s="13" t="s">
        <v>145</v>
      </c>
      <c r="B170" s="13" t="s">
        <v>172</v>
      </c>
      <c r="C170" s="13" t="n">
        <v>0</v>
      </c>
      <c r="D170" s="13" t="n">
        <v>0</v>
      </c>
      <c r="E170" s="13" t="n">
        <v>0</v>
      </c>
      <c r="F170" s="13" t="n">
        <v>0</v>
      </c>
      <c r="G170" s="17" t="n">
        <v>0</v>
      </c>
      <c r="H170" s="13" t="n">
        <v>8</v>
      </c>
      <c r="I170" s="13" t="n">
        <v>2</v>
      </c>
      <c r="J170" s="13" t="n">
        <v>5</v>
      </c>
      <c r="K170" s="13" t="n">
        <v>0</v>
      </c>
      <c r="L170" s="17" t="n">
        <v>0.0092308</v>
      </c>
      <c r="M170" s="18" t="n">
        <f aca="false">IF(H170=0,"",I170/H170)</f>
        <v>0.25</v>
      </c>
    </row>
    <row r="171" customFormat="false" ht="15" hidden="false" customHeight="false" outlineLevel="0" collapsed="false">
      <c r="A171" s="13" t="s">
        <v>145</v>
      </c>
      <c r="B171" s="13" t="s">
        <v>173</v>
      </c>
      <c r="C171" s="13" t="n">
        <v>0</v>
      </c>
      <c r="D171" s="13" t="n">
        <v>0</v>
      </c>
      <c r="E171" s="13" t="n">
        <v>0</v>
      </c>
      <c r="F171" s="13" t="n">
        <v>0</v>
      </c>
      <c r="G171" s="17" t="n">
        <v>0</v>
      </c>
      <c r="H171" s="13" t="n">
        <v>10</v>
      </c>
      <c r="I171" s="13" t="n">
        <v>6</v>
      </c>
      <c r="J171" s="13" t="n">
        <v>4</v>
      </c>
      <c r="K171" s="13" t="n">
        <v>0</v>
      </c>
      <c r="L171" s="17" t="n">
        <v>0.0155192</v>
      </c>
      <c r="M171" s="18" t="n">
        <f aca="false">IF(H171=0,"",I171/H171)</f>
        <v>0.6</v>
      </c>
    </row>
    <row r="172" customFormat="false" ht="15" hidden="false" customHeight="false" outlineLevel="0" collapsed="false">
      <c r="A172" s="13" t="s">
        <v>145</v>
      </c>
      <c r="B172" s="13" t="s">
        <v>175</v>
      </c>
      <c r="C172" s="13" t="n">
        <v>0</v>
      </c>
      <c r="D172" s="13" t="n">
        <v>0</v>
      </c>
      <c r="E172" s="13" t="n">
        <v>0</v>
      </c>
      <c r="F172" s="13" t="n">
        <v>0</v>
      </c>
      <c r="G172" s="17" t="n">
        <v>0</v>
      </c>
      <c r="H172" s="13" t="n">
        <v>3</v>
      </c>
      <c r="I172" s="13" t="n">
        <v>0</v>
      </c>
      <c r="J172" s="13" t="n">
        <v>0</v>
      </c>
      <c r="K172" s="13" t="n">
        <v>3</v>
      </c>
      <c r="L172" s="17" t="n">
        <v>0</v>
      </c>
      <c r="M172" s="18" t="n">
        <f aca="false">IF(H172=0,"",I172/H172)</f>
        <v>0</v>
      </c>
    </row>
    <row r="173" customFormat="false" ht="15" hidden="false" customHeight="false" outlineLevel="0" collapsed="false">
      <c r="A173" s="13" t="s">
        <v>107</v>
      </c>
      <c r="B173" s="13" t="s">
        <v>172</v>
      </c>
      <c r="C173" s="13" t="n">
        <v>0</v>
      </c>
      <c r="D173" s="13" t="n">
        <v>0</v>
      </c>
      <c r="E173" s="13" t="n">
        <v>0</v>
      </c>
      <c r="F173" s="13" t="n">
        <v>0</v>
      </c>
      <c r="G173" s="17" t="n">
        <v>0</v>
      </c>
      <c r="H173" s="13" t="n">
        <v>29</v>
      </c>
      <c r="I173" s="13" t="n">
        <v>4</v>
      </c>
      <c r="J173" s="13" t="n">
        <v>25</v>
      </c>
      <c r="K173" s="13" t="n">
        <v>0</v>
      </c>
      <c r="L173" s="17" t="n">
        <v>0.0286414666666667</v>
      </c>
      <c r="M173" s="18" t="n">
        <f aca="false">IF(H173=0,"",I173/H173)</f>
        <v>0.137931034482759</v>
      </c>
    </row>
    <row r="174" customFormat="false" ht="15" hidden="false" customHeight="false" outlineLevel="0" collapsed="false">
      <c r="A174" s="13" t="s">
        <v>107</v>
      </c>
      <c r="B174" s="13" t="s">
        <v>173</v>
      </c>
      <c r="C174" s="13" t="n">
        <v>0</v>
      </c>
      <c r="D174" s="13" t="n">
        <v>0</v>
      </c>
      <c r="E174" s="13" t="n">
        <v>0</v>
      </c>
      <c r="F174" s="13" t="n">
        <v>0</v>
      </c>
      <c r="G174" s="17" t="n">
        <v>0</v>
      </c>
      <c r="H174" s="13" t="n">
        <v>3</v>
      </c>
      <c r="I174" s="13" t="n">
        <v>0</v>
      </c>
      <c r="J174" s="13" t="n">
        <v>3</v>
      </c>
      <c r="K174" s="13" t="n">
        <v>0</v>
      </c>
      <c r="L174" s="17" t="n">
        <v>0.003382</v>
      </c>
      <c r="M174" s="18" t="n">
        <f aca="false">IF(H174=0,"",I174/H174)</f>
        <v>0</v>
      </c>
    </row>
    <row r="175" customFormat="false" ht="15" hidden="false" customHeight="false" outlineLevel="0" collapsed="false">
      <c r="A175" s="13" t="s">
        <v>107</v>
      </c>
      <c r="B175" s="13" t="s">
        <v>175</v>
      </c>
      <c r="C175" s="13" t="n">
        <v>0</v>
      </c>
      <c r="D175" s="13" t="n">
        <v>0</v>
      </c>
      <c r="E175" s="13" t="n">
        <v>0</v>
      </c>
      <c r="F175" s="13" t="n">
        <v>0</v>
      </c>
      <c r="G175" s="17" t="n">
        <v>0</v>
      </c>
      <c r="H175" s="13" t="n">
        <v>6</v>
      </c>
      <c r="I175" s="13" t="n">
        <v>0</v>
      </c>
      <c r="J175" s="13" t="n">
        <v>0</v>
      </c>
      <c r="K175" s="13" t="n">
        <v>19</v>
      </c>
      <c r="L175" s="17" t="n">
        <v>0</v>
      </c>
      <c r="M175" s="18" t="n">
        <f aca="false">IF(H175=0,"",I175/H175)</f>
        <v>0</v>
      </c>
    </row>
    <row r="176" customFormat="false" ht="15" hidden="false" customHeight="false" outlineLevel="0" collapsed="false">
      <c r="A176" s="13" t="s">
        <v>107</v>
      </c>
      <c r="B176" s="13" t="s">
        <v>176</v>
      </c>
      <c r="C176" s="13" t="n">
        <v>0</v>
      </c>
      <c r="D176" s="13" t="n">
        <v>0</v>
      </c>
      <c r="E176" s="13" t="n">
        <v>0</v>
      </c>
      <c r="F176" s="13" t="n">
        <v>0</v>
      </c>
      <c r="G176" s="17" t="n">
        <v>0</v>
      </c>
      <c r="H176" s="13" t="n">
        <v>23</v>
      </c>
      <c r="I176" s="13" t="n">
        <v>0</v>
      </c>
      <c r="J176" s="13" t="n">
        <v>0</v>
      </c>
      <c r="K176" s="13" t="n">
        <v>0</v>
      </c>
      <c r="L176" s="17" t="n">
        <v>0</v>
      </c>
      <c r="M176" s="18" t="n">
        <f aca="false">IF(H176=0,"",I176/H176)</f>
        <v>0</v>
      </c>
    </row>
    <row r="177" customFormat="false" ht="15" hidden="false" customHeight="false" outlineLevel="0" collapsed="false">
      <c r="A177" s="13" t="s">
        <v>123</v>
      </c>
      <c r="B177" s="13" t="s">
        <v>169</v>
      </c>
      <c r="C177" s="13" t="n">
        <v>0</v>
      </c>
      <c r="D177" s="13" t="n">
        <v>0</v>
      </c>
      <c r="E177" s="13" t="n">
        <v>0</v>
      </c>
      <c r="F177" s="13" t="n">
        <v>0</v>
      </c>
      <c r="G177" s="17" t="n">
        <v>0</v>
      </c>
      <c r="H177" s="13" t="n">
        <v>0</v>
      </c>
      <c r="I177" s="13" t="n">
        <v>0</v>
      </c>
      <c r="J177" s="13" t="n">
        <v>14</v>
      </c>
      <c r="K177" s="13" t="n">
        <v>0</v>
      </c>
      <c r="L177" s="17" t="n">
        <v>0</v>
      </c>
      <c r="M177" s="18" t="str">
        <f aca="false">IF(H177=0,"",I177/H177)</f>
        <v/>
      </c>
    </row>
    <row r="178" customFormat="false" ht="15" hidden="false" customHeight="false" outlineLevel="0" collapsed="false">
      <c r="A178" s="13" t="s">
        <v>123</v>
      </c>
      <c r="B178" s="13" t="s">
        <v>170</v>
      </c>
      <c r="C178" s="13" t="n">
        <v>0</v>
      </c>
      <c r="D178" s="13" t="n">
        <v>0</v>
      </c>
      <c r="E178" s="13" t="n">
        <v>0</v>
      </c>
      <c r="F178" s="13" t="n">
        <v>0</v>
      </c>
      <c r="G178" s="17" t="n">
        <v>0</v>
      </c>
      <c r="H178" s="13" t="n">
        <v>79</v>
      </c>
      <c r="I178" s="13" t="n">
        <v>65</v>
      </c>
      <c r="J178" s="13" t="n">
        <v>0</v>
      </c>
      <c r="K178" s="13" t="n">
        <v>0</v>
      </c>
      <c r="L178" s="17" t="n">
        <v>0</v>
      </c>
      <c r="M178" s="18" t="n">
        <f aca="false">IF(H178=0,"",I178/H178)</f>
        <v>0.822784810126582</v>
      </c>
    </row>
    <row r="179" customFormat="false" ht="15" hidden="false" customHeight="false" outlineLevel="0" collapsed="false">
      <c r="A179" s="13" t="s">
        <v>123</v>
      </c>
      <c r="B179" s="13" t="s">
        <v>171</v>
      </c>
      <c r="C179" s="13" t="n">
        <v>0</v>
      </c>
      <c r="D179" s="13" t="n">
        <v>0</v>
      </c>
      <c r="E179" s="13" t="n">
        <v>0</v>
      </c>
      <c r="F179" s="13" t="n">
        <v>0</v>
      </c>
      <c r="G179" s="17" t="n">
        <v>0</v>
      </c>
      <c r="H179" s="13" t="n">
        <v>2</v>
      </c>
      <c r="I179" s="13" t="n">
        <v>0</v>
      </c>
      <c r="J179" s="13" t="n">
        <v>2</v>
      </c>
      <c r="K179" s="13" t="n">
        <v>0</v>
      </c>
      <c r="L179" s="17" t="n">
        <v>0.00011163</v>
      </c>
      <c r="M179" s="18" t="n">
        <f aca="false">IF(H179=0,"",I179/H179)</f>
        <v>0</v>
      </c>
    </row>
    <row r="180" customFormat="false" ht="15" hidden="false" customHeight="false" outlineLevel="0" collapsed="false">
      <c r="A180" s="13" t="s">
        <v>123</v>
      </c>
      <c r="B180" s="13" t="s">
        <v>172</v>
      </c>
      <c r="C180" s="13" t="n">
        <v>0</v>
      </c>
      <c r="D180" s="13" t="n">
        <v>0</v>
      </c>
      <c r="E180" s="13" t="n">
        <v>0</v>
      </c>
      <c r="F180" s="13" t="n">
        <v>0</v>
      </c>
      <c r="G180" s="17" t="n">
        <v>0</v>
      </c>
      <c r="H180" s="13" t="n">
        <v>134</v>
      </c>
      <c r="I180" s="13" t="n">
        <v>7</v>
      </c>
      <c r="J180" s="13" t="n">
        <v>127</v>
      </c>
      <c r="K180" s="13" t="n">
        <v>0</v>
      </c>
      <c r="L180" s="17" t="n">
        <v>0.0892452666666667</v>
      </c>
      <c r="M180" s="18" t="n">
        <f aca="false">IF(H180=0,"",I180/H180)</f>
        <v>0.0522388059701493</v>
      </c>
    </row>
    <row r="181" customFormat="false" ht="15" hidden="false" customHeight="false" outlineLevel="0" collapsed="false">
      <c r="A181" s="13" t="s">
        <v>123</v>
      </c>
      <c r="B181" s="13" t="s">
        <v>173</v>
      </c>
      <c r="C181" s="13" t="n">
        <v>0</v>
      </c>
      <c r="D181" s="13" t="n">
        <v>0</v>
      </c>
      <c r="E181" s="13" t="n">
        <v>0</v>
      </c>
      <c r="F181" s="13" t="n">
        <v>0</v>
      </c>
      <c r="G181" s="17" t="n">
        <v>0</v>
      </c>
      <c r="H181" s="13" t="n">
        <v>78</v>
      </c>
      <c r="I181" s="13" t="n">
        <v>63</v>
      </c>
      <c r="J181" s="13" t="n">
        <v>15</v>
      </c>
      <c r="K181" s="13" t="n">
        <v>0</v>
      </c>
      <c r="L181" s="17" t="n">
        <v>0.2435268</v>
      </c>
      <c r="M181" s="18" t="n">
        <f aca="false">IF(H181=0,"",I181/H181)</f>
        <v>0.807692307692308</v>
      </c>
    </row>
    <row r="182" customFormat="false" ht="15" hidden="false" customHeight="false" outlineLevel="0" collapsed="false">
      <c r="A182" s="13" t="s">
        <v>123</v>
      </c>
      <c r="B182" s="13" t="s">
        <v>175</v>
      </c>
      <c r="C182" s="13" t="n">
        <v>0</v>
      </c>
      <c r="D182" s="13" t="n">
        <v>0</v>
      </c>
      <c r="E182" s="13" t="n">
        <v>0</v>
      </c>
      <c r="F182" s="13" t="n">
        <v>0</v>
      </c>
      <c r="G182" s="17" t="n">
        <v>0</v>
      </c>
      <c r="H182" s="13" t="n">
        <v>10</v>
      </c>
      <c r="I182" s="13" t="n">
        <v>0</v>
      </c>
      <c r="J182" s="13" t="n">
        <v>0</v>
      </c>
      <c r="K182" s="13" t="n">
        <v>10</v>
      </c>
      <c r="L182" s="17" t="n">
        <v>0</v>
      </c>
      <c r="M182" s="18" t="n">
        <f aca="false">IF(H182=0,"",I182/H182)</f>
        <v>0</v>
      </c>
    </row>
    <row r="183" customFormat="false" ht="15" hidden="false" customHeight="false" outlineLevel="0" collapsed="false">
      <c r="A183" s="13" t="s">
        <v>123</v>
      </c>
      <c r="B183" s="13" t="s">
        <v>176</v>
      </c>
      <c r="C183" s="13" t="n">
        <v>0</v>
      </c>
      <c r="D183" s="13" t="n">
        <v>0</v>
      </c>
      <c r="E183" s="13" t="n">
        <v>0</v>
      </c>
      <c r="F183" s="13" t="n">
        <v>0</v>
      </c>
      <c r="G183" s="17" t="n">
        <v>0</v>
      </c>
      <c r="H183" s="13" t="n">
        <v>44</v>
      </c>
      <c r="I183" s="13" t="n">
        <v>0</v>
      </c>
      <c r="J183" s="13" t="n">
        <v>0</v>
      </c>
      <c r="K183" s="13" t="n">
        <v>0</v>
      </c>
      <c r="L183" s="17" t="n">
        <v>0</v>
      </c>
      <c r="M183" s="18" t="n">
        <f aca="false">IF(H183=0,"",I183/H183)</f>
        <v>0</v>
      </c>
    </row>
    <row r="184" customFormat="false" ht="15" hidden="false" customHeight="false" outlineLevel="0" collapsed="false">
      <c r="A184" s="13" t="s">
        <v>141</v>
      </c>
      <c r="B184" s="13" t="s">
        <v>170</v>
      </c>
      <c r="C184" s="13" t="n">
        <v>0</v>
      </c>
      <c r="D184" s="13" t="n">
        <v>0</v>
      </c>
      <c r="E184" s="13" t="n">
        <v>0</v>
      </c>
      <c r="F184" s="13" t="n">
        <v>0</v>
      </c>
      <c r="G184" s="17" t="n">
        <v>0</v>
      </c>
      <c r="H184" s="13" t="n">
        <v>63</v>
      </c>
      <c r="I184" s="13" t="n">
        <v>62</v>
      </c>
      <c r="J184" s="13" t="n">
        <v>1</v>
      </c>
      <c r="K184" s="13" t="n">
        <v>0</v>
      </c>
      <c r="L184" s="17" t="n">
        <v>0</v>
      </c>
      <c r="M184" s="18" t="n">
        <f aca="false">IF(H184=0,"",I184/H184)</f>
        <v>0.984126984126984</v>
      </c>
    </row>
    <row r="185" customFormat="false" ht="15" hidden="false" customHeight="false" outlineLevel="0" collapsed="false">
      <c r="A185" s="13" t="s">
        <v>141</v>
      </c>
      <c r="B185" s="13" t="s">
        <v>172</v>
      </c>
      <c r="C185" s="13" t="n">
        <v>0</v>
      </c>
      <c r="D185" s="13" t="n">
        <v>0</v>
      </c>
      <c r="E185" s="13" t="n">
        <v>0</v>
      </c>
      <c r="F185" s="13" t="n">
        <v>0</v>
      </c>
      <c r="G185" s="17" t="n">
        <v>0</v>
      </c>
      <c r="H185" s="13" t="n">
        <v>253</v>
      </c>
      <c r="I185" s="13" t="n">
        <v>226</v>
      </c>
      <c r="J185" s="13" t="n">
        <v>25</v>
      </c>
      <c r="K185" s="13" t="n">
        <v>0</v>
      </c>
      <c r="L185" s="17" t="n">
        <v>0.065052</v>
      </c>
      <c r="M185" s="18" t="n">
        <f aca="false">IF(H185=0,"",I185/H185)</f>
        <v>0.893280632411067</v>
      </c>
    </row>
    <row r="186" customFormat="false" ht="15" hidden="false" customHeight="false" outlineLevel="0" collapsed="false">
      <c r="A186" s="13" t="s">
        <v>141</v>
      </c>
      <c r="B186" s="13" t="s">
        <v>173</v>
      </c>
      <c r="C186" s="13" t="n">
        <v>0</v>
      </c>
      <c r="D186" s="13" t="n">
        <v>0</v>
      </c>
      <c r="E186" s="13" t="n">
        <v>0</v>
      </c>
      <c r="F186" s="13" t="n">
        <v>0</v>
      </c>
      <c r="G186" s="17" t="n">
        <v>0</v>
      </c>
      <c r="H186" s="13" t="n">
        <v>66</v>
      </c>
      <c r="I186" s="13" t="n">
        <v>49</v>
      </c>
      <c r="J186" s="13" t="n">
        <v>17</v>
      </c>
      <c r="K186" s="13" t="n">
        <v>0</v>
      </c>
      <c r="L186" s="17" t="n">
        <v>0.1038816</v>
      </c>
      <c r="M186" s="18" t="n">
        <f aca="false">IF(H186=0,"",I186/H186)</f>
        <v>0.742424242424242</v>
      </c>
    </row>
    <row r="187" customFormat="false" ht="15" hidden="false" customHeight="false" outlineLevel="0" collapsed="false">
      <c r="A187" s="13" t="s">
        <v>141</v>
      </c>
      <c r="B187" s="13" t="s">
        <v>175</v>
      </c>
      <c r="C187" s="13" t="n">
        <v>0</v>
      </c>
      <c r="D187" s="13" t="n">
        <v>0</v>
      </c>
      <c r="E187" s="13" t="n">
        <v>0</v>
      </c>
      <c r="F187" s="13" t="n">
        <v>0</v>
      </c>
      <c r="G187" s="17" t="n">
        <v>0</v>
      </c>
      <c r="H187" s="13" t="n">
        <v>8</v>
      </c>
      <c r="I187" s="13" t="n">
        <v>0</v>
      </c>
      <c r="J187" s="13" t="n">
        <v>0</v>
      </c>
      <c r="K187" s="13" t="n">
        <v>22</v>
      </c>
      <c r="L187" s="17" t="n">
        <v>0</v>
      </c>
      <c r="M187" s="18" t="n">
        <f aca="false">IF(H187=0,"",I187/H187)</f>
        <v>0</v>
      </c>
    </row>
    <row r="188" customFormat="false" ht="15" hidden="false" customHeight="false" outlineLevel="0" collapsed="false">
      <c r="A188" s="13" t="s">
        <v>141</v>
      </c>
      <c r="B188" s="13" t="s">
        <v>176</v>
      </c>
      <c r="C188" s="13" t="n">
        <v>0</v>
      </c>
      <c r="D188" s="13" t="n">
        <v>0</v>
      </c>
      <c r="E188" s="13" t="n">
        <v>0</v>
      </c>
      <c r="F188" s="13" t="n">
        <v>0</v>
      </c>
      <c r="G188" s="17" t="n">
        <v>0</v>
      </c>
      <c r="H188" s="13" t="n">
        <v>21</v>
      </c>
      <c r="I188" s="13" t="n">
        <v>0</v>
      </c>
      <c r="J188" s="13" t="n">
        <v>0</v>
      </c>
      <c r="K188" s="13" t="n">
        <v>0</v>
      </c>
      <c r="L188" s="17" t="n">
        <v>0</v>
      </c>
      <c r="M188" s="18" t="n">
        <f aca="false">IF(H188=0,"",I188/H188)</f>
        <v>0</v>
      </c>
    </row>
    <row r="189" customFormat="false" ht="15" hidden="false" customHeight="false" outlineLevel="0" collapsed="false">
      <c r="A189" s="13" t="s">
        <v>139</v>
      </c>
      <c r="B189" s="13" t="s">
        <v>170</v>
      </c>
      <c r="C189" s="13" t="n">
        <v>0</v>
      </c>
      <c r="D189" s="13" t="n">
        <v>0</v>
      </c>
      <c r="E189" s="13" t="n">
        <v>0</v>
      </c>
      <c r="F189" s="13" t="n">
        <v>0</v>
      </c>
      <c r="G189" s="17" t="n">
        <v>0</v>
      </c>
      <c r="H189" s="13" t="n">
        <v>4</v>
      </c>
      <c r="I189" s="13" t="n">
        <v>4</v>
      </c>
      <c r="J189" s="13" t="n">
        <v>0</v>
      </c>
      <c r="K189" s="13" t="n">
        <v>0</v>
      </c>
      <c r="L189" s="17" t="n">
        <v>0</v>
      </c>
      <c r="M189" s="18" t="n">
        <f aca="false">IF(H189=0,"",I189/H189)</f>
        <v>1</v>
      </c>
    </row>
    <row r="190" customFormat="false" ht="15" hidden="false" customHeight="false" outlineLevel="0" collapsed="false">
      <c r="A190" s="13" t="s">
        <v>139</v>
      </c>
      <c r="B190" s="13" t="s">
        <v>172</v>
      </c>
      <c r="C190" s="13" t="n">
        <v>0</v>
      </c>
      <c r="D190" s="13" t="n">
        <v>0</v>
      </c>
      <c r="E190" s="13" t="n">
        <v>0</v>
      </c>
      <c r="F190" s="13" t="n">
        <v>0</v>
      </c>
      <c r="G190" s="17" t="n">
        <v>0</v>
      </c>
      <c r="H190" s="13" t="n">
        <v>16</v>
      </c>
      <c r="I190" s="13" t="n">
        <v>0</v>
      </c>
      <c r="J190" s="13" t="n">
        <v>16</v>
      </c>
      <c r="K190" s="13" t="n">
        <v>0</v>
      </c>
      <c r="L190" s="17" t="n">
        <v>0.0049688</v>
      </c>
      <c r="M190" s="18" t="n">
        <f aca="false">IF(H190=0,"",I190/H190)</f>
        <v>0</v>
      </c>
    </row>
    <row r="191" customFormat="false" ht="15" hidden="false" customHeight="false" outlineLevel="0" collapsed="false">
      <c r="A191" s="13" t="s">
        <v>139</v>
      </c>
      <c r="B191" s="13" t="s">
        <v>173</v>
      </c>
      <c r="C191" s="13" t="n">
        <v>0</v>
      </c>
      <c r="D191" s="13" t="n">
        <v>0</v>
      </c>
      <c r="E191" s="13" t="n">
        <v>0</v>
      </c>
      <c r="F191" s="13" t="n">
        <v>0</v>
      </c>
      <c r="G191" s="17" t="n">
        <v>0</v>
      </c>
      <c r="H191" s="13" t="n">
        <v>4</v>
      </c>
      <c r="I191" s="13" t="n">
        <v>0</v>
      </c>
      <c r="J191" s="13" t="n">
        <v>4</v>
      </c>
      <c r="K191" s="13" t="n">
        <v>0</v>
      </c>
      <c r="L191" s="17" t="n">
        <v>0</v>
      </c>
      <c r="M191" s="18" t="n">
        <f aca="false">IF(H191=0,"",I191/H191)</f>
        <v>0</v>
      </c>
    </row>
    <row r="192" customFormat="false" ht="15" hidden="false" customHeight="false" outlineLevel="0" collapsed="false">
      <c r="A192" s="13" t="s">
        <v>139</v>
      </c>
      <c r="B192" s="13" t="s">
        <v>176</v>
      </c>
      <c r="C192" s="13" t="n">
        <v>0</v>
      </c>
      <c r="D192" s="13" t="n">
        <v>0</v>
      </c>
      <c r="E192" s="13" t="n">
        <v>0</v>
      </c>
      <c r="F192" s="13" t="n">
        <v>0</v>
      </c>
      <c r="G192" s="17" t="n">
        <v>0</v>
      </c>
      <c r="H192" s="13" t="n">
        <v>8</v>
      </c>
      <c r="I192" s="13" t="n">
        <v>0</v>
      </c>
      <c r="J192" s="13" t="n">
        <v>0</v>
      </c>
      <c r="K192" s="13" t="n">
        <v>0</v>
      </c>
      <c r="L192" s="17" t="n">
        <v>0</v>
      </c>
      <c r="M192" s="18" t="n">
        <f aca="false">IF(H192=0,"",I192/H192)</f>
        <v>0</v>
      </c>
    </row>
    <row r="193" customFormat="false" ht="15" hidden="false" customHeight="false" outlineLevel="0" collapsed="false">
      <c r="A193" s="13" t="s">
        <v>75</v>
      </c>
      <c r="B193" s="13" t="s">
        <v>170</v>
      </c>
      <c r="C193" s="13" t="n">
        <v>0</v>
      </c>
      <c r="D193" s="13" t="n">
        <v>0</v>
      </c>
      <c r="E193" s="13" t="n">
        <v>0</v>
      </c>
      <c r="F193" s="13" t="n">
        <v>0</v>
      </c>
      <c r="G193" s="17" t="n">
        <v>0</v>
      </c>
      <c r="H193" s="13" t="n">
        <v>83</v>
      </c>
      <c r="I193" s="13" t="n">
        <v>83</v>
      </c>
      <c r="J193" s="13" t="n">
        <v>0</v>
      </c>
      <c r="K193" s="13" t="n">
        <v>0</v>
      </c>
      <c r="L193" s="17" t="n">
        <v>0</v>
      </c>
      <c r="M193" s="18" t="n">
        <f aca="false">IF(H193=0,"",I193/H193)</f>
        <v>1</v>
      </c>
    </row>
    <row r="194" customFormat="false" ht="15" hidden="false" customHeight="false" outlineLevel="0" collapsed="false">
      <c r="A194" s="13" t="s">
        <v>75</v>
      </c>
      <c r="B194" s="13" t="s">
        <v>172</v>
      </c>
      <c r="C194" s="13" t="n">
        <v>0</v>
      </c>
      <c r="D194" s="13" t="n">
        <v>0</v>
      </c>
      <c r="E194" s="13" t="n">
        <v>0</v>
      </c>
      <c r="F194" s="13" t="n">
        <v>0</v>
      </c>
      <c r="G194" s="17" t="n">
        <v>0</v>
      </c>
      <c r="H194" s="13" t="n">
        <v>357</v>
      </c>
      <c r="I194" s="13" t="n">
        <v>132</v>
      </c>
      <c r="J194" s="13" t="n">
        <v>213</v>
      </c>
      <c r="K194" s="13" t="n">
        <v>0</v>
      </c>
      <c r="L194" s="17" t="n">
        <v>0.2315116</v>
      </c>
      <c r="M194" s="18" t="n">
        <f aca="false">IF(H194=0,"",I194/H194)</f>
        <v>0.369747899159664</v>
      </c>
    </row>
    <row r="195" customFormat="false" ht="15" hidden="false" customHeight="false" outlineLevel="0" collapsed="false">
      <c r="A195" s="13" t="s">
        <v>75</v>
      </c>
      <c r="B195" s="13" t="s">
        <v>173</v>
      </c>
      <c r="C195" s="13" t="n">
        <v>0</v>
      </c>
      <c r="D195" s="13" t="n">
        <v>0</v>
      </c>
      <c r="E195" s="13" t="n">
        <v>0</v>
      </c>
      <c r="F195" s="13" t="n">
        <v>0</v>
      </c>
      <c r="G195" s="17" t="n">
        <v>0</v>
      </c>
      <c r="H195" s="13" t="n">
        <v>92</v>
      </c>
      <c r="I195" s="13" t="n">
        <v>73</v>
      </c>
      <c r="J195" s="13" t="n">
        <v>19</v>
      </c>
      <c r="K195" s="13" t="n">
        <v>0</v>
      </c>
      <c r="L195" s="17" t="n">
        <v>0.1889288</v>
      </c>
      <c r="M195" s="18" t="n">
        <f aca="false">IF(H195=0,"",I195/H195)</f>
        <v>0.793478260869565</v>
      </c>
    </row>
    <row r="196" customFormat="false" ht="15" hidden="false" customHeight="false" outlineLevel="0" collapsed="false">
      <c r="A196" s="13" t="s">
        <v>75</v>
      </c>
      <c r="B196" s="13" t="s">
        <v>175</v>
      </c>
      <c r="C196" s="13" t="n">
        <v>0</v>
      </c>
      <c r="D196" s="13" t="n">
        <v>0</v>
      </c>
      <c r="E196" s="13" t="n">
        <v>0</v>
      </c>
      <c r="F196" s="13" t="n">
        <v>0</v>
      </c>
      <c r="G196" s="17" t="n">
        <v>0</v>
      </c>
      <c r="H196" s="13" t="n">
        <v>10</v>
      </c>
      <c r="I196" s="13" t="n">
        <v>0</v>
      </c>
      <c r="J196" s="13" t="n">
        <v>0</v>
      </c>
      <c r="K196" s="13" t="n">
        <v>10</v>
      </c>
      <c r="L196" s="17" t="n">
        <v>0</v>
      </c>
      <c r="M196" s="18" t="n">
        <f aca="false">IF(H196=0,"",I196/H196)</f>
        <v>0</v>
      </c>
    </row>
    <row r="197" customFormat="false" ht="15" hidden="false" customHeight="false" outlineLevel="0" collapsed="false">
      <c r="A197" s="13" t="s">
        <v>75</v>
      </c>
      <c r="B197" s="13" t="s">
        <v>176</v>
      </c>
      <c r="C197" s="13" t="n">
        <v>0</v>
      </c>
      <c r="D197" s="13" t="n">
        <v>0</v>
      </c>
      <c r="E197" s="13" t="n">
        <v>0</v>
      </c>
      <c r="F197" s="13" t="n">
        <v>0</v>
      </c>
      <c r="G197" s="17" t="n">
        <v>0</v>
      </c>
      <c r="H197" s="13" t="n">
        <v>130</v>
      </c>
      <c r="I197" s="13" t="n">
        <v>0</v>
      </c>
      <c r="J197" s="13" t="n">
        <v>0</v>
      </c>
      <c r="K197" s="13" t="n">
        <v>0</v>
      </c>
      <c r="L197" s="17" t="n">
        <v>0</v>
      </c>
      <c r="M197" s="18" t="n">
        <f aca="false">IF(H197=0,"",I197/H197)</f>
        <v>0</v>
      </c>
    </row>
    <row r="198" customFormat="false" ht="15" hidden="false" customHeight="false" outlineLevel="0" collapsed="false">
      <c r="A198" s="13" t="s">
        <v>153</v>
      </c>
      <c r="B198" s="13" t="s">
        <v>169</v>
      </c>
      <c r="C198" s="13" t="n">
        <v>0</v>
      </c>
      <c r="D198" s="13" t="n">
        <v>0</v>
      </c>
      <c r="E198" s="13" t="n">
        <v>0</v>
      </c>
      <c r="F198" s="13" t="n">
        <v>0</v>
      </c>
      <c r="G198" s="17" t="n">
        <v>0</v>
      </c>
      <c r="H198" s="13" t="n">
        <v>2</v>
      </c>
      <c r="I198" s="13" t="n">
        <v>0</v>
      </c>
      <c r="J198" s="13" t="n">
        <v>1</v>
      </c>
      <c r="K198" s="13" t="n">
        <v>4</v>
      </c>
      <c r="L198" s="17" t="n">
        <v>0</v>
      </c>
      <c r="M198" s="18" t="n">
        <f aca="false">IF(H198=0,"",I198/H198)</f>
        <v>0</v>
      </c>
    </row>
    <row r="199" customFormat="false" ht="15" hidden="false" customHeight="false" outlineLevel="0" collapsed="false">
      <c r="A199" s="13" t="s">
        <v>153</v>
      </c>
      <c r="B199" s="13" t="s">
        <v>170</v>
      </c>
      <c r="C199" s="13" t="n">
        <v>0</v>
      </c>
      <c r="D199" s="13" t="n">
        <v>0</v>
      </c>
      <c r="E199" s="13" t="n">
        <v>0</v>
      </c>
      <c r="F199" s="13" t="n">
        <v>0</v>
      </c>
      <c r="G199" s="17" t="n">
        <v>0</v>
      </c>
      <c r="H199" s="13" t="n">
        <v>1</v>
      </c>
      <c r="I199" s="13" t="n">
        <v>0</v>
      </c>
      <c r="J199" s="13" t="n">
        <v>0</v>
      </c>
      <c r="K199" s="13" t="n">
        <v>0</v>
      </c>
      <c r="L199" s="17" t="n">
        <v>0</v>
      </c>
      <c r="M199" s="18" t="n">
        <f aca="false">IF(H199=0,"",I199/H199)</f>
        <v>0</v>
      </c>
    </row>
    <row r="200" customFormat="false" ht="15" hidden="false" customHeight="false" outlineLevel="0" collapsed="false">
      <c r="A200" s="13" t="s">
        <v>153</v>
      </c>
      <c r="B200" s="13" t="s">
        <v>172</v>
      </c>
      <c r="C200" s="13" t="n">
        <v>0</v>
      </c>
      <c r="D200" s="13" t="n">
        <v>0</v>
      </c>
      <c r="E200" s="13" t="n">
        <v>0</v>
      </c>
      <c r="F200" s="13" t="n">
        <v>0</v>
      </c>
      <c r="G200" s="17" t="n">
        <v>0</v>
      </c>
      <c r="H200" s="13" t="n">
        <v>2</v>
      </c>
      <c r="I200" s="13" t="n">
        <v>0</v>
      </c>
      <c r="J200" s="13" t="n">
        <v>2</v>
      </c>
      <c r="K200" s="13" t="n">
        <v>0</v>
      </c>
      <c r="L200" s="17" t="n">
        <v>0.0018256</v>
      </c>
      <c r="M200" s="18" t="n">
        <f aca="false">IF(H200=0,"",I200/H200)</f>
        <v>0</v>
      </c>
    </row>
    <row r="201" customFormat="false" ht="15" hidden="false" customHeight="false" outlineLevel="0" collapsed="false">
      <c r="A201" s="13" t="s">
        <v>153</v>
      </c>
      <c r="B201" s="13" t="s">
        <v>173</v>
      </c>
      <c r="C201" s="13" t="n">
        <v>0</v>
      </c>
      <c r="D201" s="13" t="n">
        <v>0</v>
      </c>
      <c r="E201" s="13" t="n">
        <v>0</v>
      </c>
      <c r="F201" s="13" t="n">
        <v>0</v>
      </c>
      <c r="G201" s="17" t="n">
        <v>0</v>
      </c>
      <c r="H201" s="13" t="n">
        <v>3</v>
      </c>
      <c r="I201" s="13" t="n">
        <v>3</v>
      </c>
      <c r="J201" s="13" t="n">
        <v>0</v>
      </c>
      <c r="K201" s="13" t="n">
        <v>0</v>
      </c>
      <c r="L201" s="17" t="n">
        <v>0.026374</v>
      </c>
      <c r="M201" s="18" t="n">
        <f aca="false">IF(H201=0,"",I201/H201)</f>
        <v>1</v>
      </c>
    </row>
    <row r="202" customFormat="false" ht="15" hidden="false" customHeight="false" outlineLevel="0" collapsed="false">
      <c r="A202" s="13" t="s">
        <v>153</v>
      </c>
      <c r="B202" s="13" t="s">
        <v>174</v>
      </c>
      <c r="C202" s="13" t="n">
        <v>0</v>
      </c>
      <c r="D202" s="13" t="n">
        <v>0</v>
      </c>
      <c r="E202" s="13" t="n">
        <v>0</v>
      </c>
      <c r="F202" s="13" t="n">
        <v>0</v>
      </c>
      <c r="G202" s="17" t="n">
        <v>0</v>
      </c>
      <c r="H202" s="13" t="n">
        <v>2</v>
      </c>
      <c r="I202" s="13" t="n">
        <v>2</v>
      </c>
      <c r="J202" s="13" t="n">
        <v>0</v>
      </c>
      <c r="K202" s="13" t="n">
        <v>0</v>
      </c>
      <c r="L202" s="17" t="n">
        <v>0.00057873</v>
      </c>
      <c r="M202" s="18" t="n">
        <f aca="false">IF(H202=0,"",I202/H202)</f>
        <v>1</v>
      </c>
    </row>
    <row r="203" customFormat="false" ht="15" hidden="false" customHeight="false" outlineLevel="0" collapsed="false">
      <c r="A203" s="13" t="s">
        <v>153</v>
      </c>
      <c r="B203" s="13" t="s">
        <v>175</v>
      </c>
      <c r="C203" s="13" t="n">
        <v>0</v>
      </c>
      <c r="D203" s="13" t="n">
        <v>0</v>
      </c>
      <c r="E203" s="13" t="n">
        <v>0</v>
      </c>
      <c r="F203" s="13" t="n">
        <v>0</v>
      </c>
      <c r="G203" s="17" t="n">
        <v>0</v>
      </c>
      <c r="H203" s="13" t="n">
        <v>10</v>
      </c>
      <c r="I203" s="13" t="n">
        <v>0</v>
      </c>
      <c r="J203" s="13" t="n">
        <v>0</v>
      </c>
      <c r="K203" s="13" t="n">
        <v>22</v>
      </c>
      <c r="L203" s="17" t="n">
        <v>0</v>
      </c>
      <c r="M203" s="18" t="n">
        <f aca="false">IF(H203=0,"",I203/H203)</f>
        <v>0</v>
      </c>
    </row>
    <row r="204" customFormat="false" ht="15" hidden="false" customHeight="false" outlineLevel="0" collapsed="false">
      <c r="A204" s="13" t="s">
        <v>153</v>
      </c>
      <c r="B204" s="13" t="s">
        <v>176</v>
      </c>
      <c r="C204" s="13" t="n">
        <v>0</v>
      </c>
      <c r="D204" s="13" t="n">
        <v>0</v>
      </c>
      <c r="E204" s="13" t="n">
        <v>0</v>
      </c>
      <c r="F204" s="13" t="n">
        <v>0</v>
      </c>
      <c r="G204" s="17" t="n">
        <v>0</v>
      </c>
      <c r="H204" s="13" t="n">
        <v>2</v>
      </c>
      <c r="I204" s="13" t="n">
        <v>0</v>
      </c>
      <c r="J204" s="13" t="n">
        <v>0</v>
      </c>
      <c r="K204" s="13" t="n">
        <v>0</v>
      </c>
      <c r="L204" s="17" t="n">
        <v>0</v>
      </c>
      <c r="M204" s="18" t="n">
        <f aca="false">IF(H204=0,"",I204/H204)</f>
        <v>0</v>
      </c>
    </row>
    <row r="205" customFormat="false" ht="15" hidden="false" customHeight="false" outlineLevel="0" collapsed="false">
      <c r="A205" s="13" t="s">
        <v>111</v>
      </c>
      <c r="B205" s="13" t="s">
        <v>169</v>
      </c>
      <c r="C205" s="13" t="n">
        <v>0</v>
      </c>
      <c r="D205" s="13" t="n">
        <v>0</v>
      </c>
      <c r="E205" s="13" t="n">
        <v>0</v>
      </c>
      <c r="F205" s="13" t="n">
        <v>0</v>
      </c>
      <c r="G205" s="17" t="n">
        <v>0</v>
      </c>
      <c r="H205" s="13" t="n">
        <v>0</v>
      </c>
      <c r="I205" s="13" t="n">
        <v>0</v>
      </c>
      <c r="J205" s="13" t="n">
        <v>5</v>
      </c>
      <c r="K205" s="13" t="n">
        <v>0</v>
      </c>
      <c r="L205" s="17" t="n">
        <v>0</v>
      </c>
      <c r="M205" s="18" t="str">
        <f aca="false">IF(H205=0,"",I205/H205)</f>
        <v/>
      </c>
    </row>
    <row r="206" customFormat="false" ht="15" hidden="false" customHeight="false" outlineLevel="0" collapsed="false">
      <c r="A206" s="13" t="s">
        <v>111</v>
      </c>
      <c r="B206" s="13" t="s">
        <v>170</v>
      </c>
      <c r="C206" s="13" t="n">
        <v>0</v>
      </c>
      <c r="D206" s="13" t="n">
        <v>0</v>
      </c>
      <c r="E206" s="13" t="n">
        <v>0</v>
      </c>
      <c r="F206" s="13" t="n">
        <v>0</v>
      </c>
      <c r="G206" s="17" t="n">
        <v>0</v>
      </c>
      <c r="H206" s="13" t="n">
        <v>30</v>
      </c>
      <c r="I206" s="13" t="n">
        <v>17</v>
      </c>
      <c r="J206" s="13" t="n">
        <v>0</v>
      </c>
      <c r="K206" s="13" t="n">
        <v>47</v>
      </c>
      <c r="L206" s="17" t="n">
        <v>0</v>
      </c>
      <c r="M206" s="18" t="n">
        <f aca="false">IF(H206=0,"",I206/H206)</f>
        <v>0.566666666666667</v>
      </c>
    </row>
    <row r="207" customFormat="false" ht="15" hidden="false" customHeight="false" outlineLevel="0" collapsed="false">
      <c r="A207" s="13" t="s">
        <v>111</v>
      </c>
      <c r="B207" s="13" t="s">
        <v>171</v>
      </c>
      <c r="C207" s="13" t="n">
        <v>0</v>
      </c>
      <c r="D207" s="13" t="n">
        <v>0</v>
      </c>
      <c r="E207" s="13" t="n">
        <v>0</v>
      </c>
      <c r="F207" s="13" t="n">
        <v>0</v>
      </c>
      <c r="G207" s="17" t="n">
        <v>0</v>
      </c>
      <c r="H207" s="13" t="n">
        <v>14</v>
      </c>
      <c r="I207" s="13" t="n">
        <v>1</v>
      </c>
      <c r="J207" s="13" t="n">
        <v>5</v>
      </c>
      <c r="K207" s="13" t="n">
        <v>0</v>
      </c>
      <c r="L207" s="17" t="n">
        <v>0.00175395</v>
      </c>
      <c r="M207" s="18" t="n">
        <f aca="false">IF(H207=0,"",I207/H207)</f>
        <v>0.0714285714285714</v>
      </c>
    </row>
    <row r="208" customFormat="false" ht="15" hidden="false" customHeight="false" outlineLevel="0" collapsed="false">
      <c r="A208" s="13" t="s">
        <v>111</v>
      </c>
      <c r="B208" s="13" t="s">
        <v>172</v>
      </c>
      <c r="C208" s="13" t="n">
        <v>0</v>
      </c>
      <c r="D208" s="13" t="n">
        <v>0</v>
      </c>
      <c r="E208" s="13" t="n">
        <v>0</v>
      </c>
      <c r="F208" s="13" t="n">
        <v>0</v>
      </c>
      <c r="G208" s="17" t="n">
        <v>0</v>
      </c>
      <c r="H208" s="13" t="n">
        <v>178</v>
      </c>
      <c r="I208" s="13" t="n">
        <v>26</v>
      </c>
      <c r="J208" s="13" t="n">
        <v>151</v>
      </c>
      <c r="K208" s="13" t="n">
        <v>0</v>
      </c>
      <c r="L208" s="17" t="n">
        <v>0.0684625333333333</v>
      </c>
      <c r="M208" s="18" t="n">
        <f aca="false">IF(H208=0,"",I208/H208)</f>
        <v>0.146067415730337</v>
      </c>
    </row>
    <row r="209" customFormat="false" ht="15" hidden="false" customHeight="false" outlineLevel="0" collapsed="false">
      <c r="A209" s="13" t="s">
        <v>111</v>
      </c>
      <c r="B209" s="13" t="s">
        <v>173</v>
      </c>
      <c r="C209" s="13" t="n">
        <v>0</v>
      </c>
      <c r="D209" s="13" t="n">
        <v>0</v>
      </c>
      <c r="E209" s="13" t="n">
        <v>0</v>
      </c>
      <c r="F209" s="13" t="n">
        <v>0</v>
      </c>
      <c r="G209" s="17" t="n">
        <v>0</v>
      </c>
      <c r="H209" s="13" t="n">
        <v>34</v>
      </c>
      <c r="I209" s="13" t="n">
        <v>17</v>
      </c>
      <c r="J209" s="13" t="n">
        <v>17</v>
      </c>
      <c r="K209" s="13" t="n">
        <v>0</v>
      </c>
      <c r="L209" s="17" t="n">
        <v>0.1250172</v>
      </c>
      <c r="M209" s="18" t="n">
        <f aca="false">IF(H209=0,"",I209/H209)</f>
        <v>0.5</v>
      </c>
    </row>
    <row r="210" customFormat="false" ht="15" hidden="false" customHeight="false" outlineLevel="0" collapsed="false">
      <c r="A210" s="13" t="s">
        <v>111</v>
      </c>
      <c r="B210" s="13" t="s">
        <v>175</v>
      </c>
      <c r="C210" s="13" t="n">
        <v>0</v>
      </c>
      <c r="D210" s="13" t="n">
        <v>0</v>
      </c>
      <c r="E210" s="13" t="n">
        <v>0</v>
      </c>
      <c r="F210" s="13" t="n">
        <v>0</v>
      </c>
      <c r="G210" s="17" t="n">
        <v>0</v>
      </c>
      <c r="H210" s="13" t="n">
        <v>8</v>
      </c>
      <c r="I210" s="13" t="n">
        <v>0</v>
      </c>
      <c r="J210" s="13" t="n">
        <v>0</v>
      </c>
      <c r="K210" s="13" t="n">
        <v>8</v>
      </c>
      <c r="L210" s="17" t="n">
        <v>0</v>
      </c>
      <c r="M210" s="18" t="n">
        <f aca="false">IF(H210=0,"",I210/H210)</f>
        <v>0</v>
      </c>
    </row>
    <row r="211" customFormat="false" ht="15" hidden="false" customHeight="false" outlineLevel="0" collapsed="false">
      <c r="A211" s="13" t="s">
        <v>111</v>
      </c>
      <c r="B211" s="13" t="s">
        <v>176</v>
      </c>
      <c r="C211" s="13" t="n">
        <v>0</v>
      </c>
      <c r="D211" s="13" t="n">
        <v>0</v>
      </c>
      <c r="E211" s="13" t="n">
        <v>0</v>
      </c>
      <c r="F211" s="13" t="n">
        <v>0</v>
      </c>
      <c r="G211" s="17" t="n">
        <v>0</v>
      </c>
      <c r="H211" s="13" t="n">
        <v>71</v>
      </c>
      <c r="I211" s="13" t="n">
        <v>0</v>
      </c>
      <c r="J211" s="13" t="n">
        <v>0</v>
      </c>
      <c r="K211" s="13" t="n">
        <v>0</v>
      </c>
      <c r="L211" s="17" t="n">
        <v>0</v>
      </c>
      <c r="M211" s="18" t="n">
        <f aca="false">IF(H211=0,"",I211/H211)</f>
        <v>0</v>
      </c>
    </row>
    <row r="212" customFormat="false" ht="15" hidden="false" customHeight="false" outlineLevel="0" collapsed="false">
      <c r="A212" s="13" t="s">
        <v>127</v>
      </c>
      <c r="B212" s="13" t="s">
        <v>169</v>
      </c>
      <c r="C212" s="13" t="n">
        <v>0</v>
      </c>
      <c r="D212" s="13" t="n">
        <v>0</v>
      </c>
      <c r="E212" s="13" t="n">
        <v>0</v>
      </c>
      <c r="F212" s="13" t="n">
        <v>0</v>
      </c>
      <c r="G212" s="17" t="n">
        <v>0</v>
      </c>
      <c r="H212" s="13" t="n">
        <v>1</v>
      </c>
      <c r="I212" s="13" t="n">
        <v>0</v>
      </c>
      <c r="J212" s="13" t="n">
        <v>1</v>
      </c>
      <c r="K212" s="13" t="n">
        <v>2</v>
      </c>
      <c r="L212" s="17" t="n">
        <v>0</v>
      </c>
      <c r="M212" s="18" t="n">
        <f aca="false">IF(H212=0,"",I212/H212)</f>
        <v>0</v>
      </c>
    </row>
    <row r="213" customFormat="false" ht="15" hidden="false" customHeight="false" outlineLevel="0" collapsed="false">
      <c r="A213" s="13" t="s">
        <v>127</v>
      </c>
      <c r="B213" s="13" t="s">
        <v>170</v>
      </c>
      <c r="C213" s="13" t="n">
        <v>0</v>
      </c>
      <c r="D213" s="13" t="n">
        <v>0</v>
      </c>
      <c r="E213" s="13" t="n">
        <v>0</v>
      </c>
      <c r="F213" s="13" t="n">
        <v>0</v>
      </c>
      <c r="G213" s="17" t="n">
        <v>0</v>
      </c>
      <c r="H213" s="13" t="n">
        <v>10</v>
      </c>
      <c r="I213" s="13" t="n">
        <v>9</v>
      </c>
      <c r="J213" s="13" t="n">
        <v>0</v>
      </c>
      <c r="K213" s="13" t="n">
        <v>0</v>
      </c>
      <c r="L213" s="17" t="n">
        <v>0</v>
      </c>
      <c r="M213" s="18" t="n">
        <f aca="false">IF(H213=0,"",I213/H213)</f>
        <v>0.9</v>
      </c>
    </row>
    <row r="214" customFormat="false" ht="15" hidden="false" customHeight="false" outlineLevel="0" collapsed="false">
      <c r="A214" s="13" t="s">
        <v>127</v>
      </c>
      <c r="B214" s="13" t="s">
        <v>172</v>
      </c>
      <c r="C214" s="13" t="n">
        <v>0</v>
      </c>
      <c r="D214" s="13" t="n">
        <v>0</v>
      </c>
      <c r="E214" s="13" t="n">
        <v>0</v>
      </c>
      <c r="F214" s="13" t="n">
        <v>0</v>
      </c>
      <c r="G214" s="17" t="n">
        <v>0</v>
      </c>
      <c r="H214" s="13" t="n">
        <v>58</v>
      </c>
      <c r="I214" s="13" t="n">
        <v>14</v>
      </c>
      <c r="J214" s="13" t="n">
        <v>42</v>
      </c>
      <c r="K214" s="13" t="n">
        <v>0</v>
      </c>
      <c r="L214" s="17" t="n">
        <v>0.0475676</v>
      </c>
      <c r="M214" s="18" t="n">
        <f aca="false">IF(H214=0,"",I214/H214)</f>
        <v>0.241379310344828</v>
      </c>
    </row>
    <row r="215" customFormat="false" ht="15" hidden="false" customHeight="false" outlineLevel="0" collapsed="false">
      <c r="A215" s="13" t="s">
        <v>127</v>
      </c>
      <c r="B215" s="13" t="s">
        <v>173</v>
      </c>
      <c r="C215" s="13" t="n">
        <v>0</v>
      </c>
      <c r="D215" s="13" t="n">
        <v>0</v>
      </c>
      <c r="E215" s="13" t="n">
        <v>0</v>
      </c>
      <c r="F215" s="13" t="n">
        <v>0</v>
      </c>
      <c r="G215" s="17" t="n">
        <v>0</v>
      </c>
      <c r="H215" s="13" t="n">
        <v>21</v>
      </c>
      <c r="I215" s="13" t="n">
        <v>18</v>
      </c>
      <c r="J215" s="13" t="n">
        <v>3</v>
      </c>
      <c r="K215" s="13" t="n">
        <v>0</v>
      </c>
      <c r="L215" s="17" t="n">
        <v>0.0739536</v>
      </c>
      <c r="M215" s="18" t="n">
        <f aca="false">IF(H215=0,"",I215/H215)</f>
        <v>0.857142857142857</v>
      </c>
    </row>
    <row r="216" customFormat="false" ht="15" hidden="false" customHeight="false" outlineLevel="0" collapsed="false">
      <c r="A216" s="13" t="s">
        <v>127</v>
      </c>
      <c r="B216" s="13" t="s">
        <v>174</v>
      </c>
      <c r="C216" s="13" t="n">
        <v>0</v>
      </c>
      <c r="D216" s="13" t="n">
        <v>0</v>
      </c>
      <c r="E216" s="13" t="n">
        <v>0</v>
      </c>
      <c r="F216" s="13" t="n">
        <v>0</v>
      </c>
      <c r="G216" s="17" t="n">
        <v>0</v>
      </c>
      <c r="H216" s="13" t="n">
        <v>77</v>
      </c>
      <c r="I216" s="13" t="n">
        <v>59</v>
      </c>
      <c r="J216" s="13" t="n">
        <v>2</v>
      </c>
      <c r="K216" s="13" t="n">
        <v>0</v>
      </c>
      <c r="L216" s="17" t="n">
        <v>0.02166475</v>
      </c>
      <c r="M216" s="18" t="n">
        <f aca="false">IF(H216=0,"",I216/H216)</f>
        <v>0.766233766233766</v>
      </c>
    </row>
    <row r="217" customFormat="false" ht="15" hidden="false" customHeight="false" outlineLevel="0" collapsed="false">
      <c r="A217" s="13" t="s">
        <v>127</v>
      </c>
      <c r="B217" s="13" t="s">
        <v>175</v>
      </c>
      <c r="C217" s="13" t="n">
        <v>0</v>
      </c>
      <c r="D217" s="13" t="n">
        <v>0</v>
      </c>
      <c r="E217" s="13" t="n">
        <v>0</v>
      </c>
      <c r="F217" s="13" t="n">
        <v>0</v>
      </c>
      <c r="G217" s="17" t="n">
        <v>0</v>
      </c>
      <c r="H217" s="13" t="n">
        <v>64</v>
      </c>
      <c r="I217" s="13" t="n">
        <v>0</v>
      </c>
      <c r="J217" s="13" t="n">
        <v>0</v>
      </c>
      <c r="K217" s="13" t="n">
        <v>64</v>
      </c>
      <c r="L217" s="17" t="n">
        <v>0</v>
      </c>
      <c r="M217" s="18" t="n">
        <f aca="false">IF(H217=0,"",I217/H217)</f>
        <v>0</v>
      </c>
    </row>
    <row r="218" customFormat="false" ht="15" hidden="false" customHeight="false" outlineLevel="0" collapsed="false">
      <c r="A218" s="13" t="s">
        <v>127</v>
      </c>
      <c r="B218" s="13" t="s">
        <v>176</v>
      </c>
      <c r="C218" s="13" t="n">
        <v>0</v>
      </c>
      <c r="D218" s="13" t="n">
        <v>0</v>
      </c>
      <c r="E218" s="13" t="n">
        <v>0</v>
      </c>
      <c r="F218" s="13" t="n">
        <v>0</v>
      </c>
      <c r="G218" s="17" t="n">
        <v>0</v>
      </c>
      <c r="H218" s="13" t="n">
        <v>28</v>
      </c>
      <c r="I218" s="13" t="n">
        <v>0</v>
      </c>
      <c r="J218" s="13" t="n">
        <v>0</v>
      </c>
      <c r="K218" s="13" t="n">
        <v>0</v>
      </c>
      <c r="L218" s="17" t="n">
        <v>0</v>
      </c>
      <c r="M218" s="18" t="n">
        <f aca="false">IF(H218=0,"",I218/H218)</f>
        <v>0</v>
      </c>
    </row>
    <row r="219" customFormat="false" ht="15" hidden="false" customHeight="false" outlineLevel="0" collapsed="false">
      <c r="A219" s="13" t="s">
        <v>69</v>
      </c>
      <c r="B219" s="13" t="s">
        <v>170</v>
      </c>
      <c r="C219" s="13" t="n">
        <v>0</v>
      </c>
      <c r="D219" s="13" t="n">
        <v>0</v>
      </c>
      <c r="E219" s="13" t="n">
        <v>0</v>
      </c>
      <c r="F219" s="13" t="n">
        <v>0</v>
      </c>
      <c r="G219" s="17" t="n">
        <v>0</v>
      </c>
      <c r="H219" s="13" t="n">
        <v>81</v>
      </c>
      <c r="I219" s="13" t="n">
        <v>76</v>
      </c>
      <c r="J219" s="13" t="n">
        <v>2</v>
      </c>
      <c r="K219" s="13" t="n">
        <v>4</v>
      </c>
      <c r="L219" s="17" t="n">
        <v>0</v>
      </c>
      <c r="M219" s="18" t="n">
        <f aca="false">IF(H219=0,"",I219/H219)</f>
        <v>0.938271604938272</v>
      </c>
    </row>
    <row r="220" customFormat="false" ht="15" hidden="false" customHeight="false" outlineLevel="0" collapsed="false">
      <c r="A220" s="13" t="s">
        <v>69</v>
      </c>
      <c r="B220" s="13" t="s">
        <v>171</v>
      </c>
      <c r="C220" s="13" t="n">
        <v>0</v>
      </c>
      <c r="D220" s="13" t="n">
        <v>0</v>
      </c>
      <c r="E220" s="13" t="n">
        <v>0</v>
      </c>
      <c r="F220" s="13" t="n">
        <v>0</v>
      </c>
      <c r="G220" s="17" t="n">
        <v>0</v>
      </c>
      <c r="H220" s="13" t="n">
        <v>28</v>
      </c>
      <c r="I220" s="13" t="n">
        <v>0</v>
      </c>
      <c r="J220" s="13" t="n">
        <v>27</v>
      </c>
      <c r="K220" s="13" t="n">
        <v>0</v>
      </c>
      <c r="L220" s="17" t="n">
        <v>0.00348348</v>
      </c>
      <c r="M220" s="18" t="n">
        <f aca="false">IF(H220=0,"",I220/H220)</f>
        <v>0</v>
      </c>
    </row>
    <row r="221" customFormat="false" ht="15" hidden="false" customHeight="false" outlineLevel="0" collapsed="false">
      <c r="A221" s="13" t="s">
        <v>69</v>
      </c>
      <c r="B221" s="13" t="s">
        <v>172</v>
      </c>
      <c r="C221" s="13" t="n">
        <v>0</v>
      </c>
      <c r="D221" s="13" t="n">
        <v>0</v>
      </c>
      <c r="E221" s="13" t="n">
        <v>0</v>
      </c>
      <c r="F221" s="13" t="n">
        <v>0</v>
      </c>
      <c r="G221" s="17" t="n">
        <v>0</v>
      </c>
      <c r="H221" s="13" t="n">
        <v>369</v>
      </c>
      <c r="I221" s="13" t="n">
        <v>19</v>
      </c>
      <c r="J221" s="13" t="n">
        <v>350</v>
      </c>
      <c r="K221" s="13" t="n">
        <v>0</v>
      </c>
      <c r="L221" s="17" t="n">
        <v>0.5035408</v>
      </c>
      <c r="M221" s="18" t="n">
        <f aca="false">IF(H221=0,"",I221/H221)</f>
        <v>0.0514905149051491</v>
      </c>
    </row>
    <row r="222" customFormat="false" ht="15" hidden="false" customHeight="false" outlineLevel="0" collapsed="false">
      <c r="A222" s="13" t="s">
        <v>69</v>
      </c>
      <c r="B222" s="13" t="s">
        <v>173</v>
      </c>
      <c r="C222" s="13" t="n">
        <v>0</v>
      </c>
      <c r="D222" s="13" t="n">
        <v>0</v>
      </c>
      <c r="E222" s="13" t="n">
        <v>0</v>
      </c>
      <c r="F222" s="13" t="n">
        <v>0</v>
      </c>
      <c r="G222" s="17" t="n">
        <v>0</v>
      </c>
      <c r="H222" s="13" t="n">
        <v>146</v>
      </c>
      <c r="I222" s="13" t="n">
        <v>130</v>
      </c>
      <c r="J222" s="13" t="n">
        <v>16</v>
      </c>
      <c r="K222" s="13" t="n">
        <v>0</v>
      </c>
      <c r="L222" s="17" t="n">
        <v>0.7713784</v>
      </c>
      <c r="M222" s="18" t="n">
        <f aca="false">IF(H222=0,"",I222/H222)</f>
        <v>0.89041095890411</v>
      </c>
    </row>
    <row r="223" customFormat="false" ht="15" hidden="false" customHeight="false" outlineLevel="0" collapsed="false">
      <c r="A223" s="13" t="s">
        <v>69</v>
      </c>
      <c r="B223" s="13" t="s">
        <v>175</v>
      </c>
      <c r="C223" s="13" t="n">
        <v>0</v>
      </c>
      <c r="D223" s="13" t="n">
        <v>0</v>
      </c>
      <c r="E223" s="13" t="n">
        <v>0</v>
      </c>
      <c r="F223" s="13" t="n">
        <v>0</v>
      </c>
      <c r="G223" s="17" t="n">
        <v>0</v>
      </c>
      <c r="H223" s="13" t="n">
        <v>2</v>
      </c>
      <c r="I223" s="13" t="n">
        <v>0</v>
      </c>
      <c r="J223" s="13" t="n">
        <v>0</v>
      </c>
      <c r="K223" s="13" t="n">
        <v>2</v>
      </c>
      <c r="L223" s="17" t="n">
        <v>0</v>
      </c>
      <c r="M223" s="18" t="n">
        <f aca="false">IF(H223=0,"",I223/H223)</f>
        <v>0</v>
      </c>
    </row>
    <row r="224" customFormat="false" ht="15" hidden="false" customHeight="false" outlineLevel="0" collapsed="false">
      <c r="A224" s="13" t="s">
        <v>69</v>
      </c>
      <c r="B224" s="13" t="s">
        <v>176</v>
      </c>
      <c r="C224" s="13" t="n">
        <v>0</v>
      </c>
      <c r="D224" s="13" t="n">
        <v>0</v>
      </c>
      <c r="E224" s="13" t="n">
        <v>0</v>
      </c>
      <c r="F224" s="13" t="n">
        <v>0</v>
      </c>
      <c r="G224" s="17" t="n">
        <v>0</v>
      </c>
      <c r="H224" s="13" t="n">
        <v>153</v>
      </c>
      <c r="I224" s="13" t="n">
        <v>0</v>
      </c>
      <c r="J224" s="13" t="n">
        <v>0</v>
      </c>
      <c r="K224" s="13" t="n">
        <v>0</v>
      </c>
      <c r="L224" s="17" t="n">
        <v>0</v>
      </c>
      <c r="M224" s="18" t="n">
        <f aca="false">IF(H224=0,"",I224/H224)</f>
        <v>0</v>
      </c>
    </row>
    <row r="225" customFormat="false" ht="15" hidden="false" customHeight="false" outlineLevel="0" collapsed="false">
      <c r="A225" s="13" t="s">
        <v>59</v>
      </c>
      <c r="B225" s="13" t="s">
        <v>170</v>
      </c>
      <c r="C225" s="13" t="n">
        <v>0</v>
      </c>
      <c r="D225" s="13" t="n">
        <v>0</v>
      </c>
      <c r="E225" s="13" t="n">
        <v>0</v>
      </c>
      <c r="F225" s="13" t="n">
        <v>0</v>
      </c>
      <c r="G225" s="17" t="n">
        <v>0</v>
      </c>
      <c r="H225" s="13" t="n">
        <v>95</v>
      </c>
      <c r="I225" s="13" t="n">
        <v>91</v>
      </c>
      <c r="J225" s="13" t="n">
        <v>4</v>
      </c>
      <c r="K225" s="13" t="n">
        <v>0</v>
      </c>
      <c r="L225" s="17" t="n">
        <v>0</v>
      </c>
      <c r="M225" s="18" t="n">
        <f aca="false">IF(H225=0,"",I225/H225)</f>
        <v>0.957894736842105</v>
      </c>
    </row>
    <row r="226" customFormat="false" ht="15" hidden="false" customHeight="false" outlineLevel="0" collapsed="false">
      <c r="A226" s="13" t="s">
        <v>59</v>
      </c>
      <c r="B226" s="13" t="s">
        <v>171</v>
      </c>
      <c r="C226" s="13" t="n">
        <v>51</v>
      </c>
      <c r="D226" s="13" t="n">
        <v>0</v>
      </c>
      <c r="E226" s="13" t="n">
        <v>51</v>
      </c>
      <c r="F226" s="13" t="n">
        <v>0</v>
      </c>
      <c r="G226" s="17" t="n">
        <v>0.00434664</v>
      </c>
      <c r="H226" s="13" t="n">
        <v>51</v>
      </c>
      <c r="I226" s="13" t="n">
        <v>0</v>
      </c>
      <c r="J226" s="13" t="n">
        <v>51</v>
      </c>
      <c r="K226" s="13" t="n">
        <v>0</v>
      </c>
      <c r="L226" s="17" t="n">
        <v>0.00434664</v>
      </c>
      <c r="M226" s="18" t="n">
        <f aca="false">IF(H226=0,"",I226/H226)</f>
        <v>0</v>
      </c>
    </row>
    <row r="227" customFormat="false" ht="15" hidden="false" customHeight="false" outlineLevel="0" collapsed="false">
      <c r="A227" s="13" t="s">
        <v>59</v>
      </c>
      <c r="B227" s="13" t="s">
        <v>172</v>
      </c>
      <c r="C227" s="13" t="n">
        <v>0</v>
      </c>
      <c r="D227" s="13" t="n">
        <v>0</v>
      </c>
      <c r="E227" s="13" t="n">
        <v>0</v>
      </c>
      <c r="F227" s="13" t="n">
        <v>0</v>
      </c>
      <c r="G227" s="17" t="n">
        <v>0</v>
      </c>
      <c r="H227" s="13" t="n">
        <v>719</v>
      </c>
      <c r="I227" s="13" t="n">
        <v>60</v>
      </c>
      <c r="J227" s="13" t="n">
        <v>657</v>
      </c>
      <c r="K227" s="13" t="n">
        <v>0</v>
      </c>
      <c r="L227" s="17" t="n">
        <v>0.460231933333333</v>
      </c>
      <c r="M227" s="18" t="n">
        <f aca="false">IF(H227=0,"",I227/H227)</f>
        <v>0.0834492350486787</v>
      </c>
    </row>
    <row r="228" customFormat="false" ht="15" hidden="false" customHeight="false" outlineLevel="0" collapsed="false">
      <c r="A228" s="13" t="s">
        <v>59</v>
      </c>
      <c r="B228" s="13" t="s">
        <v>173</v>
      </c>
      <c r="C228" s="13" t="n">
        <v>0</v>
      </c>
      <c r="D228" s="13" t="n">
        <v>0</v>
      </c>
      <c r="E228" s="13" t="n">
        <v>0</v>
      </c>
      <c r="F228" s="13" t="n">
        <v>0</v>
      </c>
      <c r="G228" s="17" t="n">
        <v>0</v>
      </c>
      <c r="H228" s="13" t="n">
        <v>101</v>
      </c>
      <c r="I228" s="13" t="n">
        <v>15</v>
      </c>
      <c r="J228" s="13" t="n">
        <v>86</v>
      </c>
      <c r="K228" s="13" t="n">
        <v>0</v>
      </c>
      <c r="L228" s="17" t="n">
        <v>0.04832</v>
      </c>
      <c r="M228" s="18" t="n">
        <f aca="false">IF(H228=0,"",I228/H228)</f>
        <v>0.148514851485149</v>
      </c>
    </row>
    <row r="229" customFormat="false" ht="15" hidden="false" customHeight="false" outlineLevel="0" collapsed="false">
      <c r="A229" s="13" t="s">
        <v>59</v>
      </c>
      <c r="B229" s="13" t="s">
        <v>174</v>
      </c>
      <c r="C229" s="13" t="n">
        <v>0</v>
      </c>
      <c r="D229" s="13" t="n">
        <v>0</v>
      </c>
      <c r="E229" s="13" t="n">
        <v>0</v>
      </c>
      <c r="F229" s="13" t="n">
        <v>0</v>
      </c>
      <c r="G229" s="17" t="n">
        <v>0</v>
      </c>
      <c r="H229" s="13" t="n">
        <v>1</v>
      </c>
      <c r="I229" s="13" t="n">
        <v>1</v>
      </c>
      <c r="J229" s="13" t="n">
        <v>0</v>
      </c>
      <c r="K229" s="13" t="n">
        <v>0</v>
      </c>
      <c r="L229" s="17" t="n">
        <v>0</v>
      </c>
      <c r="M229" s="18" t="n">
        <f aca="false">IF(H229=0,"",I229/H229)</f>
        <v>1</v>
      </c>
    </row>
    <row r="230" customFormat="false" ht="15" hidden="false" customHeight="false" outlineLevel="0" collapsed="false">
      <c r="A230" s="13" t="s">
        <v>59</v>
      </c>
      <c r="B230" s="13" t="s">
        <v>175</v>
      </c>
      <c r="C230" s="13" t="n">
        <v>0</v>
      </c>
      <c r="D230" s="13" t="n">
        <v>0</v>
      </c>
      <c r="E230" s="13" t="n">
        <v>0</v>
      </c>
      <c r="F230" s="13" t="n">
        <v>0</v>
      </c>
      <c r="G230" s="17" t="n">
        <v>0</v>
      </c>
      <c r="H230" s="13" t="n">
        <v>29</v>
      </c>
      <c r="I230" s="13" t="n">
        <v>0</v>
      </c>
      <c r="J230" s="13" t="n">
        <v>0</v>
      </c>
      <c r="K230" s="13" t="n">
        <v>85</v>
      </c>
      <c r="L230" s="17" t="n">
        <v>0</v>
      </c>
      <c r="M230" s="18" t="n">
        <f aca="false">IF(H230=0,"",I230/H230)</f>
        <v>0</v>
      </c>
    </row>
    <row r="231" customFormat="false" ht="15" hidden="false" customHeight="false" outlineLevel="0" collapsed="false">
      <c r="A231" s="13" t="s">
        <v>59</v>
      </c>
      <c r="B231" s="13" t="s">
        <v>176</v>
      </c>
      <c r="C231" s="13" t="n">
        <v>0</v>
      </c>
      <c r="D231" s="13" t="n">
        <v>0</v>
      </c>
      <c r="E231" s="13" t="n">
        <v>0</v>
      </c>
      <c r="F231" s="13" t="n">
        <v>0</v>
      </c>
      <c r="G231" s="17" t="n">
        <v>0</v>
      </c>
      <c r="H231" s="13" t="n">
        <v>413</v>
      </c>
      <c r="I231" s="13" t="n">
        <v>0</v>
      </c>
      <c r="J231" s="13" t="n">
        <v>0</v>
      </c>
      <c r="K231" s="13" t="n">
        <v>0</v>
      </c>
      <c r="L231" s="17" t="n">
        <v>0</v>
      </c>
      <c r="M231" s="18" t="n">
        <f aca="false">IF(H231=0,"",I231/H231)</f>
        <v>0</v>
      </c>
    </row>
    <row r="232" customFormat="false" ht="15" hidden="false" customHeight="false" outlineLevel="0" collapsed="false">
      <c r="A232" s="13" t="s">
        <v>115</v>
      </c>
      <c r="B232" s="13" t="s">
        <v>169</v>
      </c>
      <c r="C232" s="13" t="n">
        <v>0</v>
      </c>
      <c r="D232" s="13" t="n">
        <v>0</v>
      </c>
      <c r="E232" s="13" t="n">
        <v>0</v>
      </c>
      <c r="F232" s="13" t="n">
        <v>0</v>
      </c>
      <c r="G232" s="17" t="n">
        <v>0</v>
      </c>
      <c r="H232" s="13" t="n">
        <v>0</v>
      </c>
      <c r="I232" s="13" t="n">
        <v>0</v>
      </c>
      <c r="J232" s="13" t="n">
        <v>7</v>
      </c>
      <c r="K232" s="13" t="n">
        <v>0</v>
      </c>
      <c r="L232" s="17" t="n">
        <v>0</v>
      </c>
      <c r="M232" s="18" t="str">
        <f aca="false">IF(H232=0,"",I232/H232)</f>
        <v/>
      </c>
    </row>
    <row r="233" customFormat="false" ht="15" hidden="false" customHeight="false" outlineLevel="0" collapsed="false">
      <c r="A233" s="13" t="s">
        <v>115</v>
      </c>
      <c r="B233" s="13" t="s">
        <v>170</v>
      </c>
      <c r="C233" s="13" t="n">
        <v>0</v>
      </c>
      <c r="D233" s="13" t="n">
        <v>0</v>
      </c>
      <c r="E233" s="13" t="n">
        <v>0</v>
      </c>
      <c r="F233" s="13" t="n">
        <v>0</v>
      </c>
      <c r="G233" s="17" t="n">
        <v>0</v>
      </c>
      <c r="H233" s="13" t="n">
        <v>15</v>
      </c>
      <c r="I233" s="13" t="n">
        <v>0</v>
      </c>
      <c r="J233" s="13" t="n">
        <v>1</v>
      </c>
      <c r="K233" s="13" t="n">
        <v>2</v>
      </c>
      <c r="L233" s="17" t="n">
        <v>0</v>
      </c>
      <c r="M233" s="18" t="n">
        <f aca="false">IF(H233=0,"",I233/H233)</f>
        <v>0</v>
      </c>
    </row>
    <row r="234" customFormat="false" ht="15" hidden="false" customHeight="false" outlineLevel="0" collapsed="false">
      <c r="A234" s="13" t="s">
        <v>115</v>
      </c>
      <c r="B234" s="13" t="s">
        <v>171</v>
      </c>
      <c r="C234" s="13" t="n">
        <v>0</v>
      </c>
      <c r="D234" s="13" t="n">
        <v>0</v>
      </c>
      <c r="E234" s="13" t="n">
        <v>0</v>
      </c>
      <c r="F234" s="13" t="n">
        <v>0</v>
      </c>
      <c r="G234" s="17" t="n">
        <v>0</v>
      </c>
      <c r="H234" s="13" t="n">
        <v>11</v>
      </c>
      <c r="I234" s="13" t="n">
        <v>0</v>
      </c>
      <c r="J234" s="13" t="n">
        <v>9</v>
      </c>
      <c r="K234" s="13" t="n">
        <v>0</v>
      </c>
      <c r="L234" s="17" t="n">
        <v>0.00077133</v>
      </c>
      <c r="M234" s="18" t="n">
        <f aca="false">IF(H234=0,"",I234/H234)</f>
        <v>0</v>
      </c>
    </row>
    <row r="235" customFormat="false" ht="15" hidden="false" customHeight="false" outlineLevel="0" collapsed="false">
      <c r="A235" s="13" t="s">
        <v>115</v>
      </c>
      <c r="B235" s="13" t="s">
        <v>172</v>
      </c>
      <c r="C235" s="13" t="n">
        <v>0</v>
      </c>
      <c r="D235" s="13" t="n">
        <v>0</v>
      </c>
      <c r="E235" s="13" t="n">
        <v>0</v>
      </c>
      <c r="F235" s="13" t="n">
        <v>0</v>
      </c>
      <c r="G235" s="17" t="n">
        <v>0</v>
      </c>
      <c r="H235" s="13" t="n">
        <v>102</v>
      </c>
      <c r="I235" s="13" t="n">
        <v>0</v>
      </c>
      <c r="J235" s="13" t="n">
        <v>102</v>
      </c>
      <c r="K235" s="13" t="n">
        <v>0</v>
      </c>
      <c r="L235" s="17" t="n">
        <v>0.0547978666666667</v>
      </c>
      <c r="M235" s="18" t="n">
        <f aca="false">IF(H235=0,"",I235/H235)</f>
        <v>0</v>
      </c>
    </row>
    <row r="236" customFormat="false" ht="15" hidden="false" customHeight="false" outlineLevel="0" collapsed="false">
      <c r="A236" s="13" t="s">
        <v>115</v>
      </c>
      <c r="B236" s="13" t="s">
        <v>173</v>
      </c>
      <c r="C236" s="13" t="n">
        <v>0</v>
      </c>
      <c r="D236" s="13" t="n">
        <v>0</v>
      </c>
      <c r="E236" s="13" t="n">
        <v>0</v>
      </c>
      <c r="F236" s="13" t="n">
        <v>0</v>
      </c>
      <c r="G236" s="17" t="n">
        <v>0</v>
      </c>
      <c r="H236" s="13" t="n">
        <v>3</v>
      </c>
      <c r="I236" s="13" t="n">
        <v>3</v>
      </c>
      <c r="J236" s="13" t="n">
        <v>0</v>
      </c>
      <c r="K236" s="13" t="n">
        <v>0</v>
      </c>
      <c r="L236" s="17" t="n">
        <v>0.0049904</v>
      </c>
      <c r="M236" s="18" t="n">
        <f aca="false">IF(H236=0,"",I236/H236)</f>
        <v>1</v>
      </c>
    </row>
    <row r="237" customFormat="false" ht="15" hidden="false" customHeight="false" outlineLevel="0" collapsed="false">
      <c r="A237" s="13" t="s">
        <v>115</v>
      </c>
      <c r="B237" s="13" t="s">
        <v>175</v>
      </c>
      <c r="C237" s="13" t="n">
        <v>0</v>
      </c>
      <c r="D237" s="13" t="n">
        <v>0</v>
      </c>
      <c r="E237" s="13" t="n">
        <v>0</v>
      </c>
      <c r="F237" s="13" t="n">
        <v>0</v>
      </c>
      <c r="G237" s="17" t="n">
        <v>0</v>
      </c>
      <c r="H237" s="13" t="n">
        <v>5</v>
      </c>
      <c r="I237" s="13" t="n">
        <v>0</v>
      </c>
      <c r="J237" s="13" t="n">
        <v>0</v>
      </c>
      <c r="K237" s="13" t="n">
        <v>5</v>
      </c>
      <c r="L237" s="17" t="n">
        <v>0</v>
      </c>
      <c r="M237" s="18" t="n">
        <f aca="false">IF(H237=0,"",I237/H237)</f>
        <v>0</v>
      </c>
    </row>
    <row r="238" customFormat="false" ht="15" hidden="false" customHeight="false" outlineLevel="0" collapsed="false">
      <c r="A238" s="13" t="s">
        <v>115</v>
      </c>
      <c r="B238" s="13" t="s">
        <v>176</v>
      </c>
      <c r="C238" s="13" t="n">
        <v>0</v>
      </c>
      <c r="D238" s="13" t="n">
        <v>0</v>
      </c>
      <c r="E238" s="13" t="n">
        <v>0</v>
      </c>
      <c r="F238" s="13" t="n">
        <v>0</v>
      </c>
      <c r="G238" s="17" t="n">
        <v>0</v>
      </c>
      <c r="H238" s="13" t="n">
        <v>83</v>
      </c>
      <c r="I238" s="13" t="n">
        <v>0</v>
      </c>
      <c r="J238" s="13" t="n">
        <v>0</v>
      </c>
      <c r="K238" s="13" t="n">
        <v>0</v>
      </c>
      <c r="L238" s="17" t="n">
        <v>0</v>
      </c>
      <c r="M238" s="18" t="n">
        <f aca="false">IF(H238=0,"",I238/H238)</f>
        <v>0</v>
      </c>
    </row>
    <row r="239" customFormat="false" ht="15" hidden="false" customHeight="false" outlineLevel="0" collapsed="false">
      <c r="A239" s="13" t="s">
        <v>77</v>
      </c>
      <c r="B239" s="13" t="s">
        <v>170</v>
      </c>
      <c r="C239" s="13" t="n">
        <v>0</v>
      </c>
      <c r="D239" s="13" t="n">
        <v>0</v>
      </c>
      <c r="E239" s="13" t="n">
        <v>0</v>
      </c>
      <c r="F239" s="13" t="n">
        <v>0</v>
      </c>
      <c r="G239" s="17" t="n">
        <v>0</v>
      </c>
      <c r="H239" s="13" t="n">
        <v>50</v>
      </c>
      <c r="I239" s="13" t="n">
        <v>23</v>
      </c>
      <c r="J239" s="13" t="n">
        <v>6</v>
      </c>
      <c r="K239" s="13" t="n">
        <v>33</v>
      </c>
      <c r="L239" s="17" t="n">
        <v>0</v>
      </c>
      <c r="M239" s="18" t="n">
        <f aca="false">IF(H239=0,"",I239/H239)</f>
        <v>0.46</v>
      </c>
    </row>
    <row r="240" customFormat="false" ht="15" hidden="false" customHeight="false" outlineLevel="0" collapsed="false">
      <c r="A240" s="13" t="s">
        <v>77</v>
      </c>
      <c r="B240" s="13" t="s">
        <v>171</v>
      </c>
      <c r="C240" s="13" t="n">
        <v>0</v>
      </c>
      <c r="D240" s="13" t="n">
        <v>0</v>
      </c>
      <c r="E240" s="13" t="n">
        <v>0</v>
      </c>
      <c r="F240" s="13" t="n">
        <v>0</v>
      </c>
      <c r="G240" s="17" t="n">
        <v>0</v>
      </c>
      <c r="H240" s="13" t="n">
        <v>28</v>
      </c>
      <c r="I240" s="13" t="n">
        <v>3</v>
      </c>
      <c r="J240" s="13" t="n">
        <v>3</v>
      </c>
      <c r="K240" s="13" t="n">
        <v>0</v>
      </c>
      <c r="L240" s="17" t="n">
        <v>0.003405</v>
      </c>
      <c r="M240" s="18" t="n">
        <f aca="false">IF(H240=0,"",I240/H240)</f>
        <v>0.107142857142857</v>
      </c>
    </row>
    <row r="241" customFormat="false" ht="15" hidden="false" customHeight="false" outlineLevel="0" collapsed="false">
      <c r="A241" s="13" t="s">
        <v>77</v>
      </c>
      <c r="B241" s="13" t="s">
        <v>172</v>
      </c>
      <c r="C241" s="13" t="n">
        <v>0</v>
      </c>
      <c r="D241" s="13" t="n">
        <v>0</v>
      </c>
      <c r="E241" s="13" t="n">
        <v>0</v>
      </c>
      <c r="F241" s="13" t="n">
        <v>0</v>
      </c>
      <c r="G241" s="17" t="n">
        <v>0</v>
      </c>
      <c r="H241" s="13" t="n">
        <v>268</v>
      </c>
      <c r="I241" s="13" t="n">
        <v>11</v>
      </c>
      <c r="J241" s="13" t="n">
        <v>254</v>
      </c>
      <c r="K241" s="13" t="n">
        <v>0</v>
      </c>
      <c r="L241" s="17" t="n">
        <v>0.1426866</v>
      </c>
      <c r="M241" s="18" t="n">
        <f aca="false">IF(H241=0,"",I241/H241)</f>
        <v>0.041044776119403</v>
      </c>
    </row>
    <row r="242" customFormat="false" ht="15" hidden="false" customHeight="false" outlineLevel="0" collapsed="false">
      <c r="A242" s="13" t="s">
        <v>77</v>
      </c>
      <c r="B242" s="13" t="s">
        <v>173</v>
      </c>
      <c r="C242" s="13" t="n">
        <v>0</v>
      </c>
      <c r="D242" s="13" t="n">
        <v>0</v>
      </c>
      <c r="E242" s="13" t="n">
        <v>0</v>
      </c>
      <c r="F242" s="13" t="n">
        <v>0</v>
      </c>
      <c r="G242" s="17" t="n">
        <v>0</v>
      </c>
      <c r="H242" s="13" t="n">
        <v>46</v>
      </c>
      <c r="I242" s="13" t="n">
        <v>17</v>
      </c>
      <c r="J242" s="13" t="n">
        <v>29</v>
      </c>
      <c r="K242" s="13" t="n">
        <v>0</v>
      </c>
      <c r="L242" s="17" t="n">
        <v>0.0857912</v>
      </c>
      <c r="M242" s="18" t="n">
        <f aca="false">IF(H242=0,"",I242/H242)</f>
        <v>0.369565217391304</v>
      </c>
    </row>
    <row r="243" customFormat="false" ht="15" hidden="false" customHeight="false" outlineLevel="0" collapsed="false">
      <c r="A243" s="13" t="s">
        <v>77</v>
      </c>
      <c r="B243" s="13" t="s">
        <v>175</v>
      </c>
      <c r="C243" s="13" t="n">
        <v>0</v>
      </c>
      <c r="D243" s="13" t="n">
        <v>0</v>
      </c>
      <c r="E243" s="13" t="n">
        <v>0</v>
      </c>
      <c r="F243" s="13" t="n">
        <v>0</v>
      </c>
      <c r="G243" s="17" t="n">
        <v>0</v>
      </c>
      <c r="H243" s="13" t="n">
        <v>5</v>
      </c>
      <c r="I243" s="13" t="n">
        <v>0</v>
      </c>
      <c r="J243" s="13" t="n">
        <v>0</v>
      </c>
      <c r="K243" s="13" t="n">
        <v>18</v>
      </c>
      <c r="L243" s="17" t="n">
        <v>0</v>
      </c>
      <c r="M243" s="18" t="n">
        <f aca="false">IF(H243=0,"",I243/H243)</f>
        <v>0</v>
      </c>
    </row>
    <row r="244" customFormat="false" ht="15" hidden="false" customHeight="false" outlineLevel="0" collapsed="false">
      <c r="A244" s="13" t="s">
        <v>77</v>
      </c>
      <c r="B244" s="13" t="s">
        <v>176</v>
      </c>
      <c r="C244" s="13" t="n">
        <v>0</v>
      </c>
      <c r="D244" s="13" t="n">
        <v>0</v>
      </c>
      <c r="E244" s="13" t="n">
        <v>0</v>
      </c>
      <c r="F244" s="13" t="n">
        <v>0</v>
      </c>
      <c r="G244" s="17" t="n">
        <v>0</v>
      </c>
      <c r="H244" s="13" t="n">
        <v>121</v>
      </c>
      <c r="I244" s="13" t="n">
        <v>0</v>
      </c>
      <c r="J244" s="13" t="n">
        <v>0</v>
      </c>
      <c r="K244" s="13" t="n">
        <v>0</v>
      </c>
      <c r="L244" s="17" t="n">
        <v>0</v>
      </c>
      <c r="M244" s="18" t="n">
        <f aca="false">IF(H244=0,"",I244/H244)</f>
        <v>0</v>
      </c>
    </row>
    <row r="245" customFormat="false" ht="15" hidden="false" customHeight="false" outlineLevel="0" collapsed="false">
      <c r="A245" s="13" t="s">
        <v>53</v>
      </c>
      <c r="B245" s="13" t="s">
        <v>170</v>
      </c>
      <c r="C245" s="13" t="n">
        <v>0</v>
      </c>
      <c r="D245" s="13" t="n">
        <v>0</v>
      </c>
      <c r="E245" s="13" t="n">
        <v>0</v>
      </c>
      <c r="F245" s="13" t="n">
        <v>0</v>
      </c>
      <c r="G245" s="17" t="n">
        <v>0</v>
      </c>
      <c r="H245" s="13" t="n">
        <v>42</v>
      </c>
      <c r="I245" s="13" t="n">
        <v>19</v>
      </c>
      <c r="J245" s="13" t="n">
        <v>23</v>
      </c>
      <c r="K245" s="13" t="n">
        <v>0</v>
      </c>
      <c r="L245" s="17" t="n">
        <v>0</v>
      </c>
      <c r="M245" s="18" t="n">
        <f aca="false">IF(H245=0,"",I245/H245)</f>
        <v>0.452380952380952</v>
      </c>
    </row>
    <row r="246" customFormat="false" ht="15" hidden="false" customHeight="false" outlineLevel="0" collapsed="false">
      <c r="A246" s="13" t="s">
        <v>53</v>
      </c>
      <c r="B246" s="13" t="s">
        <v>172</v>
      </c>
      <c r="C246" s="13" t="n">
        <v>0</v>
      </c>
      <c r="D246" s="13" t="n">
        <v>0</v>
      </c>
      <c r="E246" s="13" t="n">
        <v>0</v>
      </c>
      <c r="F246" s="13" t="n">
        <v>0</v>
      </c>
      <c r="G246" s="17" t="n">
        <v>0</v>
      </c>
      <c r="H246" s="13" t="n">
        <v>608</v>
      </c>
      <c r="I246" s="13" t="n">
        <v>1</v>
      </c>
      <c r="J246" s="13" t="n">
        <v>607</v>
      </c>
      <c r="K246" s="13" t="n">
        <v>0</v>
      </c>
      <c r="L246" s="17" t="n">
        <v>0.199129766666667</v>
      </c>
      <c r="M246" s="18" t="n">
        <f aca="false">IF(H246=0,"",I246/H246)</f>
        <v>0.00164473684210526</v>
      </c>
    </row>
    <row r="247" customFormat="false" ht="15" hidden="false" customHeight="false" outlineLevel="0" collapsed="false">
      <c r="A247" s="13" t="s">
        <v>53</v>
      </c>
      <c r="B247" s="13" t="s">
        <v>173</v>
      </c>
      <c r="C247" s="13" t="n">
        <v>0</v>
      </c>
      <c r="D247" s="13" t="n">
        <v>0</v>
      </c>
      <c r="E247" s="13" t="n">
        <v>0</v>
      </c>
      <c r="F247" s="13" t="n">
        <v>0</v>
      </c>
      <c r="G247" s="17" t="n">
        <v>0</v>
      </c>
      <c r="H247" s="13" t="n">
        <v>26</v>
      </c>
      <c r="I247" s="13" t="n">
        <v>3</v>
      </c>
      <c r="J247" s="13" t="n">
        <v>23</v>
      </c>
      <c r="K247" s="13" t="n">
        <v>0</v>
      </c>
      <c r="L247" s="17" t="n">
        <v>0.0291996</v>
      </c>
      <c r="M247" s="18" t="n">
        <f aca="false">IF(H247=0,"",I247/H247)</f>
        <v>0.115384615384615</v>
      </c>
    </row>
    <row r="248" customFormat="false" ht="15" hidden="false" customHeight="false" outlineLevel="0" collapsed="false">
      <c r="A248" s="13" t="s">
        <v>53</v>
      </c>
      <c r="B248" s="13" t="s">
        <v>175</v>
      </c>
      <c r="C248" s="13" t="n">
        <v>0</v>
      </c>
      <c r="D248" s="13" t="n">
        <v>0</v>
      </c>
      <c r="E248" s="13" t="n">
        <v>0</v>
      </c>
      <c r="F248" s="13" t="n">
        <v>0</v>
      </c>
      <c r="G248" s="17" t="n">
        <v>0</v>
      </c>
      <c r="H248" s="13" t="n">
        <v>8</v>
      </c>
      <c r="I248" s="13" t="n">
        <v>0</v>
      </c>
      <c r="J248" s="13" t="n">
        <v>0</v>
      </c>
      <c r="K248" s="13" t="n">
        <v>8</v>
      </c>
      <c r="L248" s="17" t="n">
        <v>0</v>
      </c>
      <c r="M248" s="18" t="n">
        <f aca="false">IF(H248=0,"",I248/H248)</f>
        <v>0</v>
      </c>
    </row>
    <row r="249" customFormat="false" ht="15" hidden="false" customHeight="false" outlineLevel="0" collapsed="false">
      <c r="A249" s="13" t="s">
        <v>53</v>
      </c>
      <c r="B249" s="13" t="s">
        <v>176</v>
      </c>
      <c r="C249" s="13" t="n">
        <v>0</v>
      </c>
      <c r="D249" s="13" t="n">
        <v>0</v>
      </c>
      <c r="E249" s="13" t="n">
        <v>0</v>
      </c>
      <c r="F249" s="13" t="n">
        <v>0</v>
      </c>
      <c r="G249" s="17" t="n">
        <v>0</v>
      </c>
      <c r="H249" s="13" t="n">
        <v>512</v>
      </c>
      <c r="I249" s="13" t="n">
        <v>0</v>
      </c>
      <c r="J249" s="13" t="n">
        <v>0</v>
      </c>
      <c r="K249" s="13" t="n">
        <v>0</v>
      </c>
      <c r="L249" s="17" t="n">
        <v>0</v>
      </c>
      <c r="M249" s="18" t="n">
        <f aca="false">IF(H249=0,"",I249/H249)</f>
        <v>0</v>
      </c>
    </row>
    <row r="250" customFormat="false" ht="15" hidden="false" customHeight="false" outlineLevel="0" collapsed="false">
      <c r="A250" s="13" t="s">
        <v>49</v>
      </c>
      <c r="B250" s="13" t="s">
        <v>170</v>
      </c>
      <c r="C250" s="13" t="n">
        <v>34</v>
      </c>
      <c r="D250" s="13" t="n">
        <v>0</v>
      </c>
      <c r="E250" s="13" t="n">
        <v>0</v>
      </c>
      <c r="F250" s="13" t="n">
        <v>51</v>
      </c>
      <c r="G250" s="17" t="n">
        <v>0</v>
      </c>
      <c r="H250" s="13" t="n">
        <v>48</v>
      </c>
      <c r="I250" s="13" t="n">
        <v>5</v>
      </c>
      <c r="J250" s="13" t="n">
        <v>8</v>
      </c>
      <c r="K250" s="13" t="n">
        <v>53</v>
      </c>
      <c r="L250" s="17" t="n">
        <v>0</v>
      </c>
      <c r="M250" s="18" t="n">
        <f aca="false">IF(H250=0,"",I250/H250)</f>
        <v>0.104166666666667</v>
      </c>
    </row>
    <row r="251" customFormat="false" ht="15" hidden="false" customHeight="false" outlineLevel="0" collapsed="false">
      <c r="A251" s="13" t="s">
        <v>49</v>
      </c>
      <c r="B251" s="13" t="s">
        <v>171</v>
      </c>
      <c r="C251" s="13" t="n">
        <v>353</v>
      </c>
      <c r="D251" s="13" t="n">
        <v>0</v>
      </c>
      <c r="E251" s="13" t="n">
        <v>313</v>
      </c>
      <c r="F251" s="13" t="n">
        <v>0</v>
      </c>
      <c r="G251" s="17" t="n">
        <v>0.05267787</v>
      </c>
      <c r="H251" s="13" t="n">
        <v>354</v>
      </c>
      <c r="I251" s="13" t="n">
        <v>0</v>
      </c>
      <c r="J251" s="13" t="n">
        <v>313</v>
      </c>
      <c r="K251" s="13" t="n">
        <v>0</v>
      </c>
      <c r="L251" s="17" t="n">
        <v>0.05282493</v>
      </c>
      <c r="M251" s="18" t="n">
        <f aca="false">IF(H251=0,"",I251/H251)</f>
        <v>0</v>
      </c>
    </row>
    <row r="252" customFormat="false" ht="15" hidden="false" customHeight="false" outlineLevel="0" collapsed="false">
      <c r="A252" s="13" t="s">
        <v>49</v>
      </c>
      <c r="B252" s="13" t="s">
        <v>172</v>
      </c>
      <c r="C252" s="13" t="n">
        <v>0</v>
      </c>
      <c r="D252" s="13" t="n">
        <v>0</v>
      </c>
      <c r="E252" s="13" t="n">
        <v>0</v>
      </c>
      <c r="F252" s="13" t="n">
        <v>0</v>
      </c>
      <c r="G252" s="17" t="n">
        <v>0</v>
      </c>
      <c r="H252" s="13" t="n">
        <v>1013</v>
      </c>
      <c r="I252" s="13" t="n">
        <v>20</v>
      </c>
      <c r="J252" s="13" t="n">
        <v>992</v>
      </c>
      <c r="K252" s="13" t="n">
        <v>0</v>
      </c>
      <c r="L252" s="17" t="n">
        <v>0.657415266666667</v>
      </c>
      <c r="M252" s="18" t="n">
        <f aca="false">IF(H252=0,"",I252/H252)</f>
        <v>0.0197433366238894</v>
      </c>
    </row>
    <row r="253" customFormat="false" ht="15" hidden="false" customHeight="false" outlineLevel="0" collapsed="false">
      <c r="A253" s="13" t="s">
        <v>49</v>
      </c>
      <c r="B253" s="13" t="s">
        <v>173</v>
      </c>
      <c r="C253" s="13" t="n">
        <v>0</v>
      </c>
      <c r="D253" s="13" t="n">
        <v>0</v>
      </c>
      <c r="E253" s="13" t="n">
        <v>0</v>
      </c>
      <c r="F253" s="13" t="n">
        <v>0</v>
      </c>
      <c r="G253" s="17" t="n">
        <v>0</v>
      </c>
      <c r="H253" s="13" t="n">
        <v>7</v>
      </c>
      <c r="I253" s="13" t="n">
        <v>2</v>
      </c>
      <c r="J253" s="13" t="n">
        <v>5</v>
      </c>
      <c r="K253" s="13" t="n">
        <v>0</v>
      </c>
      <c r="L253" s="17" t="n">
        <v>0.0332848</v>
      </c>
      <c r="M253" s="18" t="n">
        <f aca="false">IF(H253=0,"",I253/H253)</f>
        <v>0.285714285714286</v>
      </c>
    </row>
    <row r="254" customFormat="false" ht="15" hidden="false" customHeight="false" outlineLevel="0" collapsed="false">
      <c r="A254" s="13" t="s">
        <v>49</v>
      </c>
      <c r="B254" s="13" t="s">
        <v>175</v>
      </c>
      <c r="C254" s="13" t="n">
        <v>7</v>
      </c>
      <c r="D254" s="13" t="n">
        <v>0</v>
      </c>
      <c r="E254" s="13" t="n">
        <v>0</v>
      </c>
      <c r="F254" s="13" t="n">
        <v>7</v>
      </c>
      <c r="G254" s="17" t="n">
        <v>0</v>
      </c>
      <c r="H254" s="13" t="n">
        <v>11</v>
      </c>
      <c r="I254" s="13" t="n">
        <v>0</v>
      </c>
      <c r="J254" s="13" t="n">
        <v>0</v>
      </c>
      <c r="K254" s="13" t="n">
        <v>11</v>
      </c>
      <c r="L254" s="17" t="n">
        <v>0</v>
      </c>
      <c r="M254" s="18" t="n">
        <f aca="false">IF(H254=0,"",I254/H254)</f>
        <v>0</v>
      </c>
    </row>
    <row r="255" customFormat="false" ht="15" hidden="false" customHeight="false" outlineLevel="0" collapsed="false">
      <c r="A255" s="13" t="s">
        <v>49</v>
      </c>
      <c r="B255" s="13" t="s">
        <v>176</v>
      </c>
      <c r="C255" s="13" t="n">
        <v>0</v>
      </c>
      <c r="D255" s="13" t="n">
        <v>0</v>
      </c>
      <c r="E255" s="13" t="n">
        <v>0</v>
      </c>
      <c r="F255" s="13" t="n">
        <v>0</v>
      </c>
      <c r="G255" s="17" t="n">
        <v>0</v>
      </c>
      <c r="H255" s="13" t="n">
        <v>411</v>
      </c>
      <c r="I255" s="13" t="n">
        <v>0</v>
      </c>
      <c r="J255" s="13" t="n">
        <v>0</v>
      </c>
      <c r="K255" s="13" t="n">
        <v>0</v>
      </c>
      <c r="L255" s="17" t="n">
        <v>0</v>
      </c>
      <c r="M255" s="18" t="n">
        <f aca="false">IF(H255=0,"",I255/H255)</f>
        <v>0</v>
      </c>
    </row>
    <row r="256" customFormat="false" ht="15" hidden="false" customHeight="false" outlineLevel="0" collapsed="false">
      <c r="A256" s="13" t="s">
        <v>63</v>
      </c>
      <c r="B256" s="13" t="s">
        <v>170</v>
      </c>
      <c r="C256" s="13" t="n">
        <v>51</v>
      </c>
      <c r="D256" s="13" t="n">
        <v>0</v>
      </c>
      <c r="E256" s="13" t="n">
        <v>0</v>
      </c>
      <c r="F256" s="13" t="n">
        <v>51</v>
      </c>
      <c r="G256" s="17" t="n">
        <v>0</v>
      </c>
      <c r="H256" s="13" t="n">
        <v>74</v>
      </c>
      <c r="I256" s="13" t="n">
        <v>21</v>
      </c>
      <c r="J256" s="13" t="n">
        <v>1</v>
      </c>
      <c r="K256" s="13" t="n">
        <v>52</v>
      </c>
      <c r="L256" s="17" t="n">
        <v>0</v>
      </c>
      <c r="M256" s="18" t="n">
        <f aca="false">IF(H256=0,"",I256/H256)</f>
        <v>0.283783783783784</v>
      </c>
    </row>
    <row r="257" customFormat="false" ht="15" hidden="false" customHeight="false" outlineLevel="0" collapsed="false">
      <c r="A257" s="13" t="s">
        <v>63</v>
      </c>
      <c r="B257" s="13" t="s">
        <v>171</v>
      </c>
      <c r="C257" s="13" t="n">
        <v>145</v>
      </c>
      <c r="D257" s="13" t="n">
        <v>0</v>
      </c>
      <c r="E257" s="13" t="n">
        <v>94</v>
      </c>
      <c r="F257" s="13" t="n">
        <v>0</v>
      </c>
      <c r="G257" s="17" t="n">
        <v>0.02083542</v>
      </c>
      <c r="H257" s="13" t="n">
        <v>145</v>
      </c>
      <c r="I257" s="13" t="n">
        <v>0</v>
      </c>
      <c r="J257" s="13" t="n">
        <v>94</v>
      </c>
      <c r="K257" s="13" t="n">
        <v>0</v>
      </c>
      <c r="L257" s="17" t="n">
        <v>0.02083542</v>
      </c>
      <c r="M257" s="18" t="n">
        <f aca="false">IF(H257=0,"",I257/H257)</f>
        <v>0</v>
      </c>
    </row>
    <row r="258" customFormat="false" ht="15" hidden="false" customHeight="false" outlineLevel="0" collapsed="false">
      <c r="A258" s="13" t="s">
        <v>63</v>
      </c>
      <c r="B258" s="13" t="s">
        <v>172</v>
      </c>
      <c r="C258" s="13" t="n">
        <v>0</v>
      </c>
      <c r="D258" s="13" t="n">
        <v>0</v>
      </c>
      <c r="E258" s="13" t="n">
        <v>0</v>
      </c>
      <c r="F258" s="13" t="n">
        <v>0</v>
      </c>
      <c r="G258" s="17" t="n">
        <v>0</v>
      </c>
      <c r="H258" s="13" t="n">
        <v>747</v>
      </c>
      <c r="I258" s="13" t="n">
        <v>5</v>
      </c>
      <c r="J258" s="13" t="n">
        <v>740</v>
      </c>
      <c r="K258" s="13" t="n">
        <v>0</v>
      </c>
      <c r="L258" s="17" t="n">
        <v>0.317271733333333</v>
      </c>
      <c r="M258" s="18" t="n">
        <f aca="false">IF(H258=0,"",I258/H258)</f>
        <v>0.00669344042838019</v>
      </c>
    </row>
    <row r="259" customFormat="false" ht="15" hidden="false" customHeight="false" outlineLevel="0" collapsed="false">
      <c r="A259" s="13" t="s">
        <v>63</v>
      </c>
      <c r="B259" s="13" t="s">
        <v>173</v>
      </c>
      <c r="C259" s="13" t="n">
        <v>0</v>
      </c>
      <c r="D259" s="13" t="n">
        <v>0</v>
      </c>
      <c r="E259" s="13" t="n">
        <v>0</v>
      </c>
      <c r="F259" s="13" t="n">
        <v>0</v>
      </c>
      <c r="G259" s="17" t="n">
        <v>0</v>
      </c>
      <c r="H259" s="13" t="n">
        <v>26</v>
      </c>
      <c r="I259" s="13" t="n">
        <v>1</v>
      </c>
      <c r="J259" s="13" t="n">
        <v>25</v>
      </c>
      <c r="K259" s="13" t="n">
        <v>0</v>
      </c>
      <c r="L259" s="17" t="n">
        <v>0.0017796</v>
      </c>
      <c r="M259" s="18" t="n">
        <f aca="false">IF(H259=0,"",I259/H259)</f>
        <v>0.0384615384615385</v>
      </c>
    </row>
    <row r="260" customFormat="false" ht="15" hidden="false" customHeight="false" outlineLevel="0" collapsed="false">
      <c r="A260" s="13" t="s">
        <v>63</v>
      </c>
      <c r="B260" s="13" t="s">
        <v>175</v>
      </c>
      <c r="C260" s="13" t="n">
        <v>19</v>
      </c>
      <c r="D260" s="13" t="n">
        <v>0</v>
      </c>
      <c r="E260" s="13" t="n">
        <v>0</v>
      </c>
      <c r="F260" s="13" t="n">
        <v>19</v>
      </c>
      <c r="G260" s="17" t="n">
        <v>0</v>
      </c>
      <c r="H260" s="13" t="n">
        <v>48</v>
      </c>
      <c r="I260" s="13" t="n">
        <v>0</v>
      </c>
      <c r="J260" s="13" t="n">
        <v>0</v>
      </c>
      <c r="K260" s="13" t="n">
        <v>128</v>
      </c>
      <c r="L260" s="17" t="n">
        <v>0</v>
      </c>
      <c r="M260" s="18" t="n">
        <f aca="false">IF(H260=0,"",I260/H260)</f>
        <v>0</v>
      </c>
    </row>
    <row r="261" customFormat="false" ht="15" hidden="false" customHeight="false" outlineLevel="0" collapsed="false">
      <c r="A261" s="13" t="s">
        <v>63</v>
      </c>
      <c r="B261" s="13" t="s">
        <v>176</v>
      </c>
      <c r="C261" s="13" t="n">
        <v>0</v>
      </c>
      <c r="D261" s="13" t="n">
        <v>0</v>
      </c>
      <c r="E261" s="13" t="n">
        <v>0</v>
      </c>
      <c r="F261" s="13" t="n">
        <v>0</v>
      </c>
      <c r="G261" s="17" t="n">
        <v>0</v>
      </c>
      <c r="H261" s="13" t="n">
        <v>438</v>
      </c>
      <c r="I261" s="13" t="n">
        <v>0</v>
      </c>
      <c r="J261" s="13" t="n">
        <v>0</v>
      </c>
      <c r="K261" s="13" t="n">
        <v>0</v>
      </c>
      <c r="L261" s="17" t="n">
        <v>0</v>
      </c>
      <c r="M261" s="18" t="n">
        <f aca="false">IF(H261=0,"",I261/H261)</f>
        <v>0</v>
      </c>
    </row>
    <row r="262" customFormat="false" ht="15" hidden="false" customHeight="false" outlineLevel="0" collapsed="false">
      <c r="A262" s="13" t="s">
        <v>61</v>
      </c>
      <c r="B262" s="13" t="s">
        <v>170</v>
      </c>
      <c r="C262" s="13" t="n">
        <v>0</v>
      </c>
      <c r="D262" s="13" t="n">
        <v>0</v>
      </c>
      <c r="E262" s="13" t="n">
        <v>0</v>
      </c>
      <c r="F262" s="13" t="n">
        <v>0</v>
      </c>
      <c r="G262" s="17" t="n">
        <v>0</v>
      </c>
      <c r="H262" s="13" t="n">
        <v>13</v>
      </c>
      <c r="I262" s="13" t="n">
        <v>13</v>
      </c>
      <c r="J262" s="13" t="n">
        <v>0</v>
      </c>
      <c r="K262" s="13" t="n">
        <v>0</v>
      </c>
      <c r="L262" s="17" t="n">
        <v>0</v>
      </c>
      <c r="M262" s="18" t="n">
        <f aca="false">IF(H262=0,"",I262/H262)</f>
        <v>1</v>
      </c>
    </row>
    <row r="263" customFormat="false" ht="15" hidden="false" customHeight="false" outlineLevel="0" collapsed="false">
      <c r="A263" s="13" t="s">
        <v>61</v>
      </c>
      <c r="B263" s="13" t="s">
        <v>171</v>
      </c>
      <c r="C263" s="13" t="n">
        <v>0</v>
      </c>
      <c r="D263" s="13" t="n">
        <v>0</v>
      </c>
      <c r="E263" s="13" t="n">
        <v>0</v>
      </c>
      <c r="F263" s="13" t="n">
        <v>0</v>
      </c>
      <c r="G263" s="17" t="n">
        <v>0</v>
      </c>
      <c r="H263" s="13" t="n">
        <v>19</v>
      </c>
      <c r="I263" s="13" t="n">
        <v>0</v>
      </c>
      <c r="J263" s="13" t="n">
        <v>19</v>
      </c>
      <c r="K263" s="13" t="n">
        <v>0</v>
      </c>
      <c r="L263" s="17" t="n">
        <v>0.00173418</v>
      </c>
      <c r="M263" s="18" t="n">
        <f aca="false">IF(H263=0,"",I263/H263)</f>
        <v>0</v>
      </c>
    </row>
    <row r="264" customFormat="false" ht="15" hidden="false" customHeight="false" outlineLevel="0" collapsed="false">
      <c r="A264" s="13" t="s">
        <v>61</v>
      </c>
      <c r="B264" s="13" t="s">
        <v>172</v>
      </c>
      <c r="C264" s="13" t="n">
        <v>0</v>
      </c>
      <c r="D264" s="13" t="n">
        <v>0</v>
      </c>
      <c r="E264" s="13" t="n">
        <v>0</v>
      </c>
      <c r="F264" s="13" t="n">
        <v>0</v>
      </c>
      <c r="G264" s="17" t="n">
        <v>0</v>
      </c>
      <c r="H264" s="13" t="n">
        <v>85</v>
      </c>
      <c r="I264" s="13" t="n">
        <v>0</v>
      </c>
      <c r="J264" s="13" t="n">
        <v>85</v>
      </c>
      <c r="K264" s="13" t="n">
        <v>0</v>
      </c>
      <c r="L264" s="17" t="n">
        <v>0.0583364666666667</v>
      </c>
      <c r="M264" s="18" t="n">
        <f aca="false">IF(H264=0,"",I264/H264)</f>
        <v>0</v>
      </c>
    </row>
    <row r="265" customFormat="false" ht="15" hidden="false" customHeight="false" outlineLevel="0" collapsed="false">
      <c r="A265" s="13" t="s">
        <v>61</v>
      </c>
      <c r="B265" s="13" t="s">
        <v>173</v>
      </c>
      <c r="C265" s="13" t="n">
        <v>0</v>
      </c>
      <c r="D265" s="13" t="n">
        <v>0</v>
      </c>
      <c r="E265" s="13" t="n">
        <v>0</v>
      </c>
      <c r="F265" s="13" t="n">
        <v>0</v>
      </c>
      <c r="G265" s="17" t="n">
        <v>0</v>
      </c>
      <c r="H265" s="13" t="n">
        <v>9</v>
      </c>
      <c r="I265" s="13" t="n">
        <v>0</v>
      </c>
      <c r="J265" s="13" t="n">
        <v>9</v>
      </c>
      <c r="K265" s="13" t="n">
        <v>0</v>
      </c>
      <c r="L265" s="17" t="n">
        <v>0.0144112</v>
      </c>
      <c r="M265" s="18" t="n">
        <f aca="false">IF(H265=0,"",I265/H265)</f>
        <v>0</v>
      </c>
    </row>
    <row r="266" customFormat="false" ht="15" hidden="false" customHeight="false" outlineLevel="0" collapsed="false">
      <c r="A266" s="13" t="s">
        <v>61</v>
      </c>
      <c r="B266" s="13" t="s">
        <v>175</v>
      </c>
      <c r="C266" s="13" t="n">
        <v>0</v>
      </c>
      <c r="D266" s="13" t="n">
        <v>0</v>
      </c>
      <c r="E266" s="13" t="n">
        <v>0</v>
      </c>
      <c r="F266" s="13" t="n">
        <v>0</v>
      </c>
      <c r="G266" s="17" t="n">
        <v>0</v>
      </c>
      <c r="H266" s="13" t="n">
        <v>9</v>
      </c>
      <c r="I266" s="13" t="n">
        <v>0</v>
      </c>
      <c r="J266" s="13" t="n">
        <v>0</v>
      </c>
      <c r="K266" s="13" t="n">
        <v>10</v>
      </c>
      <c r="L266" s="17" t="n">
        <v>0</v>
      </c>
      <c r="M266" s="18" t="n">
        <f aca="false">IF(H266=0,"",I266/H266)</f>
        <v>0</v>
      </c>
    </row>
    <row r="267" customFormat="false" ht="15" hidden="false" customHeight="false" outlineLevel="0" collapsed="false">
      <c r="A267" s="13" t="s">
        <v>61</v>
      </c>
      <c r="B267" s="13" t="s">
        <v>176</v>
      </c>
      <c r="C267" s="13" t="n">
        <v>0</v>
      </c>
      <c r="D267" s="13" t="n">
        <v>0</v>
      </c>
      <c r="E267" s="13" t="n">
        <v>0</v>
      </c>
      <c r="F267" s="13" t="n">
        <v>0</v>
      </c>
      <c r="G267" s="17" t="n">
        <v>0</v>
      </c>
      <c r="H267" s="13" t="n">
        <v>44</v>
      </c>
      <c r="I267" s="13" t="n">
        <v>0</v>
      </c>
      <c r="J267" s="13" t="n">
        <v>0</v>
      </c>
      <c r="K267" s="13" t="n">
        <v>0</v>
      </c>
      <c r="L267" s="17" t="n">
        <v>0</v>
      </c>
      <c r="M267" s="18" t="n">
        <f aca="false">IF(H267=0,"",I267/H267)</f>
        <v>0</v>
      </c>
    </row>
    <row r="268" customFormat="false" ht="15" hidden="false" customHeight="false" outlineLevel="0" collapsed="false">
      <c r="A268" s="13" t="s">
        <v>73</v>
      </c>
      <c r="B268" s="13" t="s">
        <v>169</v>
      </c>
      <c r="C268" s="13" t="n">
        <v>0</v>
      </c>
      <c r="D268" s="13" t="n">
        <v>0</v>
      </c>
      <c r="E268" s="13" t="n">
        <v>0</v>
      </c>
      <c r="F268" s="13" t="n">
        <v>0</v>
      </c>
      <c r="G268" s="17" t="n">
        <v>0</v>
      </c>
      <c r="H268" s="13" t="n">
        <v>4</v>
      </c>
      <c r="I268" s="13" t="n">
        <v>0</v>
      </c>
      <c r="J268" s="13" t="n">
        <v>2</v>
      </c>
      <c r="K268" s="13" t="n">
        <v>8</v>
      </c>
      <c r="L268" s="17" t="n">
        <v>0</v>
      </c>
      <c r="M268" s="18" t="n">
        <f aca="false">IF(H268=0,"",I268/H268)</f>
        <v>0</v>
      </c>
    </row>
    <row r="269" customFormat="false" ht="15" hidden="false" customHeight="false" outlineLevel="0" collapsed="false">
      <c r="A269" s="13" t="s">
        <v>73</v>
      </c>
      <c r="B269" s="13" t="s">
        <v>170</v>
      </c>
      <c r="C269" s="13" t="n">
        <v>3</v>
      </c>
      <c r="D269" s="13" t="n">
        <v>0</v>
      </c>
      <c r="E269" s="13" t="n">
        <v>0</v>
      </c>
      <c r="F269" s="13" t="n">
        <v>3</v>
      </c>
      <c r="G269" s="17" t="n">
        <v>0</v>
      </c>
      <c r="H269" s="13" t="n">
        <v>7</v>
      </c>
      <c r="I269" s="13" t="n">
        <v>3</v>
      </c>
      <c r="J269" s="13" t="n">
        <v>0</v>
      </c>
      <c r="K269" s="13" t="n">
        <v>3</v>
      </c>
      <c r="L269" s="17" t="n">
        <v>0</v>
      </c>
      <c r="M269" s="18" t="n">
        <f aca="false">IF(H269=0,"",I269/H269)</f>
        <v>0.428571428571429</v>
      </c>
    </row>
    <row r="270" customFormat="false" ht="15" hidden="false" customHeight="false" outlineLevel="0" collapsed="false">
      <c r="A270" s="13" t="s">
        <v>73</v>
      </c>
      <c r="B270" s="13" t="s">
        <v>171</v>
      </c>
      <c r="C270" s="13" t="n">
        <v>58</v>
      </c>
      <c r="D270" s="13" t="n">
        <v>0</v>
      </c>
      <c r="E270" s="13" t="n">
        <v>55</v>
      </c>
      <c r="F270" s="13" t="n">
        <v>0</v>
      </c>
      <c r="G270" s="17" t="n">
        <v>0.00482289</v>
      </c>
      <c r="H270" s="13" t="n">
        <v>59</v>
      </c>
      <c r="I270" s="13" t="n">
        <v>0</v>
      </c>
      <c r="J270" s="13" t="n">
        <v>56</v>
      </c>
      <c r="K270" s="13" t="n">
        <v>0</v>
      </c>
      <c r="L270" s="17" t="n">
        <v>0.00490641</v>
      </c>
      <c r="M270" s="18" t="n">
        <f aca="false">IF(H270=0,"",I270/H270)</f>
        <v>0</v>
      </c>
    </row>
    <row r="271" customFormat="false" ht="15" hidden="false" customHeight="false" outlineLevel="0" collapsed="false">
      <c r="A271" s="13" t="s">
        <v>73</v>
      </c>
      <c r="B271" s="13" t="s">
        <v>172</v>
      </c>
      <c r="C271" s="13" t="n">
        <v>0</v>
      </c>
      <c r="D271" s="13" t="n">
        <v>0</v>
      </c>
      <c r="E271" s="13" t="n">
        <v>0</v>
      </c>
      <c r="F271" s="13" t="n">
        <v>0</v>
      </c>
      <c r="G271" s="17" t="n">
        <v>0</v>
      </c>
      <c r="H271" s="13" t="n">
        <v>297</v>
      </c>
      <c r="I271" s="13" t="n">
        <v>1</v>
      </c>
      <c r="J271" s="13" t="n">
        <v>296</v>
      </c>
      <c r="K271" s="13" t="n">
        <v>0</v>
      </c>
      <c r="L271" s="17" t="n">
        <v>0.237403266666667</v>
      </c>
      <c r="M271" s="18" t="n">
        <f aca="false">IF(H271=0,"",I271/H271)</f>
        <v>0.00336700336700337</v>
      </c>
    </row>
    <row r="272" customFormat="false" ht="15" hidden="false" customHeight="false" outlineLevel="0" collapsed="false">
      <c r="A272" s="13" t="s">
        <v>73</v>
      </c>
      <c r="B272" s="13" t="s">
        <v>173</v>
      </c>
      <c r="C272" s="13" t="n">
        <v>0</v>
      </c>
      <c r="D272" s="13" t="n">
        <v>0</v>
      </c>
      <c r="E272" s="13" t="n">
        <v>0</v>
      </c>
      <c r="F272" s="13" t="n">
        <v>0</v>
      </c>
      <c r="G272" s="17" t="n">
        <v>0</v>
      </c>
      <c r="H272" s="13" t="n">
        <v>14</v>
      </c>
      <c r="I272" s="13" t="n">
        <v>2</v>
      </c>
      <c r="J272" s="13" t="n">
        <v>12</v>
      </c>
      <c r="K272" s="13" t="n">
        <v>0</v>
      </c>
      <c r="L272" s="17" t="n">
        <v>0.068126</v>
      </c>
      <c r="M272" s="18" t="n">
        <f aca="false">IF(H272=0,"",I272/H272)</f>
        <v>0.142857142857143</v>
      </c>
    </row>
    <row r="273" customFormat="false" ht="15" hidden="false" customHeight="false" outlineLevel="0" collapsed="false">
      <c r="A273" s="13" t="s">
        <v>73</v>
      </c>
      <c r="B273" s="13" t="s">
        <v>175</v>
      </c>
      <c r="C273" s="13" t="n">
        <v>2</v>
      </c>
      <c r="D273" s="13" t="n">
        <v>0</v>
      </c>
      <c r="E273" s="13" t="n">
        <v>0</v>
      </c>
      <c r="F273" s="13" t="n">
        <v>2</v>
      </c>
      <c r="G273" s="17" t="n">
        <v>0</v>
      </c>
      <c r="H273" s="13" t="n">
        <v>19</v>
      </c>
      <c r="I273" s="13" t="n">
        <v>0</v>
      </c>
      <c r="J273" s="13" t="n">
        <v>0</v>
      </c>
      <c r="K273" s="13" t="n">
        <v>23</v>
      </c>
      <c r="L273" s="17" t="n">
        <v>0</v>
      </c>
      <c r="M273" s="18" t="n">
        <f aca="false">IF(H273=0,"",I273/H273)</f>
        <v>0</v>
      </c>
    </row>
    <row r="274" customFormat="false" ht="15" hidden="false" customHeight="false" outlineLevel="0" collapsed="false">
      <c r="A274" s="13" t="s">
        <v>73</v>
      </c>
      <c r="B274" s="13" t="s">
        <v>176</v>
      </c>
      <c r="C274" s="13" t="n">
        <v>0</v>
      </c>
      <c r="D274" s="13" t="n">
        <v>0</v>
      </c>
      <c r="E274" s="13" t="n">
        <v>0</v>
      </c>
      <c r="F274" s="13" t="n">
        <v>0</v>
      </c>
      <c r="G274" s="17" t="n">
        <v>0</v>
      </c>
      <c r="H274" s="13" t="n">
        <v>146</v>
      </c>
      <c r="I274" s="13" t="n">
        <v>0</v>
      </c>
      <c r="J274" s="13" t="n">
        <v>0</v>
      </c>
      <c r="K274" s="13" t="n">
        <v>0</v>
      </c>
      <c r="L274" s="17" t="n">
        <v>0</v>
      </c>
      <c r="M274" s="18" t="n">
        <f aca="false">IF(H274=0,"",I274/H274)</f>
        <v>0</v>
      </c>
    </row>
    <row r="275" customFormat="false" ht="15" hidden="false" customHeight="false" outlineLevel="0" collapsed="false">
      <c r="A275" s="13" t="s">
        <v>79</v>
      </c>
      <c r="B275" s="13" t="s">
        <v>170</v>
      </c>
      <c r="C275" s="13" t="n">
        <v>0</v>
      </c>
      <c r="D275" s="13" t="n">
        <v>0</v>
      </c>
      <c r="E275" s="13" t="n">
        <v>0</v>
      </c>
      <c r="F275" s="13" t="n">
        <v>0</v>
      </c>
      <c r="G275" s="17" t="n">
        <v>0</v>
      </c>
      <c r="H275" s="13" t="n">
        <v>20</v>
      </c>
      <c r="I275" s="13" t="n">
        <v>4</v>
      </c>
      <c r="J275" s="13" t="n">
        <v>0</v>
      </c>
      <c r="K275" s="13" t="n">
        <v>16</v>
      </c>
      <c r="L275" s="17" t="n">
        <v>0</v>
      </c>
      <c r="M275" s="18" t="n">
        <f aca="false">IF(H275=0,"",I275/H275)</f>
        <v>0.2</v>
      </c>
    </row>
    <row r="276" customFormat="false" ht="15" hidden="false" customHeight="false" outlineLevel="0" collapsed="false">
      <c r="A276" s="13" t="s">
        <v>79</v>
      </c>
      <c r="B276" s="13" t="s">
        <v>171</v>
      </c>
      <c r="C276" s="13" t="n">
        <v>0</v>
      </c>
      <c r="D276" s="13" t="n">
        <v>0</v>
      </c>
      <c r="E276" s="13" t="n">
        <v>0</v>
      </c>
      <c r="F276" s="13" t="n">
        <v>0</v>
      </c>
      <c r="G276" s="17" t="n">
        <v>0</v>
      </c>
      <c r="H276" s="13" t="n">
        <v>29</v>
      </c>
      <c r="I276" s="13" t="n">
        <v>0</v>
      </c>
      <c r="J276" s="13" t="n">
        <v>13</v>
      </c>
      <c r="K276" s="13" t="n">
        <v>0</v>
      </c>
      <c r="L276" s="17" t="n">
        <v>0.00332964</v>
      </c>
      <c r="M276" s="18" t="n">
        <f aca="false">IF(H276=0,"",I276/H276)</f>
        <v>0</v>
      </c>
    </row>
    <row r="277" customFormat="false" ht="15" hidden="false" customHeight="false" outlineLevel="0" collapsed="false">
      <c r="A277" s="13" t="s">
        <v>79</v>
      </c>
      <c r="B277" s="13" t="s">
        <v>172</v>
      </c>
      <c r="C277" s="13" t="n">
        <v>0</v>
      </c>
      <c r="D277" s="13" t="n">
        <v>0</v>
      </c>
      <c r="E277" s="13" t="n">
        <v>0</v>
      </c>
      <c r="F277" s="13" t="n">
        <v>0</v>
      </c>
      <c r="G277" s="17" t="n">
        <v>0</v>
      </c>
      <c r="H277" s="13" t="n">
        <v>157</v>
      </c>
      <c r="I277" s="13" t="n">
        <v>12</v>
      </c>
      <c r="J277" s="13" t="n">
        <v>145</v>
      </c>
      <c r="K277" s="13" t="n">
        <v>0</v>
      </c>
      <c r="L277" s="17" t="n">
        <v>0.0667128</v>
      </c>
      <c r="M277" s="18" t="n">
        <f aca="false">IF(H277=0,"",I277/H277)</f>
        <v>0.0764331210191083</v>
      </c>
    </row>
    <row r="278" customFormat="false" ht="15" hidden="false" customHeight="false" outlineLevel="0" collapsed="false">
      <c r="A278" s="13" t="s">
        <v>79</v>
      </c>
      <c r="B278" s="13" t="s">
        <v>173</v>
      </c>
      <c r="C278" s="13" t="n">
        <v>0</v>
      </c>
      <c r="D278" s="13" t="n">
        <v>0</v>
      </c>
      <c r="E278" s="13" t="n">
        <v>0</v>
      </c>
      <c r="F278" s="13" t="n">
        <v>0</v>
      </c>
      <c r="G278" s="17" t="n">
        <v>0</v>
      </c>
      <c r="H278" s="13" t="n">
        <v>7</v>
      </c>
      <c r="I278" s="13" t="n">
        <v>0</v>
      </c>
      <c r="J278" s="13" t="n">
        <v>7</v>
      </c>
      <c r="K278" s="13" t="n">
        <v>0</v>
      </c>
      <c r="L278" s="17" t="n">
        <v>0</v>
      </c>
      <c r="M278" s="18" t="n">
        <f aca="false">IF(H278=0,"",I278/H278)</f>
        <v>0</v>
      </c>
    </row>
    <row r="279" customFormat="false" ht="15" hidden="false" customHeight="false" outlineLevel="0" collapsed="false">
      <c r="A279" s="13" t="s">
        <v>79</v>
      </c>
      <c r="B279" s="13" t="s">
        <v>175</v>
      </c>
      <c r="C279" s="13" t="n">
        <v>0</v>
      </c>
      <c r="D279" s="13" t="n">
        <v>0</v>
      </c>
      <c r="E279" s="13" t="n">
        <v>0</v>
      </c>
      <c r="F279" s="13" t="n">
        <v>0</v>
      </c>
      <c r="G279" s="17" t="n">
        <v>0</v>
      </c>
      <c r="H279" s="13" t="n">
        <v>5</v>
      </c>
      <c r="I279" s="13" t="n">
        <v>0</v>
      </c>
      <c r="J279" s="13" t="n">
        <v>0</v>
      </c>
      <c r="K279" s="13" t="n">
        <v>5</v>
      </c>
      <c r="L279" s="17" t="n">
        <v>0</v>
      </c>
      <c r="M279" s="18" t="n">
        <f aca="false">IF(H279=0,"",I279/H279)</f>
        <v>0</v>
      </c>
    </row>
    <row r="280" customFormat="false" ht="15" hidden="false" customHeight="false" outlineLevel="0" collapsed="false">
      <c r="A280" s="13" t="s">
        <v>79</v>
      </c>
      <c r="B280" s="13" t="s">
        <v>176</v>
      </c>
      <c r="C280" s="13" t="n">
        <v>0</v>
      </c>
      <c r="D280" s="13" t="n">
        <v>0</v>
      </c>
      <c r="E280" s="13" t="n">
        <v>0</v>
      </c>
      <c r="F280" s="13" t="n">
        <v>0</v>
      </c>
      <c r="G280" s="17" t="n">
        <v>0</v>
      </c>
      <c r="H280" s="13" t="n">
        <v>52</v>
      </c>
      <c r="I280" s="13" t="n">
        <v>0</v>
      </c>
      <c r="J280" s="13" t="n">
        <v>0</v>
      </c>
      <c r="K280" s="13" t="n">
        <v>0</v>
      </c>
      <c r="L280" s="17" t="n">
        <v>0</v>
      </c>
      <c r="M280" s="18" t="n">
        <f aca="false">IF(H280=0,"",I280/H280)</f>
        <v>0</v>
      </c>
    </row>
    <row r="281" customFormat="false" ht="15" hidden="false" customHeight="false" outlineLevel="0" collapsed="false">
      <c r="A281" s="13" t="s">
        <v>97</v>
      </c>
      <c r="B281" s="13" t="s">
        <v>170</v>
      </c>
      <c r="C281" s="13" t="n">
        <v>0</v>
      </c>
      <c r="D281" s="13" t="n">
        <v>0</v>
      </c>
      <c r="E281" s="13" t="n">
        <v>0</v>
      </c>
      <c r="F281" s="13" t="n">
        <v>0</v>
      </c>
      <c r="G281" s="17" t="n">
        <v>0</v>
      </c>
      <c r="H281" s="13" t="n">
        <v>3</v>
      </c>
      <c r="I281" s="13" t="n">
        <v>0</v>
      </c>
      <c r="J281" s="13" t="n">
        <v>0</v>
      </c>
      <c r="K281" s="13" t="n">
        <v>3</v>
      </c>
      <c r="L281" s="17" t="n">
        <v>0</v>
      </c>
      <c r="M281" s="18" t="n">
        <f aca="false">IF(H281=0,"",I281/H281)</f>
        <v>0</v>
      </c>
    </row>
    <row r="282" customFormat="false" ht="15" hidden="false" customHeight="false" outlineLevel="0" collapsed="false">
      <c r="A282" s="13" t="s">
        <v>97</v>
      </c>
      <c r="B282" s="13" t="s">
        <v>171</v>
      </c>
      <c r="C282" s="13" t="n">
        <v>0</v>
      </c>
      <c r="D282" s="13" t="n">
        <v>0</v>
      </c>
      <c r="E282" s="13" t="n">
        <v>0</v>
      </c>
      <c r="F282" s="13" t="n">
        <v>0</v>
      </c>
      <c r="G282" s="17" t="n">
        <v>0</v>
      </c>
      <c r="H282" s="13" t="n">
        <v>5</v>
      </c>
      <c r="I282" s="13" t="n">
        <v>0</v>
      </c>
      <c r="J282" s="13" t="n">
        <v>2</v>
      </c>
      <c r="K282" s="13" t="n">
        <v>0</v>
      </c>
      <c r="L282" s="17" t="n">
        <v>0.00063483</v>
      </c>
      <c r="M282" s="18" t="n">
        <f aca="false">IF(H282=0,"",I282/H282)</f>
        <v>0</v>
      </c>
    </row>
    <row r="283" customFormat="false" ht="15" hidden="false" customHeight="false" outlineLevel="0" collapsed="false">
      <c r="A283" s="13" t="s">
        <v>97</v>
      </c>
      <c r="B283" s="13" t="s">
        <v>172</v>
      </c>
      <c r="C283" s="13" t="n">
        <v>0</v>
      </c>
      <c r="D283" s="13" t="n">
        <v>0</v>
      </c>
      <c r="E283" s="13" t="n">
        <v>0</v>
      </c>
      <c r="F283" s="13" t="n">
        <v>0</v>
      </c>
      <c r="G283" s="17" t="n">
        <v>0</v>
      </c>
      <c r="H283" s="13" t="n">
        <v>34</v>
      </c>
      <c r="I283" s="13" t="n">
        <v>0</v>
      </c>
      <c r="J283" s="13" t="n">
        <v>33</v>
      </c>
      <c r="K283" s="13" t="n">
        <v>0</v>
      </c>
      <c r="L283" s="17" t="n">
        <v>0.0175043333333333</v>
      </c>
      <c r="M283" s="18" t="n">
        <f aca="false">IF(H283=0,"",I283/H283)</f>
        <v>0</v>
      </c>
    </row>
    <row r="284" customFormat="false" ht="15" hidden="false" customHeight="false" outlineLevel="0" collapsed="false">
      <c r="A284" s="13" t="s">
        <v>97</v>
      </c>
      <c r="B284" s="13" t="s">
        <v>173</v>
      </c>
      <c r="C284" s="13" t="n">
        <v>0</v>
      </c>
      <c r="D284" s="13" t="n">
        <v>0</v>
      </c>
      <c r="E284" s="13" t="n">
        <v>0</v>
      </c>
      <c r="F284" s="13" t="n">
        <v>0</v>
      </c>
      <c r="G284" s="17" t="n">
        <v>0</v>
      </c>
      <c r="H284" s="13" t="n">
        <v>5</v>
      </c>
      <c r="I284" s="13" t="n">
        <v>2</v>
      </c>
      <c r="J284" s="13" t="n">
        <v>3</v>
      </c>
      <c r="K284" s="13" t="n">
        <v>0</v>
      </c>
      <c r="L284" s="17" t="n">
        <v>0.005894</v>
      </c>
      <c r="M284" s="18" t="n">
        <f aca="false">IF(H284=0,"",I284/H284)</f>
        <v>0.4</v>
      </c>
    </row>
    <row r="285" customFormat="false" ht="15" hidden="false" customHeight="false" outlineLevel="0" collapsed="false">
      <c r="A285" s="13" t="s">
        <v>97</v>
      </c>
      <c r="B285" s="13" t="s">
        <v>175</v>
      </c>
      <c r="C285" s="13" t="n">
        <v>0</v>
      </c>
      <c r="D285" s="13" t="n">
        <v>0</v>
      </c>
      <c r="E285" s="13" t="n">
        <v>0</v>
      </c>
      <c r="F285" s="13" t="n">
        <v>0</v>
      </c>
      <c r="G285" s="17" t="n">
        <v>0</v>
      </c>
      <c r="H285" s="13" t="n">
        <v>7</v>
      </c>
      <c r="I285" s="13" t="n">
        <v>0</v>
      </c>
      <c r="J285" s="13" t="n">
        <v>0</v>
      </c>
      <c r="K285" s="13" t="n">
        <v>7</v>
      </c>
      <c r="L285" s="17" t="n">
        <v>0</v>
      </c>
      <c r="M285" s="18" t="n">
        <f aca="false">IF(H285=0,"",I285/H285)</f>
        <v>0</v>
      </c>
    </row>
    <row r="286" customFormat="false" ht="15" hidden="false" customHeight="false" outlineLevel="0" collapsed="false">
      <c r="A286" s="13" t="s">
        <v>97</v>
      </c>
      <c r="B286" s="13" t="s">
        <v>176</v>
      </c>
      <c r="C286" s="13" t="n">
        <v>0</v>
      </c>
      <c r="D286" s="13" t="n">
        <v>0</v>
      </c>
      <c r="E286" s="13" t="n">
        <v>0</v>
      </c>
      <c r="F286" s="13" t="n">
        <v>0</v>
      </c>
      <c r="G286" s="17" t="n">
        <v>0</v>
      </c>
      <c r="H286" s="13" t="n">
        <v>5</v>
      </c>
      <c r="I286" s="13" t="n">
        <v>0</v>
      </c>
      <c r="J286" s="13" t="n">
        <v>0</v>
      </c>
      <c r="K286" s="13" t="n">
        <v>0</v>
      </c>
      <c r="L286" s="17" t="n">
        <v>0</v>
      </c>
      <c r="M286" s="18" t="n">
        <f aca="false">IF(H286=0,"",I286/H286)</f>
        <v>0</v>
      </c>
    </row>
    <row r="287" customFormat="false" ht="15" hidden="false" customHeight="false" outlineLevel="0" collapsed="false">
      <c r="A287" s="13" t="s">
        <v>57</v>
      </c>
      <c r="B287" s="13" t="s">
        <v>169</v>
      </c>
      <c r="C287" s="13" t="n">
        <v>0</v>
      </c>
      <c r="D287" s="13" t="n">
        <v>0</v>
      </c>
      <c r="E287" s="13" t="n">
        <v>1</v>
      </c>
      <c r="F287" s="13" t="n">
        <v>0</v>
      </c>
      <c r="G287" s="17" t="n">
        <v>0</v>
      </c>
      <c r="H287" s="13" t="n">
        <v>0</v>
      </c>
      <c r="I287" s="13" t="n">
        <v>0</v>
      </c>
      <c r="J287" s="13" t="n">
        <v>5</v>
      </c>
      <c r="K287" s="13" t="n">
        <v>0</v>
      </c>
      <c r="L287" s="17" t="n">
        <v>0</v>
      </c>
      <c r="M287" s="18" t="str">
        <f aca="false">IF(H287=0,"",I287/H287)</f>
        <v/>
      </c>
    </row>
    <row r="288" customFormat="false" ht="15" hidden="false" customHeight="false" outlineLevel="0" collapsed="false">
      <c r="A288" s="13" t="s">
        <v>57</v>
      </c>
      <c r="B288" s="13" t="s">
        <v>170</v>
      </c>
      <c r="C288" s="13" t="n">
        <v>2</v>
      </c>
      <c r="D288" s="13" t="n">
        <v>1</v>
      </c>
      <c r="E288" s="13" t="n">
        <v>0</v>
      </c>
      <c r="F288" s="13" t="n">
        <v>0</v>
      </c>
      <c r="G288" s="17" t="n">
        <v>0</v>
      </c>
      <c r="H288" s="13" t="n">
        <v>43</v>
      </c>
      <c r="I288" s="13" t="n">
        <v>38</v>
      </c>
      <c r="J288" s="13" t="n">
        <v>0</v>
      </c>
      <c r="K288" s="13" t="n">
        <v>1</v>
      </c>
      <c r="L288" s="17" t="n">
        <v>0</v>
      </c>
      <c r="M288" s="18" t="n">
        <f aca="false">IF(H288=0,"",I288/H288)</f>
        <v>0.883720930232558</v>
      </c>
    </row>
    <row r="289" customFormat="false" ht="15" hidden="false" customHeight="false" outlineLevel="0" collapsed="false">
      <c r="A289" s="13" t="s">
        <v>57</v>
      </c>
      <c r="B289" s="13" t="s">
        <v>172</v>
      </c>
      <c r="C289" s="13" t="n">
        <v>9</v>
      </c>
      <c r="D289" s="13" t="n">
        <v>0</v>
      </c>
      <c r="E289" s="13" t="n">
        <v>9</v>
      </c>
      <c r="F289" s="13" t="n">
        <v>0</v>
      </c>
      <c r="G289" s="17" t="n">
        <v>0.0022904</v>
      </c>
      <c r="H289" s="13" t="n">
        <v>337</v>
      </c>
      <c r="I289" s="13" t="n">
        <v>1</v>
      </c>
      <c r="J289" s="13" t="n">
        <v>334</v>
      </c>
      <c r="K289" s="13" t="n">
        <v>0</v>
      </c>
      <c r="L289" s="17" t="n">
        <v>0.130212666666667</v>
      </c>
      <c r="M289" s="18" t="n">
        <f aca="false">IF(H289=0,"",I289/H289)</f>
        <v>0.0029673590504451</v>
      </c>
    </row>
    <row r="290" customFormat="false" ht="15" hidden="false" customHeight="false" outlineLevel="0" collapsed="false">
      <c r="A290" s="13" t="s">
        <v>57</v>
      </c>
      <c r="B290" s="13" t="s">
        <v>173</v>
      </c>
      <c r="C290" s="13" t="n">
        <v>0</v>
      </c>
      <c r="D290" s="13" t="n">
        <v>0</v>
      </c>
      <c r="E290" s="13" t="n">
        <v>0</v>
      </c>
      <c r="F290" s="13" t="n">
        <v>0</v>
      </c>
      <c r="G290" s="17" t="n">
        <v>0</v>
      </c>
      <c r="H290" s="13" t="n">
        <v>45</v>
      </c>
      <c r="I290" s="13" t="n">
        <v>3</v>
      </c>
      <c r="J290" s="13" t="n">
        <v>42</v>
      </c>
      <c r="K290" s="13" t="n">
        <v>0</v>
      </c>
      <c r="L290" s="17" t="n">
        <v>0.0308392</v>
      </c>
      <c r="M290" s="18" t="n">
        <f aca="false">IF(H290=0,"",I290/H290)</f>
        <v>0.0666666666666667</v>
      </c>
    </row>
    <row r="291" customFormat="false" ht="15" hidden="false" customHeight="false" outlineLevel="0" collapsed="false">
      <c r="A291" s="13" t="s">
        <v>57</v>
      </c>
      <c r="B291" s="13" t="s">
        <v>175</v>
      </c>
      <c r="C291" s="13" t="n">
        <v>0</v>
      </c>
      <c r="D291" s="13" t="n">
        <v>0</v>
      </c>
      <c r="E291" s="13" t="n">
        <v>0</v>
      </c>
      <c r="F291" s="13" t="n">
        <v>0</v>
      </c>
      <c r="G291" s="17" t="n">
        <v>0</v>
      </c>
      <c r="H291" s="13" t="n">
        <v>10</v>
      </c>
      <c r="I291" s="13" t="n">
        <v>0</v>
      </c>
      <c r="J291" s="13" t="n">
        <v>0</v>
      </c>
      <c r="K291" s="13" t="n">
        <v>10</v>
      </c>
      <c r="L291" s="17" t="n">
        <v>0</v>
      </c>
      <c r="M291" s="18" t="n">
        <f aca="false">IF(H291=0,"",I291/H291)</f>
        <v>0</v>
      </c>
    </row>
    <row r="292" customFormat="false" ht="15" hidden="false" customHeight="false" outlineLevel="0" collapsed="false">
      <c r="A292" s="13" t="s">
        <v>57</v>
      </c>
      <c r="B292" s="13" t="s">
        <v>176</v>
      </c>
      <c r="C292" s="13" t="n">
        <v>4</v>
      </c>
      <c r="D292" s="13" t="n">
        <v>0</v>
      </c>
      <c r="E292" s="13" t="n">
        <v>0</v>
      </c>
      <c r="F292" s="13" t="n">
        <v>0</v>
      </c>
      <c r="G292" s="17" t="n">
        <v>0</v>
      </c>
      <c r="H292" s="13" t="n">
        <v>227</v>
      </c>
      <c r="I292" s="13" t="n">
        <v>0</v>
      </c>
      <c r="J292" s="13" t="n">
        <v>0</v>
      </c>
      <c r="K292" s="13" t="n">
        <v>0</v>
      </c>
      <c r="L292" s="17" t="n">
        <v>0</v>
      </c>
      <c r="M292" s="18" t="n">
        <f aca="false">IF(H292=0,"",I292/H292)</f>
        <v>0</v>
      </c>
    </row>
    <row r="293" customFormat="false" ht="15" hidden="false" customHeight="false" outlineLevel="0" collapsed="false">
      <c r="A293" s="13" t="s">
        <v>179</v>
      </c>
      <c r="B293" s="13" t="s">
        <v>170</v>
      </c>
      <c r="C293" s="13" t="n">
        <v>0</v>
      </c>
      <c r="D293" s="13" t="n">
        <v>0</v>
      </c>
      <c r="E293" s="13" t="n">
        <v>0</v>
      </c>
      <c r="F293" s="13" t="n">
        <v>0</v>
      </c>
      <c r="G293" s="17" t="n">
        <v>0</v>
      </c>
      <c r="H293" s="13" t="n">
        <v>569</v>
      </c>
      <c r="I293" s="13" t="n">
        <v>569</v>
      </c>
      <c r="J293" s="13" t="n">
        <v>0</v>
      </c>
      <c r="K293" s="13" t="n">
        <v>0</v>
      </c>
      <c r="L293" s="17" t="n">
        <v>0</v>
      </c>
      <c r="M293" s="18" t="n">
        <f aca="false">IF(H293=0,"",I293/H293)</f>
        <v>1</v>
      </c>
    </row>
    <row r="294" customFormat="false" ht="15" hidden="false" customHeight="false" outlineLevel="0" collapsed="false">
      <c r="A294" s="13" t="s">
        <v>179</v>
      </c>
      <c r="B294" s="13" t="s">
        <v>172</v>
      </c>
      <c r="C294" s="13" t="n">
        <v>0</v>
      </c>
      <c r="D294" s="13" t="n">
        <v>0</v>
      </c>
      <c r="E294" s="13" t="n">
        <v>0</v>
      </c>
      <c r="F294" s="13" t="n">
        <v>0</v>
      </c>
      <c r="G294" s="17" t="n">
        <v>0</v>
      </c>
      <c r="H294" s="13" t="n">
        <v>2279</v>
      </c>
      <c r="I294" s="13" t="n">
        <v>1508</v>
      </c>
      <c r="J294" s="13" t="n">
        <v>761</v>
      </c>
      <c r="K294" s="13" t="n">
        <v>0</v>
      </c>
      <c r="L294" s="17" t="n">
        <v>1.3529208</v>
      </c>
      <c r="M294" s="18" t="n">
        <f aca="false">IF(H294=0,"",I294/H294)</f>
        <v>0.661693725318122</v>
      </c>
    </row>
    <row r="295" customFormat="false" ht="15" hidden="false" customHeight="false" outlineLevel="0" collapsed="false">
      <c r="A295" s="13" t="s">
        <v>179</v>
      </c>
      <c r="B295" s="13" t="s">
        <v>173</v>
      </c>
      <c r="C295" s="13" t="n">
        <v>0</v>
      </c>
      <c r="D295" s="13" t="n">
        <v>0</v>
      </c>
      <c r="E295" s="13" t="n">
        <v>0</v>
      </c>
      <c r="F295" s="13" t="n">
        <v>0</v>
      </c>
      <c r="G295" s="17" t="n">
        <v>0</v>
      </c>
      <c r="H295" s="13" t="n">
        <v>500</v>
      </c>
      <c r="I295" s="13" t="n">
        <v>4</v>
      </c>
      <c r="J295" s="13" t="n">
        <v>496</v>
      </c>
      <c r="K295" s="13" t="n">
        <v>0</v>
      </c>
      <c r="L295" s="17" t="n">
        <v>0.0223992</v>
      </c>
      <c r="M295" s="18" t="n">
        <f aca="false">IF(H295=0,"",I295/H295)</f>
        <v>0.008</v>
      </c>
    </row>
    <row r="296" customFormat="false" ht="15" hidden="false" customHeight="false" outlineLevel="0" collapsed="false">
      <c r="A296" s="13" t="s">
        <v>179</v>
      </c>
      <c r="B296" s="13" t="s">
        <v>175</v>
      </c>
      <c r="C296" s="13" t="n">
        <v>0</v>
      </c>
      <c r="D296" s="13" t="n">
        <v>0</v>
      </c>
      <c r="E296" s="13" t="n">
        <v>0</v>
      </c>
      <c r="F296" s="13" t="n">
        <v>0</v>
      </c>
      <c r="G296" s="17" t="n">
        <v>0</v>
      </c>
      <c r="H296" s="13" t="n">
        <v>15</v>
      </c>
      <c r="I296" s="13" t="n">
        <v>0</v>
      </c>
      <c r="J296" s="13" t="n">
        <v>0</v>
      </c>
      <c r="K296" s="13" t="n">
        <v>15</v>
      </c>
      <c r="L296" s="17" t="n">
        <v>0</v>
      </c>
      <c r="M296" s="18" t="n">
        <f aca="false">IF(H296=0,"",I296/H296)</f>
        <v>0</v>
      </c>
    </row>
    <row r="297" customFormat="false" ht="15" hidden="false" customHeight="false" outlineLevel="0" collapsed="false">
      <c r="A297" s="13" t="s">
        <v>179</v>
      </c>
      <c r="B297" s="13" t="s">
        <v>176</v>
      </c>
      <c r="C297" s="13" t="n">
        <v>0</v>
      </c>
      <c r="D297" s="13" t="n">
        <v>0</v>
      </c>
      <c r="E297" s="13" t="n">
        <v>0</v>
      </c>
      <c r="F297" s="13" t="n">
        <v>0</v>
      </c>
      <c r="G297" s="17" t="n">
        <v>0</v>
      </c>
      <c r="H297" s="13" t="n">
        <v>761</v>
      </c>
      <c r="I297" s="13" t="n">
        <v>0</v>
      </c>
      <c r="J297" s="13" t="n">
        <v>0</v>
      </c>
      <c r="K297" s="13" t="n">
        <v>0</v>
      </c>
      <c r="L297" s="17" t="n">
        <v>0</v>
      </c>
      <c r="M297" s="18" t="n">
        <f aca="false">IF(H297=0,"",I297/H297)</f>
        <v>0</v>
      </c>
    </row>
    <row r="298" customFormat="false" ht="15" hidden="false" customHeight="false" outlineLevel="0" collapsed="false">
      <c r="A298" s="13" t="s">
        <v>135</v>
      </c>
      <c r="B298" s="13" t="s">
        <v>169</v>
      </c>
      <c r="C298" s="13" t="n">
        <v>0</v>
      </c>
      <c r="D298" s="13" t="n">
        <v>0</v>
      </c>
      <c r="E298" s="13" t="n">
        <v>0</v>
      </c>
      <c r="F298" s="13" t="n">
        <v>0</v>
      </c>
      <c r="G298" s="17" t="n">
        <v>0</v>
      </c>
      <c r="H298" s="13" t="n">
        <v>2</v>
      </c>
      <c r="I298" s="13" t="n">
        <v>0</v>
      </c>
      <c r="J298" s="13" t="n">
        <v>2</v>
      </c>
      <c r="K298" s="13" t="n">
        <v>4</v>
      </c>
      <c r="L298" s="17" t="n">
        <v>0</v>
      </c>
      <c r="M298" s="18" t="n">
        <f aca="false">IF(H298=0,"",I298/H298)</f>
        <v>0</v>
      </c>
    </row>
    <row r="299" customFormat="false" ht="15" hidden="false" customHeight="false" outlineLevel="0" collapsed="false">
      <c r="A299" s="13" t="s">
        <v>135</v>
      </c>
      <c r="B299" s="13" t="s">
        <v>170</v>
      </c>
      <c r="C299" s="13" t="n">
        <v>0</v>
      </c>
      <c r="D299" s="13" t="n">
        <v>0</v>
      </c>
      <c r="E299" s="13" t="n">
        <v>0</v>
      </c>
      <c r="F299" s="13" t="n">
        <v>0</v>
      </c>
      <c r="G299" s="17" t="n">
        <v>0</v>
      </c>
      <c r="H299" s="13" t="n">
        <v>12</v>
      </c>
      <c r="I299" s="13" t="n">
        <v>7</v>
      </c>
      <c r="J299" s="13" t="n">
        <v>1</v>
      </c>
      <c r="K299" s="13" t="n">
        <v>2</v>
      </c>
      <c r="L299" s="17" t="n">
        <v>0</v>
      </c>
      <c r="M299" s="18" t="n">
        <f aca="false">IF(H299=0,"",I299/H299)</f>
        <v>0.583333333333333</v>
      </c>
    </row>
    <row r="300" customFormat="false" ht="15" hidden="false" customHeight="false" outlineLevel="0" collapsed="false">
      <c r="A300" s="13" t="s">
        <v>135</v>
      </c>
      <c r="B300" s="13" t="s">
        <v>171</v>
      </c>
      <c r="C300" s="13" t="n">
        <v>0</v>
      </c>
      <c r="D300" s="13" t="n">
        <v>0</v>
      </c>
      <c r="E300" s="13" t="n">
        <v>0</v>
      </c>
      <c r="F300" s="13" t="n">
        <v>0</v>
      </c>
      <c r="G300" s="17" t="n">
        <v>0</v>
      </c>
      <c r="H300" s="13" t="n">
        <v>2</v>
      </c>
      <c r="I300" s="13" t="n">
        <v>0</v>
      </c>
      <c r="J300" s="13" t="n">
        <v>0</v>
      </c>
      <c r="K300" s="13" t="n">
        <v>0</v>
      </c>
      <c r="L300" s="17" t="n">
        <v>0.00019314</v>
      </c>
      <c r="M300" s="18" t="n">
        <f aca="false">IF(H300=0,"",I300/H300)</f>
        <v>0</v>
      </c>
    </row>
    <row r="301" customFormat="false" ht="15" hidden="false" customHeight="false" outlineLevel="0" collapsed="false">
      <c r="A301" s="13" t="s">
        <v>135</v>
      </c>
      <c r="B301" s="13" t="s">
        <v>172</v>
      </c>
      <c r="C301" s="13" t="n">
        <v>0</v>
      </c>
      <c r="D301" s="13" t="n">
        <v>0</v>
      </c>
      <c r="E301" s="13" t="n">
        <v>0</v>
      </c>
      <c r="F301" s="13" t="n">
        <v>0</v>
      </c>
      <c r="G301" s="17" t="n">
        <v>0</v>
      </c>
      <c r="H301" s="13" t="n">
        <v>46</v>
      </c>
      <c r="I301" s="13" t="n">
        <v>6</v>
      </c>
      <c r="J301" s="13" t="n">
        <v>38</v>
      </c>
      <c r="K301" s="13" t="n">
        <v>0</v>
      </c>
      <c r="L301" s="17" t="n">
        <v>0.0267228</v>
      </c>
      <c r="M301" s="18" t="n">
        <f aca="false">IF(H301=0,"",I301/H301)</f>
        <v>0.130434782608696</v>
      </c>
    </row>
    <row r="302" customFormat="false" ht="15" hidden="false" customHeight="false" outlineLevel="0" collapsed="false">
      <c r="A302" s="13" t="s">
        <v>135</v>
      </c>
      <c r="B302" s="13" t="s">
        <v>173</v>
      </c>
      <c r="C302" s="13" t="n">
        <v>0</v>
      </c>
      <c r="D302" s="13" t="n">
        <v>0</v>
      </c>
      <c r="E302" s="13" t="n">
        <v>0</v>
      </c>
      <c r="F302" s="13" t="n">
        <v>0</v>
      </c>
      <c r="G302" s="17" t="n">
        <v>0</v>
      </c>
      <c r="H302" s="13" t="n">
        <v>9</v>
      </c>
      <c r="I302" s="13" t="n">
        <v>2</v>
      </c>
      <c r="J302" s="13" t="n">
        <v>7</v>
      </c>
      <c r="K302" s="13" t="n">
        <v>0</v>
      </c>
      <c r="L302" s="17" t="n">
        <v>0.0034256</v>
      </c>
      <c r="M302" s="18" t="n">
        <f aca="false">IF(H302=0,"",I302/H302)</f>
        <v>0.222222222222222</v>
      </c>
    </row>
    <row r="303" customFormat="false" ht="15" hidden="false" customHeight="false" outlineLevel="0" collapsed="false">
      <c r="A303" s="13" t="s">
        <v>135</v>
      </c>
      <c r="B303" s="13" t="s">
        <v>175</v>
      </c>
      <c r="C303" s="13" t="n">
        <v>0</v>
      </c>
      <c r="D303" s="13" t="n">
        <v>0</v>
      </c>
      <c r="E303" s="13" t="n">
        <v>0</v>
      </c>
      <c r="F303" s="13" t="n">
        <v>0</v>
      </c>
      <c r="G303" s="17" t="n">
        <v>0</v>
      </c>
      <c r="H303" s="13" t="n">
        <v>4</v>
      </c>
      <c r="I303" s="13" t="n">
        <v>0</v>
      </c>
      <c r="J303" s="13" t="n">
        <v>0</v>
      </c>
      <c r="K303" s="13" t="n">
        <v>4</v>
      </c>
      <c r="L303" s="17" t="n">
        <v>0</v>
      </c>
      <c r="M303" s="18" t="n">
        <f aca="false">IF(H303=0,"",I303/H303)</f>
        <v>0</v>
      </c>
    </row>
    <row r="304" customFormat="false" ht="15" hidden="false" customHeight="false" outlineLevel="0" collapsed="false">
      <c r="A304" s="13" t="s">
        <v>135</v>
      </c>
      <c r="B304" s="13" t="s">
        <v>176</v>
      </c>
      <c r="C304" s="13" t="n">
        <v>0</v>
      </c>
      <c r="D304" s="13" t="n">
        <v>0</v>
      </c>
      <c r="E304" s="13" t="n">
        <v>0</v>
      </c>
      <c r="F304" s="13" t="n">
        <v>0</v>
      </c>
      <c r="G304" s="17" t="n">
        <v>0</v>
      </c>
      <c r="H304" s="13" t="n">
        <v>12</v>
      </c>
      <c r="I304" s="13" t="n">
        <v>0</v>
      </c>
      <c r="J304" s="13" t="n">
        <v>0</v>
      </c>
      <c r="K304" s="13" t="n">
        <v>0</v>
      </c>
      <c r="L304" s="17" t="n">
        <v>0</v>
      </c>
      <c r="M304" s="18" t="n">
        <f aca="false">IF(H304=0,"",I304/H304)</f>
        <v>0</v>
      </c>
    </row>
    <row r="305" customFormat="false" ht="15" hidden="false" customHeight="false" outlineLevel="0" collapsed="false">
      <c r="A305" s="13" t="s">
        <v>99</v>
      </c>
      <c r="B305" s="13" t="s">
        <v>170</v>
      </c>
      <c r="C305" s="13" t="n">
        <v>0</v>
      </c>
      <c r="D305" s="13" t="n">
        <v>0</v>
      </c>
      <c r="E305" s="13" t="n">
        <v>0</v>
      </c>
      <c r="F305" s="13" t="n">
        <v>0</v>
      </c>
      <c r="G305" s="17" t="n">
        <v>0</v>
      </c>
      <c r="H305" s="13" t="n">
        <v>1</v>
      </c>
      <c r="I305" s="13" t="n">
        <v>1</v>
      </c>
      <c r="J305" s="13" t="n">
        <v>0</v>
      </c>
      <c r="K305" s="13" t="n">
        <v>0</v>
      </c>
      <c r="L305" s="17" t="n">
        <v>0</v>
      </c>
      <c r="M305" s="18" t="n">
        <f aca="false">IF(H305=0,"",I305/H305)</f>
        <v>1</v>
      </c>
    </row>
    <row r="306" customFormat="false" ht="15" hidden="false" customHeight="false" outlineLevel="0" collapsed="false">
      <c r="A306" s="13" t="s">
        <v>99</v>
      </c>
      <c r="B306" s="13" t="s">
        <v>171</v>
      </c>
      <c r="C306" s="13" t="n">
        <v>0</v>
      </c>
      <c r="D306" s="13" t="n">
        <v>0</v>
      </c>
      <c r="E306" s="13" t="n">
        <v>0</v>
      </c>
      <c r="F306" s="13" t="n">
        <v>0</v>
      </c>
      <c r="G306" s="17" t="n">
        <v>0</v>
      </c>
      <c r="H306" s="13" t="n">
        <v>12</v>
      </c>
      <c r="I306" s="13" t="n">
        <v>0</v>
      </c>
      <c r="J306" s="13" t="n">
        <v>12</v>
      </c>
      <c r="K306" s="13" t="n">
        <v>0</v>
      </c>
      <c r="L306" s="17" t="n">
        <v>0.00098448</v>
      </c>
      <c r="M306" s="18" t="n">
        <f aca="false">IF(H306=0,"",I306/H306)</f>
        <v>0</v>
      </c>
    </row>
    <row r="307" customFormat="false" ht="15" hidden="false" customHeight="false" outlineLevel="0" collapsed="false">
      <c r="A307" s="13" t="s">
        <v>99</v>
      </c>
      <c r="B307" s="13" t="s">
        <v>172</v>
      </c>
      <c r="C307" s="13" t="n">
        <v>0</v>
      </c>
      <c r="D307" s="13" t="n">
        <v>0</v>
      </c>
      <c r="E307" s="13" t="n">
        <v>0</v>
      </c>
      <c r="F307" s="13" t="n">
        <v>0</v>
      </c>
      <c r="G307" s="17" t="n">
        <v>0</v>
      </c>
      <c r="H307" s="13" t="n">
        <v>45</v>
      </c>
      <c r="I307" s="13" t="n">
        <v>1</v>
      </c>
      <c r="J307" s="13" t="n">
        <v>44</v>
      </c>
      <c r="K307" s="13" t="n">
        <v>0</v>
      </c>
      <c r="L307" s="17" t="n">
        <v>0.0397986666666667</v>
      </c>
      <c r="M307" s="18" t="n">
        <f aca="false">IF(H307=0,"",I307/H307)</f>
        <v>0.0222222222222222</v>
      </c>
    </row>
    <row r="308" customFormat="false" ht="15" hidden="false" customHeight="false" outlineLevel="0" collapsed="false">
      <c r="A308" s="13" t="s">
        <v>99</v>
      </c>
      <c r="B308" s="13" t="s">
        <v>173</v>
      </c>
      <c r="C308" s="13" t="n">
        <v>0</v>
      </c>
      <c r="D308" s="13" t="n">
        <v>0</v>
      </c>
      <c r="E308" s="13" t="n">
        <v>0</v>
      </c>
      <c r="F308" s="13" t="n">
        <v>0</v>
      </c>
      <c r="G308" s="17" t="n">
        <v>0</v>
      </c>
      <c r="H308" s="13" t="n">
        <v>3</v>
      </c>
      <c r="I308" s="13" t="n">
        <v>2</v>
      </c>
      <c r="J308" s="13" t="n">
        <v>1</v>
      </c>
      <c r="K308" s="13" t="n">
        <v>0</v>
      </c>
      <c r="L308" s="17" t="n">
        <v>0.0070948</v>
      </c>
      <c r="M308" s="18" t="n">
        <f aca="false">IF(H308=0,"",I308/H308)</f>
        <v>0.666666666666667</v>
      </c>
    </row>
    <row r="309" customFormat="false" ht="15" hidden="false" customHeight="false" outlineLevel="0" collapsed="false">
      <c r="A309" s="13" t="s">
        <v>99</v>
      </c>
      <c r="B309" s="13" t="s">
        <v>175</v>
      </c>
      <c r="C309" s="13" t="n">
        <v>0</v>
      </c>
      <c r="D309" s="13" t="n">
        <v>0</v>
      </c>
      <c r="E309" s="13" t="n">
        <v>0</v>
      </c>
      <c r="F309" s="13" t="n">
        <v>0</v>
      </c>
      <c r="G309" s="17" t="n">
        <v>0</v>
      </c>
      <c r="H309" s="13" t="n">
        <v>5</v>
      </c>
      <c r="I309" s="13" t="n">
        <v>0</v>
      </c>
      <c r="J309" s="13" t="n">
        <v>0</v>
      </c>
      <c r="K309" s="13" t="n">
        <v>5</v>
      </c>
      <c r="L309" s="17" t="n">
        <v>0</v>
      </c>
      <c r="M309" s="18" t="n">
        <f aca="false">IF(H309=0,"",I309/H309)</f>
        <v>0</v>
      </c>
    </row>
    <row r="310" customFormat="false" ht="15" hidden="false" customHeight="false" outlineLevel="0" collapsed="false">
      <c r="A310" s="13" t="s">
        <v>99</v>
      </c>
      <c r="B310" s="13" t="s">
        <v>176</v>
      </c>
      <c r="C310" s="13" t="n">
        <v>0</v>
      </c>
      <c r="D310" s="13" t="n">
        <v>0</v>
      </c>
      <c r="E310" s="13" t="n">
        <v>0</v>
      </c>
      <c r="F310" s="13" t="n">
        <v>0</v>
      </c>
      <c r="G310" s="17" t="n">
        <v>0</v>
      </c>
      <c r="H310" s="13" t="n">
        <v>13</v>
      </c>
      <c r="I310" s="13" t="n">
        <v>0</v>
      </c>
      <c r="J310" s="13" t="n">
        <v>0</v>
      </c>
      <c r="K310" s="13" t="n">
        <v>0</v>
      </c>
      <c r="L310" s="17" t="n">
        <v>0</v>
      </c>
      <c r="M310" s="18" t="n">
        <f aca="false">IF(H310=0,"",I310/H310)</f>
        <v>0</v>
      </c>
    </row>
    <row r="311" customFormat="false" ht="15" hidden="false" customHeight="false" outlineLevel="0" collapsed="false">
      <c r="A311" s="13" t="s">
        <v>147</v>
      </c>
      <c r="B311" s="13" t="s">
        <v>170</v>
      </c>
      <c r="C311" s="13" t="n">
        <v>0</v>
      </c>
      <c r="D311" s="13" t="n">
        <v>0</v>
      </c>
      <c r="E311" s="13" t="n">
        <v>0</v>
      </c>
      <c r="F311" s="13" t="n">
        <v>0</v>
      </c>
      <c r="G311" s="17" t="n">
        <v>0</v>
      </c>
      <c r="H311" s="13" t="n">
        <v>54</v>
      </c>
      <c r="I311" s="13" t="n">
        <v>52</v>
      </c>
      <c r="J311" s="13" t="n">
        <v>2</v>
      </c>
      <c r="K311" s="13" t="n">
        <v>0</v>
      </c>
      <c r="L311" s="17" t="n">
        <v>0</v>
      </c>
      <c r="M311" s="18" t="n">
        <f aca="false">IF(H311=0,"",I311/H311)</f>
        <v>0.962962962962963</v>
      </c>
    </row>
    <row r="312" customFormat="false" ht="15" hidden="false" customHeight="false" outlineLevel="0" collapsed="false">
      <c r="A312" s="13" t="s">
        <v>147</v>
      </c>
      <c r="B312" s="13" t="s">
        <v>172</v>
      </c>
      <c r="C312" s="13" t="n">
        <v>0</v>
      </c>
      <c r="D312" s="13" t="n">
        <v>0</v>
      </c>
      <c r="E312" s="13" t="n">
        <v>0</v>
      </c>
      <c r="F312" s="13" t="n">
        <v>0</v>
      </c>
      <c r="G312" s="17" t="n">
        <v>0</v>
      </c>
      <c r="H312" s="13" t="n">
        <v>27</v>
      </c>
      <c r="I312" s="13" t="n">
        <v>7</v>
      </c>
      <c r="J312" s="13" t="n">
        <v>19</v>
      </c>
      <c r="K312" s="13" t="n">
        <v>0</v>
      </c>
      <c r="L312" s="17" t="n">
        <v>0.0253701333333333</v>
      </c>
      <c r="M312" s="18" t="n">
        <f aca="false">IF(H312=0,"",I312/H312)</f>
        <v>0.259259259259259</v>
      </c>
    </row>
    <row r="313" customFormat="false" ht="15" hidden="false" customHeight="false" outlineLevel="0" collapsed="false">
      <c r="A313" s="13" t="s">
        <v>147</v>
      </c>
      <c r="B313" s="13" t="s">
        <v>173</v>
      </c>
      <c r="C313" s="13" t="n">
        <v>0</v>
      </c>
      <c r="D313" s="13" t="n">
        <v>0</v>
      </c>
      <c r="E313" s="13" t="n">
        <v>0</v>
      </c>
      <c r="F313" s="13" t="n">
        <v>0</v>
      </c>
      <c r="G313" s="17" t="n">
        <v>0</v>
      </c>
      <c r="H313" s="13" t="n">
        <v>54</v>
      </c>
      <c r="I313" s="13" t="n">
        <v>9</v>
      </c>
      <c r="J313" s="13" t="n">
        <v>45</v>
      </c>
      <c r="K313" s="13" t="n">
        <v>0</v>
      </c>
      <c r="L313" s="17" t="n">
        <v>0.0157708</v>
      </c>
      <c r="M313" s="18" t="n">
        <f aca="false">IF(H313=0,"",I313/H313)</f>
        <v>0.166666666666667</v>
      </c>
    </row>
    <row r="314" customFormat="false" ht="15" hidden="false" customHeight="false" outlineLevel="0" collapsed="false">
      <c r="A314" s="13" t="s">
        <v>147</v>
      </c>
      <c r="B314" s="13" t="s">
        <v>175</v>
      </c>
      <c r="C314" s="13" t="n">
        <v>0</v>
      </c>
      <c r="D314" s="13" t="n">
        <v>0</v>
      </c>
      <c r="E314" s="13" t="n">
        <v>0</v>
      </c>
      <c r="F314" s="13" t="n">
        <v>0</v>
      </c>
      <c r="G314" s="17" t="n">
        <v>0</v>
      </c>
      <c r="H314" s="13" t="n">
        <v>2</v>
      </c>
      <c r="I314" s="13" t="n">
        <v>0</v>
      </c>
      <c r="J314" s="13" t="n">
        <v>0</v>
      </c>
      <c r="K314" s="13" t="n">
        <v>7</v>
      </c>
      <c r="L314" s="17" t="n">
        <v>0</v>
      </c>
      <c r="M314" s="18" t="n">
        <f aca="false">IF(H314=0,"",I314/H314)</f>
        <v>0</v>
      </c>
    </row>
    <row r="315" customFormat="false" ht="15" hidden="false" customHeight="false" outlineLevel="0" collapsed="false">
      <c r="A315" s="13" t="s">
        <v>147</v>
      </c>
      <c r="B315" s="13" t="s">
        <v>176</v>
      </c>
      <c r="C315" s="13" t="n">
        <v>0</v>
      </c>
      <c r="D315" s="13" t="n">
        <v>0</v>
      </c>
      <c r="E315" s="13" t="n">
        <v>0</v>
      </c>
      <c r="F315" s="13" t="n">
        <v>0</v>
      </c>
      <c r="G315" s="17" t="n">
        <v>0</v>
      </c>
      <c r="H315" s="13" t="n">
        <v>7</v>
      </c>
      <c r="I315" s="13" t="n">
        <v>0</v>
      </c>
      <c r="J315" s="13" t="n">
        <v>0</v>
      </c>
      <c r="K315" s="13" t="n">
        <v>0</v>
      </c>
      <c r="L315" s="17" t="n">
        <v>0</v>
      </c>
      <c r="M315" s="18" t="n">
        <f aca="false">IF(H315=0,"",I315/H315)</f>
        <v>0</v>
      </c>
    </row>
  </sheetData>
  <autoFilter ref="A14:M3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2026-10-29T20:17:55Z</dcterms:created>
  <dc:creator>openpyxl</dc:creator>
  <dc:description/>
  <dc:language>en-US</dc:language>
  <cp:lastModifiedBy/>
  <dcterms:modified xsi:type="dcterms:W3CDTF">2026-10-29T20:17:56Z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